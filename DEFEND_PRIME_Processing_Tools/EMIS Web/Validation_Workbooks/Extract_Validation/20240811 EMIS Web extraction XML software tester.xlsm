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surreyac-my.sharepoint.com/personal/hc01558_surrey_ac_uk/Documents/Documents/Clinical Intervention/Data extract/DEFEND_PRIME_Processing_Tools/EMIS Web/Validation_Workbooks/Extract_Validation/"/>
    </mc:Choice>
  </mc:AlternateContent>
  <xr:revisionPtr revIDLastSave="1514" documentId="8_{3B20749F-0862-499F-9745-49518E237848}" xr6:coauthVersionLast="47" xr6:coauthVersionMax="47" xr10:uidLastSave="{0A738CA7-CA25-487C-BB42-DC61293922A1}"/>
  <bookViews>
    <workbookView xWindow="-19650" yWindow="3690" windowWidth="19020" windowHeight="15345" activeTab="2" xr2:uid="{07A22514-5AC0-4C19-BB7D-2CAF165BC44F}"/>
  </bookViews>
  <sheets>
    <sheet name="Sheet1" sheetId="1" r:id="rId1"/>
    <sheet name="Dummy XML test data" sheetId="9" r:id="rId2"/>
    <sheet name="EMIS XML Test Results" sheetId="7" r:id="rId3"/>
  </sheets>
  <definedNames>
    <definedName name="_xlnm._FilterDatabase" localSheetId="0" hidden="1">Sheet1!$A$1:$CD$1</definedName>
    <definedName name="_xleta.INDIRECT" hidden="1" xlm="1">#NAME?</definedName>
    <definedName name="_xleta.N" hidden="1" xlm="1">#NAME?</definedName>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25" i="7" l="1" a="1"/>
  <c r="F225" i="7" s="1"/>
  <c r="E220" i="7" a="1"/>
  <c r="F220" i="7" s="1"/>
  <c r="E215" i="7" a="1"/>
  <c r="F215" i="7" s="1"/>
  <c r="E199" i="7" a="1"/>
  <c r="F199" i="7" s="1"/>
  <c r="E285" i="7" a="1"/>
  <c r="F285" i="7" s="1"/>
  <c r="E280" i="7" a="1"/>
  <c r="E240" i="7" a="1"/>
  <c r="F240" i="7" s="1"/>
  <c r="E292" i="7" a="1"/>
  <c r="F292" i="7" s="1"/>
  <c r="E263" i="7" a="1"/>
  <c r="F263" i="7" s="1"/>
  <c r="E160" i="7"/>
  <c r="E155" i="7"/>
  <c r="E150" i="7"/>
  <c r="E145" i="7"/>
  <c r="E140" i="7"/>
  <c r="E138" i="7" a="1"/>
  <c r="E124" i="7"/>
  <c r="CD29" i="9"/>
  <c r="CA28" i="9"/>
  <c r="BW27" i="9"/>
  <c r="BV26" i="9"/>
  <c r="BS25" i="9"/>
  <c r="BP24" i="9"/>
  <c r="BM23" i="9"/>
  <c r="BJ22" i="9"/>
  <c r="BG21" i="9"/>
  <c r="BD20" i="9"/>
  <c r="BA19" i="9"/>
  <c r="AY18" i="9"/>
  <c r="AW17" i="9"/>
  <c r="AU16" i="9"/>
  <c r="AS15" i="9"/>
  <c r="AQ14" i="9"/>
  <c r="AO13" i="9"/>
  <c r="AM12" i="9"/>
  <c r="AJ11" i="9"/>
  <c r="R11" i="9"/>
  <c r="AG10" i="9"/>
  <c r="P10" i="9"/>
  <c r="AD9" i="9"/>
  <c r="N9" i="9"/>
  <c r="AA8" i="9"/>
  <c r="L8" i="9"/>
  <c r="X7" i="9"/>
  <c r="J7" i="9"/>
  <c r="U6" i="9"/>
  <c r="E295" i="7" a="1"/>
  <c r="E296" i="7" a="1"/>
  <c r="E297" i="7" a="1"/>
  <c r="E298" i="7" a="1"/>
  <c r="F298" i="7" s="1"/>
  <c r="E299" i="7" a="1"/>
  <c r="F299" i="7" s="1"/>
  <c r="E293" i="7" a="1"/>
  <c r="F293" i="7" s="1"/>
  <c r="E290" i="7" a="1"/>
  <c r="E289" i="7" a="1"/>
  <c r="E286" i="7"/>
  <c r="E279" i="7" a="1"/>
  <c r="E278" i="7"/>
  <c r="E276" i="7" a="1"/>
  <c r="F276" i="7" s="1"/>
  <c r="E275" i="7" a="1"/>
  <c r="F275" i="7" s="1"/>
  <c r="E274" i="7" a="1"/>
  <c r="E273" i="7" a="1"/>
  <c r="E272" i="7"/>
  <c r="E270" i="7" a="1"/>
  <c r="F270" i="7" s="1"/>
  <c r="E269" i="7" a="1"/>
  <c r="F269" i="7" s="1"/>
  <c r="E268" i="7" a="1"/>
  <c r="E267" i="7" a="1"/>
  <c r="E266" i="7"/>
  <c r="E264" i="7" a="1"/>
  <c r="F264" i="7" s="1"/>
  <c r="E262" i="7" a="1"/>
  <c r="E261" i="7" a="1"/>
  <c r="E260" i="7"/>
  <c r="E258" i="7" a="1"/>
  <c r="F258" i="7" s="1"/>
  <c r="E257" i="7" a="1"/>
  <c r="F257" i="7" s="1"/>
  <c r="E256" i="7" a="1"/>
  <c r="E255" i="7" a="1"/>
  <c r="E254" i="7"/>
  <c r="E252" i="7" a="1"/>
  <c r="F252" i="7" s="1"/>
  <c r="E251" i="7" a="1"/>
  <c r="F251" i="7" s="1"/>
  <c r="E250" i="7" a="1"/>
  <c r="E249" i="7" a="1"/>
  <c r="E248" i="7"/>
  <c r="E246" i="7" a="1"/>
  <c r="F246" i="7" s="1"/>
  <c r="E245" i="7" a="1"/>
  <c r="F245" i="7" s="1"/>
  <c r="E244" i="7" a="1"/>
  <c r="E243" i="7" a="1"/>
  <c r="E242" i="7"/>
  <c r="E239" i="7" a="1"/>
  <c r="F239" i="7" s="1"/>
  <c r="E238" i="7" a="1"/>
  <c r="E237" i="7"/>
  <c r="E235" i="7" a="1"/>
  <c r="F235" i="7" s="1"/>
  <c r="E234" i="7" a="1"/>
  <c r="F234" i="7" s="1"/>
  <c r="E233" i="7" a="1"/>
  <c r="E232" i="7"/>
  <c r="E230" i="7" a="1"/>
  <c r="F230" i="7" s="1"/>
  <c r="E229" i="7" a="1"/>
  <c r="F229" i="7" s="1"/>
  <c r="E228" i="7" a="1"/>
  <c r="E227" i="7"/>
  <c r="E224" i="7" a="1"/>
  <c r="F224" i="7" s="1"/>
  <c r="E223" i="7" a="1"/>
  <c r="E222" i="7"/>
  <c r="E217" i="7"/>
  <c r="E212" i="7"/>
  <c r="E210" i="7" a="1"/>
  <c r="F210" i="7" s="1"/>
  <c r="E209" i="7" a="1"/>
  <c r="F209" i="7" s="1"/>
  <c r="E208" i="7" a="1"/>
  <c r="E207" i="7"/>
  <c r="E205" i="7" a="1"/>
  <c r="F205" i="7" s="1"/>
  <c r="E204" i="7" a="1"/>
  <c r="F204" i="7" s="1"/>
  <c r="E203" i="7" a="1"/>
  <c r="E202" i="7" a="1"/>
  <c r="E201" i="7"/>
  <c r="E197" i="7" a="1"/>
  <c r="E196" i="7" a="1"/>
  <c r="E195" i="7"/>
  <c r="E193" i="7" a="1"/>
  <c r="F193" i="7" s="1"/>
  <c r="E192" i="7" a="1"/>
  <c r="F192" i="7" s="1"/>
  <c r="E191" i="7" a="1"/>
  <c r="E190" i="7" a="1"/>
  <c r="E189" i="7"/>
  <c r="E187" i="7" a="1"/>
  <c r="F187" i="7" s="1"/>
  <c r="E186" i="7" a="1"/>
  <c r="F186" i="7" s="1"/>
  <c r="E185" i="7" a="1"/>
  <c r="E184" i="7" a="1"/>
  <c r="E183" i="7"/>
  <c r="E181" i="7" a="1"/>
  <c r="F181" i="7" s="1"/>
  <c r="E180" i="7" a="1"/>
  <c r="F180" i="7" s="1"/>
  <c r="E179" i="7" a="1"/>
  <c r="E178" i="7" a="1"/>
  <c r="E177" i="7"/>
  <c r="E175" i="7" a="1"/>
  <c r="F175" i="7" s="1"/>
  <c r="E174" i="7" a="1"/>
  <c r="F174" i="7" s="1"/>
  <c r="E173" i="7" a="1"/>
  <c r="E172" i="7" a="1"/>
  <c r="E171" i="7"/>
  <c r="E169" i="7" a="1"/>
  <c r="F169" i="7" s="1"/>
  <c r="E168" i="7" a="1"/>
  <c r="F168" i="7" s="1"/>
  <c r="E167" i="7" a="1"/>
  <c r="E166" i="7" a="1"/>
  <c r="E165" i="7"/>
  <c r="E158" i="7" a="1"/>
  <c r="F158" i="7" s="1"/>
  <c r="E163" i="7" a="1"/>
  <c r="F163" i="7" s="1"/>
  <c r="E162" i="7" a="1"/>
  <c r="F162" i="7" s="1"/>
  <c r="E161" i="7" a="1"/>
  <c r="E157" i="7" a="1"/>
  <c r="F157" i="7" s="1"/>
  <c r="E156" i="7" a="1"/>
  <c r="E153" i="7" a="1"/>
  <c r="F153" i="7" s="1"/>
  <c r="E152" i="7" a="1"/>
  <c r="F152" i="7" s="1"/>
  <c r="E151" i="7" a="1"/>
  <c r="E148" i="7" a="1"/>
  <c r="F148" i="7" s="1"/>
  <c r="E147" i="7" a="1"/>
  <c r="F147" i="7" s="1"/>
  <c r="E146" i="7" a="1"/>
  <c r="E143" i="7" a="1"/>
  <c r="F143" i="7" s="1"/>
  <c r="E142" i="7" a="1"/>
  <c r="F142" i="7" s="1"/>
  <c r="E141" i="7" a="1"/>
  <c r="E136" i="7"/>
  <c r="E134" i="7" a="1"/>
  <c r="E132" i="7"/>
  <c r="E130" i="7"/>
  <c r="E128" i="7"/>
  <c r="E126" i="7"/>
  <c r="E12" i="7"/>
  <c r="E26" i="7"/>
  <c r="E37" i="7"/>
  <c r="E84" i="7"/>
  <c r="E50" i="7"/>
  <c r="E57" i="7"/>
  <c r="E114" i="7"/>
  <c r="E34" i="7"/>
  <c r="E104" i="7"/>
  <c r="E75" i="7"/>
  <c r="E92" i="7"/>
  <c r="E96" i="7"/>
  <c r="E109" i="7"/>
  <c r="E36" i="7"/>
  <c r="E21" i="7"/>
  <c r="E18" i="7"/>
  <c r="E24" i="7"/>
  <c r="E90" i="7"/>
  <c r="E49" i="7"/>
  <c r="E81" i="7"/>
  <c r="E60" i="7"/>
  <c r="E25" i="7"/>
  <c r="E11" i="7"/>
  <c r="E62" i="7"/>
  <c r="E61" i="7"/>
  <c r="E14" i="7"/>
  <c r="E32" i="7"/>
  <c r="E77" i="7"/>
  <c r="E74" i="7"/>
  <c r="E52" i="7"/>
  <c r="E65" i="7"/>
  <c r="E68" i="7"/>
  <c r="E29" i="7"/>
  <c r="E8" i="7"/>
  <c r="E122" i="7"/>
  <c r="E106" i="7"/>
  <c r="E20" i="7"/>
  <c r="E41" i="7"/>
  <c r="E30" i="7"/>
  <c r="E117" i="7"/>
  <c r="E100" i="7"/>
  <c r="E89" i="7"/>
  <c r="E58" i="7"/>
  <c r="E28" i="7"/>
  <c r="E56" i="7"/>
  <c r="E98" i="7"/>
  <c r="E16" i="7"/>
  <c r="E63" i="7"/>
  <c r="E116" i="7"/>
  <c r="E76" i="7"/>
  <c r="E115" i="7"/>
  <c r="E101" i="7"/>
  <c r="E93" i="7"/>
  <c r="E23" i="7"/>
  <c r="E38" i="7"/>
  <c r="E17" i="7"/>
  <c r="E102" i="7"/>
  <c r="E15" i="7"/>
  <c r="E54" i="7"/>
  <c r="E46" i="7"/>
  <c r="E22" i="7"/>
  <c r="E103" i="7"/>
  <c r="E27" i="7"/>
  <c r="E42" i="7"/>
  <c r="E99" i="7"/>
  <c r="E83" i="7"/>
  <c r="E111" i="7"/>
  <c r="E10" i="7"/>
  <c r="E69" i="7"/>
  <c r="E82" i="7"/>
  <c r="E70" i="7"/>
  <c r="E107" i="7"/>
  <c r="E95" i="7"/>
  <c r="E13" i="7"/>
  <c r="E7" i="7"/>
  <c r="E79" i="7"/>
  <c r="E110" i="7"/>
  <c r="E64" i="7"/>
  <c r="E88" i="7"/>
  <c r="E45" i="7"/>
  <c r="E118" i="7"/>
  <c r="E73" i="7"/>
  <c r="E43" i="7"/>
  <c r="E51" i="7"/>
  <c r="E67" i="7"/>
  <c r="E78" i="7"/>
  <c r="E35" i="7"/>
  <c r="E113" i="7"/>
  <c r="E48" i="7"/>
  <c r="E40" i="7"/>
  <c r="E97" i="7"/>
  <c r="E59" i="7"/>
  <c r="E87" i="7"/>
  <c r="E55" i="7"/>
  <c r="E121" i="7"/>
  <c r="E31" i="7"/>
  <c r="E53" i="7"/>
  <c r="E119" i="7"/>
  <c r="E112" i="7"/>
  <c r="E72" i="7"/>
  <c r="E86" i="7"/>
  <c r="E94" i="7"/>
  <c r="E19" i="7"/>
  <c r="E71" i="7"/>
  <c r="E66" i="7"/>
  <c r="E44" i="7"/>
  <c r="E91" i="7"/>
  <c r="E85" i="7"/>
  <c r="E108" i="7"/>
  <c r="E9" i="7"/>
  <c r="E80" i="7"/>
  <c r="E120" i="7"/>
  <c r="E47" i="7"/>
  <c r="E33" i="7"/>
  <c r="E105" i="7"/>
  <c r="F117" i="7" l="1"/>
  <c r="F111" i="7"/>
  <c r="F105" i="7"/>
  <c r="F91" i="7"/>
  <c r="E198" i="7" a="1"/>
  <c r="F198" i="7" s="1"/>
  <c r="E282" i="7" a="1"/>
  <c r="F282" i="7" s="1"/>
  <c r="E287" i="7" a="1"/>
  <c r="F287" i="7" s="1"/>
  <c r="E284" i="7" a="1"/>
  <c r="F284" i="7" s="1"/>
  <c r="E291" i="7" a="1"/>
  <c r="F291" i="7" s="1"/>
  <c r="E218" i="7" a="1"/>
  <c r="E213" i="7" a="1"/>
  <c r="E214" i="7" a="1"/>
  <c r="F214" i="7" s="1"/>
  <c r="E219" i="7" a="1"/>
  <c r="F219" i="7" s="1"/>
  <c r="E281" i="7" a="1"/>
  <c r="F281" i="7" s="1"/>
  <c r="F38" i="7"/>
  <c r="F295" i="7"/>
  <c r="F296" i="7"/>
  <c r="F297" i="7"/>
  <c r="F289" i="7"/>
  <c r="F290" i="7"/>
  <c r="F286" i="7"/>
  <c r="F101" i="7" l="1"/>
  <c r="F99" i="7"/>
  <c r="F102" i="7"/>
  <c r="F100" i="7"/>
  <c r="F278" i="7"/>
  <c r="F256" i="7"/>
  <c r="F274" i="7"/>
  <c r="F280" i="7"/>
  <c r="F254" i="7"/>
  <c r="F272" i="7"/>
  <c r="F255" i="7"/>
  <c r="F273" i="7"/>
  <c r="F242" i="7"/>
  <c r="F248" i="7"/>
  <c r="F260" i="7"/>
  <c r="F266" i="7"/>
  <c r="F279" i="7"/>
  <c r="F243" i="7"/>
  <c r="F249" i="7"/>
  <c r="F261" i="7"/>
  <c r="F267" i="7"/>
  <c r="F244" i="7"/>
  <c r="F250" i="7"/>
  <c r="F262" i="7"/>
  <c r="F268" i="7"/>
  <c r="F223" i="7" l="1"/>
  <c r="F237" i="7"/>
  <c r="F233" i="7"/>
  <c r="F207" i="7"/>
  <c r="F238" i="7"/>
  <c r="F232" i="7"/>
  <c r="F228" i="7"/>
  <c r="F208" i="7"/>
  <c r="F217" i="7"/>
  <c r="F227" i="7"/>
  <c r="F218" i="7"/>
  <c r="F222" i="7"/>
  <c r="F212" i="7"/>
  <c r="F213" i="7"/>
  <c r="F202" i="7" l="1"/>
  <c r="F203" i="7"/>
  <c r="F201" i="7"/>
  <c r="F190" i="7"/>
  <c r="F191" i="7"/>
  <c r="F195" i="7"/>
  <c r="F197" i="7"/>
  <c r="F189" i="7"/>
  <c r="F196" i="7"/>
  <c r="F183" i="7" l="1"/>
  <c r="F178" i="7"/>
  <c r="F179" i="7"/>
  <c r="F185" i="7"/>
  <c r="F177" i="7"/>
  <c r="F184" i="7"/>
  <c r="F171" i="7"/>
  <c r="F173" i="7"/>
  <c r="F172" i="7"/>
  <c r="F165" i="7"/>
  <c r="F166" i="7"/>
  <c r="F167" i="7"/>
  <c r="F98" i="7" l="1"/>
  <c r="F103" i="7"/>
  <c r="F104" i="7"/>
  <c r="F115" i="7"/>
  <c r="F113" i="7"/>
  <c r="F116" i="7"/>
  <c r="F114" i="7"/>
  <c r="F120" i="7"/>
  <c r="F119" i="7"/>
  <c r="F161" i="7" l="1"/>
  <c r="F160" i="7"/>
  <c r="F96" i="7" l="1"/>
  <c r="F126" i="7"/>
  <c r="F141" i="7" l="1"/>
  <c r="F132" i="7"/>
  <c r="F156" i="7"/>
  <c r="F128" i="7"/>
  <c r="F124" i="7"/>
  <c r="F134" i="7"/>
  <c r="F146" i="7"/>
  <c r="F151" i="7"/>
  <c r="F138" i="7"/>
  <c r="F145" i="7"/>
  <c r="F155" i="7"/>
  <c r="F150" i="7"/>
  <c r="F140" i="7"/>
  <c r="F136" i="7"/>
  <c r="E6" i="7"/>
  <c r="F97" i="7" l="1"/>
  <c r="F57" i="7"/>
  <c r="F109" i="7"/>
  <c r="F45" i="7"/>
  <c r="F65" i="7"/>
  <c r="F108" i="7"/>
  <c r="F95" i="7"/>
  <c r="F94" i="7"/>
  <c r="F79" i="7"/>
  <c r="F64" i="7"/>
  <c r="F122" i="7"/>
  <c r="F71" i="7"/>
  <c r="F73" i="7"/>
  <c r="F54" i="7"/>
  <c r="F93" i="7"/>
  <c r="F86" i="7"/>
  <c r="F59" i="7"/>
  <c r="F74" i="7"/>
  <c r="F43" i="7"/>
  <c r="F68" i="7"/>
  <c r="F83" i="7"/>
  <c r="F55" i="7"/>
  <c r="F106" i="7"/>
  <c r="F60" i="7"/>
  <c r="F49" i="7"/>
  <c r="F107" i="7"/>
  <c r="F85" i="7"/>
  <c r="F62" i="7"/>
  <c r="F72" i="7"/>
  <c r="F89" i="7"/>
  <c r="F48" i="7"/>
  <c r="F50" i="7"/>
  <c r="F70" i="7"/>
  <c r="F66" i="7"/>
  <c r="F81" i="7"/>
  <c r="F84" i="7"/>
  <c r="F42" i="7"/>
  <c r="F51" i="7"/>
  <c r="F87" i="7"/>
  <c r="F121" i="7"/>
  <c r="F44" i="7"/>
  <c r="F90" i="7"/>
  <c r="F40" i="7"/>
  <c r="F112" i="7"/>
  <c r="F53" i="7"/>
  <c r="F61" i="7"/>
  <c r="F82" i="7"/>
  <c r="F52" i="7"/>
  <c r="F92" i="7"/>
  <c r="F56" i="7"/>
  <c r="F63" i="7"/>
  <c r="F47" i="7"/>
  <c r="F69" i="7"/>
  <c r="F58" i="7"/>
  <c r="F88" i="7"/>
  <c r="F78" i="7"/>
  <c r="F80" i="7"/>
  <c r="F67" i="7"/>
  <c r="F75" i="7"/>
  <c r="F41" i="7"/>
  <c r="F118" i="7"/>
  <c r="F46" i="7"/>
  <c r="F77" i="7"/>
  <c r="F110" i="7"/>
  <c r="F76" i="7"/>
  <c r="F17" i="7"/>
  <c r="F32" i="7"/>
  <c r="F10" i="7"/>
  <c r="F21" i="7"/>
  <c r="F30" i="7"/>
  <c r="F27" i="7"/>
  <c r="F18" i="7"/>
  <c r="F23" i="7"/>
  <c r="F25" i="7"/>
  <c r="F22" i="7"/>
  <c r="F33" i="7"/>
  <c r="F9" i="7"/>
  <c r="F6" i="7"/>
  <c r="F29" i="7"/>
  <c r="F7" i="7"/>
  <c r="F20" i="7"/>
  <c r="F8" i="7"/>
  <c r="F35" i="7"/>
  <c r="F15" i="7"/>
  <c r="F36" i="7"/>
  <c r="F14" i="7"/>
  <c r="F26" i="7"/>
  <c r="F37" i="7"/>
  <c r="F11" i="7"/>
  <c r="F16" i="7"/>
  <c r="F24" i="7"/>
  <c r="F13" i="7"/>
  <c r="F28" i="7"/>
  <c r="F31" i="7"/>
  <c r="F34" i="7"/>
  <c r="F19" i="7"/>
  <c r="F12" i="7"/>
  <c r="F130"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<sst xmlns="http://schemas.openxmlformats.org/spreadsheetml/2006/main" count="1240" uniqueCount="557">
  <si>
    <t>Gender</t>
  </si>
  <si>
    <t>Male</t>
  </si>
  <si>
    <t>Female</t>
  </si>
  <si>
    <t>Expected</t>
  </si>
  <si>
    <t>Actual</t>
  </si>
  <si>
    <t>Retention of Organisation ID as Organisation Code</t>
  </si>
  <si>
    <t>Organisation Code</t>
  </si>
  <si>
    <t>A12345</t>
  </si>
  <si>
    <t>Anonymised Identifier</t>
  </si>
  <si>
    <t>HbA1c (2a): Value</t>
  </si>
  <si>
    <t>HbA1c (2b): Value</t>
  </si>
  <si>
    <t>HbA1c (2c): Value</t>
  </si>
  <si>
    <t>HbA1c (2d): Value</t>
  </si>
  <si>
    <t>HbA1c (2e): Value</t>
  </si>
  <si>
    <t>Weight (1a): Value</t>
  </si>
  <si>
    <t>Weight (1a): Unit of Measure</t>
  </si>
  <si>
    <t>Weight (1b): Value</t>
  </si>
  <si>
    <t>Weight (2a): Value</t>
  </si>
  <si>
    <t>Weight (2a): Unit of Measure</t>
  </si>
  <si>
    <t>Weight (2b): Value</t>
  </si>
  <si>
    <t>Weight (2b): Unit of Measure</t>
  </si>
  <si>
    <t>Weight (2c): Value</t>
  </si>
  <si>
    <t>Weight (2c): Unit of Measure</t>
  </si>
  <si>
    <t>Weight (2d): Value</t>
  </si>
  <si>
    <t>Weight (2d): Unit of Measure</t>
  </si>
  <si>
    <t>Weight (2e): Value</t>
  </si>
  <si>
    <t>Weight (2e): Unit of Measure</t>
  </si>
  <si>
    <t>BMI (1a): Value</t>
  </si>
  <si>
    <t>BMI (1b): Value</t>
  </si>
  <si>
    <t>BMI (2a): Value</t>
  </si>
  <si>
    <t>BMI (2b): Value</t>
  </si>
  <si>
    <t>BMI (2c): Value</t>
  </si>
  <si>
    <t>BMI (2d): Value</t>
  </si>
  <si>
    <t>BMI (2e): Value</t>
  </si>
  <si>
    <t>Height (1a): Value</t>
  </si>
  <si>
    <t>Height (1a): Unit of Measure</t>
  </si>
  <si>
    <t>Height (1b): Value</t>
  </si>
  <si>
    <t>Height (1b): Unit of Measure</t>
  </si>
  <si>
    <t>Height (2a): Value</t>
  </si>
  <si>
    <t>Height (2a): Unit of Measure</t>
  </si>
  <si>
    <t>Height (2b): Value</t>
  </si>
  <si>
    <t>Height (2b): Unit of Measure</t>
  </si>
  <si>
    <t>Height (2c): Value</t>
  </si>
  <si>
    <t>Height (2c): Unit of Measure</t>
  </si>
  <si>
    <t>Height (2d): Value</t>
  </si>
  <si>
    <t>Height (2d): Unit of Measure</t>
  </si>
  <si>
    <t>Height (2e): Value</t>
  </si>
  <si>
    <t>Height (2e): Unit of Measure</t>
  </si>
  <si>
    <t>Cancer antigen 19-9 (CA 19-9): Value</t>
  </si>
  <si>
    <t>Cancer antigen 19-9 (CA 19-9): Unit of Measure</t>
  </si>
  <si>
    <t>Carcinoembryonic antigen (CEA): Value</t>
  </si>
  <si>
    <t>Carcinoembryonic antigen (CEA): Unit of Measure</t>
  </si>
  <si>
    <t>Made-up Medical Practice Ltd.</t>
  </si>
  <si>
    <t>54321A</t>
  </si>
  <si>
    <t>Column header to check</t>
  </si>
  <si>
    <t>Purpose of test</t>
  </si>
  <si>
    <t>No valid Index HbA1c &gt;= 48 in date window</t>
  </si>
  <si>
    <t>cm</t>
  </si>
  <si>
    <t>Row pass?</t>
  </si>
  <si>
    <t>ug/L</t>
  </si>
  <si>
    <t>s37-tvs37-7972-tvs14081748</t>
  </si>
  <si>
    <t>z98-czr98-3195-czr11413352</t>
  </si>
  <si>
    <t>o35-jhy35-1410-jhy98184643</t>
  </si>
  <si>
    <t>k68-siq68-4690-siq28680502</t>
  </si>
  <si>
    <t>e91-jhx91-3352-jhx66856817</t>
  </si>
  <si>
    <t>q72-aox72-9223-aox48723502</t>
  </si>
  <si>
    <t>r41-bgz41-4643-bgz15482462</t>
  </si>
  <si>
    <t>k52-oey52-3315-oey68904947</t>
  </si>
  <si>
    <t>n51-vaf51-7783-vaf16655799</t>
  </si>
  <si>
    <t>c58-vce58-6913-vce71102201</t>
  </si>
  <si>
    <t>l93-tkm93-5771-tkm54294906</t>
  </si>
  <si>
    <t>f25-lhw25-9348-lhw77561894</t>
  </si>
  <si>
    <t>h12-hgm12-3904-hgm32914170</t>
  </si>
  <si>
    <t>i87-yio87-6297-yio17262220</t>
  </si>
  <si>
    <t>q93-dmf93-6581-dmf99435818</t>
  </si>
  <si>
    <t>d93-wvr93-5844-wvr74970558</t>
  </si>
  <si>
    <t>z72-ovo72-2611-ovo48477999</t>
  </si>
  <si>
    <t>n71-hhd71-8979-hhd57683904</t>
  </si>
  <si>
    <t>f53-tpu53-2715-tpu24556933</t>
  </si>
  <si>
    <t>v15-mdd15-8138-mdd25639606</t>
  </si>
  <si>
    <t>b29-tkx29-5212-tkx77140621</t>
  </si>
  <si>
    <t>c48-zus48-4617-zus47583928</t>
  </si>
  <si>
    <t>t95-jce95-2093-jce16991623</t>
  </si>
  <si>
    <t>l97-khn97-2960-khn22485908</t>
  </si>
  <si>
    <t>n69-bts69-4970-bts54736387</t>
  </si>
  <si>
    <t>1a</t>
  </si>
  <si>
    <t>1c</t>
  </si>
  <si>
    <t>1e</t>
  </si>
  <si>
    <t>1i</t>
  </si>
  <si>
    <t>1k</t>
  </si>
  <si>
    <t>1m</t>
  </si>
  <si>
    <t>1o</t>
  </si>
  <si>
    <t>1q</t>
  </si>
  <si>
    <t>1v</t>
  </si>
  <si>
    <t>1y</t>
  </si>
  <si>
    <t>1ab</t>
  </si>
  <si>
    <t>1ae</t>
  </si>
  <si>
    <t>1ah</t>
  </si>
  <si>
    <t>1ak</t>
  </si>
  <si>
    <t>1an</t>
  </si>
  <si>
    <t>1ap</t>
  </si>
  <si>
    <t>1ar</t>
  </si>
  <si>
    <t>1at</t>
  </si>
  <si>
    <t>1av</t>
  </si>
  <si>
    <t>1ax</t>
  </si>
  <si>
    <t>1az</t>
  </si>
  <si>
    <t>1bb</t>
  </si>
  <si>
    <t>1be</t>
  </si>
  <si>
    <t>1bh</t>
  </si>
  <si>
    <t>1bk</t>
  </si>
  <si>
    <t>1bn</t>
  </si>
  <si>
    <t>1bq</t>
  </si>
  <si>
    <t>1bt</t>
  </si>
  <si>
    <t>1bw</t>
  </si>
  <si>
    <t>1by</t>
  </si>
  <si>
    <t>1cb</t>
  </si>
  <si>
    <t>1ce</t>
  </si>
  <si>
    <t>2a</t>
  </si>
  <si>
    <t>2b</t>
  </si>
  <si>
    <t>2c</t>
  </si>
  <si>
    <t>2d</t>
  </si>
  <si>
    <t>2e</t>
  </si>
  <si>
    <t>2f</t>
  </si>
  <si>
    <t>2g</t>
  </si>
  <si>
    <t>2h</t>
  </si>
  <si>
    <t>2i</t>
  </si>
  <si>
    <t>2j</t>
  </si>
  <si>
    <t>2k</t>
  </si>
  <si>
    <t>2l</t>
  </si>
  <si>
    <t>2m</t>
  </si>
  <si>
    <t>d13-uaz15-5672-uez83284045</t>
  </si>
  <si>
    <t>Patient Details</t>
  </si>
  <si>
    <t>Baseline Height</t>
  </si>
  <si>
    <t>Index Date</t>
  </si>
  <si>
    <t>HbA1c (2a)</t>
  </si>
  <si>
    <t>HbA1c (2b)</t>
  </si>
  <si>
    <t>HbA1c (2c)</t>
  </si>
  <si>
    <t>HbA1c (2d)</t>
  </si>
  <si>
    <t>HbA1c (2e)</t>
  </si>
  <si>
    <t>Weight (1a)</t>
  </si>
  <si>
    <t>Weight (1b)</t>
  </si>
  <si>
    <t>Weight (2a)</t>
  </si>
  <si>
    <t>Weight (2b)</t>
  </si>
  <si>
    <t>Weight (2c)</t>
  </si>
  <si>
    <t>Weight (2d)</t>
  </si>
  <si>
    <t>Weight (2e)</t>
  </si>
  <si>
    <t>BMI (1a)</t>
  </si>
  <si>
    <t>BMI (1b)</t>
  </si>
  <si>
    <t>BMI (2a)</t>
  </si>
  <si>
    <t>BMI (2b)</t>
  </si>
  <si>
    <t>BMI (2c)</t>
  </si>
  <si>
    <t>BMI (2d)</t>
  </si>
  <si>
    <t>BMI (2e)</t>
  </si>
  <si>
    <t>Height (1a)</t>
  </si>
  <si>
    <t>Height (1b)</t>
  </si>
  <si>
    <t>Height (2a)</t>
  </si>
  <si>
    <t>Height (2b)</t>
  </si>
  <si>
    <t>Height (2c)</t>
  </si>
  <si>
    <t>Height (2d)</t>
  </si>
  <si>
    <t>Height (2e)</t>
  </si>
  <si>
    <t>Pancreatic cancer diagnosis</t>
  </si>
  <si>
    <t>Cancer antigen 19-9 (CA 19-9)</t>
  </si>
  <si>
    <t>Carcinoembryonic antigen (CEA)</t>
  </si>
  <si>
    <t>Value</t>
  </si>
  <si>
    <t>Unit of Measure</t>
  </si>
  <si>
    <t>Date</t>
  </si>
  <si>
    <t>Patient's Age at Event</t>
  </si>
  <si>
    <t>Patient Details' Gender</t>
  </si>
  <si>
    <r>
      <t xml:space="preserve">All passed? </t>
    </r>
    <r>
      <rPr>
        <b/>
        <sz val="11"/>
        <color rgb="FF00B050"/>
        <rFont val="Aptos Narrow"/>
        <family val="2"/>
        <scheme val="minor"/>
      </rPr>
      <t>Green YES</t>
    </r>
    <r>
      <rPr>
        <b/>
        <sz val="11"/>
        <color theme="1"/>
        <rFont val="Aptos Narrow"/>
        <family val="2"/>
        <scheme val="minor"/>
      </rPr>
      <t xml:space="preserve">, </t>
    </r>
    <r>
      <rPr>
        <b/>
        <sz val="11"/>
        <color rgb="FFC00000"/>
        <rFont val="Aptos Narrow"/>
        <family val="2"/>
        <scheme val="minor"/>
      </rPr>
      <t>red NO</t>
    </r>
  </si>
  <si>
    <t>Blank as end of extracted columns</t>
  </si>
  <si>
    <t>Expected first row of header Patient Details</t>
  </si>
  <si>
    <t>Expected first row of header Baseline Height</t>
  </si>
  <si>
    <t>Expected first row of header Index Date</t>
  </si>
  <si>
    <t>Expected first row of header HbA1c (2a)</t>
  </si>
  <si>
    <t>Expected first row of header HbA1c (2b)</t>
  </si>
  <si>
    <t>Expected first row of header HbA1c (2c)</t>
  </si>
  <si>
    <t>Expected first row of header HbA1c (2d)</t>
  </si>
  <si>
    <t>Expected first row of header HbA1c (2e)</t>
  </si>
  <si>
    <t>Expected first row of header Weight (1a)</t>
  </si>
  <si>
    <t>Expected first row of header Weight (1b)</t>
  </si>
  <si>
    <t>1S</t>
  </si>
  <si>
    <t>Expected first row of header Weight (2a)</t>
  </si>
  <si>
    <t>Expected first row of header Weight (2b)</t>
  </si>
  <si>
    <t>Expected first row of header Weight (2c)</t>
  </si>
  <si>
    <t>Expected first row of header Weight (2d)</t>
  </si>
  <si>
    <t>Expected first row of header Weight (2e)</t>
  </si>
  <si>
    <t>Expected first row of header BMI (1a)</t>
  </si>
  <si>
    <t>Expected first row of header BMI (1b)</t>
  </si>
  <si>
    <t>Expected first row of header BMI (2a)</t>
  </si>
  <si>
    <t>Expected first row of header BMI (2b)</t>
  </si>
  <si>
    <t>Expected first row of header BMI (2c)</t>
  </si>
  <si>
    <t>Expected first row of header BMI (2d)</t>
  </si>
  <si>
    <t>Expected first row of header BMI (2e)</t>
  </si>
  <si>
    <t>Expected first row of header Height (1a)</t>
  </si>
  <si>
    <t>Expected first row of header Height (1b)</t>
  </si>
  <si>
    <t>Expected first row of header Height (2a)</t>
  </si>
  <si>
    <t>Expected first row of header Height (2b)</t>
  </si>
  <si>
    <t>Expected first row of header Height (2c)</t>
  </si>
  <si>
    <t>Expected first row of header Height (2d)</t>
  </si>
  <si>
    <t>Expected first row of header Height (2e)</t>
  </si>
  <si>
    <t>Expected first row of header Pancreatic cancer diagnosis</t>
  </si>
  <si>
    <t>Expected first row of header Cancer antigen 19-9 (CA 19-9)</t>
  </si>
  <si>
    <t>Expected first row of header Carcinoembryonic antigen (CEA)</t>
  </si>
  <si>
    <t>2n</t>
  </si>
  <si>
    <t>2o</t>
  </si>
  <si>
    <t>2p</t>
  </si>
  <si>
    <t>2q</t>
  </si>
  <si>
    <t>2r</t>
  </si>
  <si>
    <t>2s</t>
  </si>
  <si>
    <t>2t</t>
  </si>
  <si>
    <t>2u</t>
  </si>
  <si>
    <t>2v</t>
  </si>
  <si>
    <t>2w</t>
  </si>
  <si>
    <t>2x</t>
  </si>
  <si>
    <t>2y</t>
  </si>
  <si>
    <t>2z</t>
  </si>
  <si>
    <t>2aa</t>
  </si>
  <si>
    <t>2ab</t>
  </si>
  <si>
    <t>2ac</t>
  </si>
  <si>
    <t>2ad</t>
  </si>
  <si>
    <t>2ae</t>
  </si>
  <si>
    <t>2af</t>
  </si>
  <si>
    <t>2ag</t>
  </si>
  <si>
    <t>2ah</t>
  </si>
  <si>
    <t>2ai</t>
  </si>
  <si>
    <t>2aj</t>
  </si>
  <si>
    <t>2ak</t>
  </si>
  <si>
    <t>2al</t>
  </si>
  <si>
    <t>2am</t>
  </si>
  <si>
    <t>2an</t>
  </si>
  <si>
    <t>2ao</t>
  </si>
  <si>
    <t>2ap</t>
  </si>
  <si>
    <t>2aq</t>
  </si>
  <si>
    <t>2ar</t>
  </si>
  <si>
    <t>2as</t>
  </si>
  <si>
    <t>2at</t>
  </si>
  <si>
    <t>2au</t>
  </si>
  <si>
    <t>2av</t>
  </si>
  <si>
    <t>2aw</t>
  </si>
  <si>
    <t>2ax</t>
  </si>
  <si>
    <t>2ay</t>
  </si>
  <si>
    <t>2az</t>
  </si>
  <si>
    <t>2ba</t>
  </si>
  <si>
    <t>2bb</t>
  </si>
  <si>
    <t>2bc</t>
  </si>
  <si>
    <t>2bd</t>
  </si>
  <si>
    <t>2be</t>
  </si>
  <si>
    <t>2bf</t>
  </si>
  <si>
    <t>2bg</t>
  </si>
  <si>
    <t>2bh</t>
  </si>
  <si>
    <t>2bi</t>
  </si>
  <si>
    <t>2bj</t>
  </si>
  <si>
    <t>2bk</t>
  </si>
  <si>
    <t>2bl</t>
  </si>
  <si>
    <t>2bm</t>
  </si>
  <si>
    <t>2bn</t>
  </si>
  <si>
    <t>2bo</t>
  </si>
  <si>
    <t>2bp</t>
  </si>
  <si>
    <t>2bq</t>
  </si>
  <si>
    <t>2br</t>
  </si>
  <si>
    <t>2bs</t>
  </si>
  <si>
    <t>2bt</t>
  </si>
  <si>
    <t>2bu</t>
  </si>
  <si>
    <t>2bv</t>
  </si>
  <si>
    <t>2bw</t>
  </si>
  <si>
    <t>2bx</t>
  </si>
  <si>
    <t>2by</t>
  </si>
  <si>
    <t>2bz</t>
  </si>
  <si>
    <t>2ca</t>
  </si>
  <si>
    <t>2cb</t>
  </si>
  <si>
    <t>2cc</t>
  </si>
  <si>
    <t>2cd</t>
  </si>
  <si>
    <t>Expected second row of header Organisation Code</t>
  </si>
  <si>
    <t>Expected second row of header Anonymised Identifier</t>
  </si>
  <si>
    <t>Expected second row of header Value</t>
  </si>
  <si>
    <t>Expected second row of header Unit of Measure</t>
  </si>
  <si>
    <t>Expected second row of header Date</t>
  </si>
  <si>
    <t>Expected second row of header Patient's Age at Event</t>
  </si>
  <si>
    <t>Expected second row of header Patient Details' Gender</t>
  </si>
  <si>
    <t>2ce</t>
  </si>
  <si>
    <t>PASS</t>
  </si>
  <si>
    <t>Declare in cell C1 the number of patients your extract contains - this adjusts the test formulae's range</t>
  </si>
  <si>
    <t>Row and cell</t>
  </si>
  <si>
    <t>3-Xa</t>
  </si>
  <si>
    <t>3-Xb</t>
  </si>
  <si>
    <t>3-Xc</t>
  </si>
  <si>
    <t>Declare in cell C3 the end date of the inclusion range</t>
  </si>
  <si>
    <t>Declare in cell C2 the start date of the inclusion range</t>
  </si>
  <si>
    <t>3-Xd</t>
  </si>
  <si>
    <t>3-Xe</t>
  </si>
  <si>
    <t>Baseline Height Unit of Measure</t>
  </si>
  <si>
    <t>Baseline Height Value</t>
  </si>
  <si>
    <t>Pass: at least one value exists and every populated value is a positive number (&gt;0). INCONCLUSIVE: all cells are blank. FAIL: any populated cell is text, zero (not just missing, this passes), or a negative number.</t>
  </si>
  <si>
    <t>Index Date Value</t>
  </si>
  <si>
    <t>Index Date Date</t>
  </si>
  <si>
    <t>Index Date Patient's Age at Event</t>
  </si>
  <si>
    <t>PASS: every row in the defined test range contains an Index HbA1c value, and every value is numeric and between 48 and 250 inclusive. FAIL: one or more rows has a blank Index HbA1c, or any returned value is non-numeric or outside 48–250.</t>
  </si>
  <si>
    <t xml:space="preserve">PASS: at least one cell contains any content. FAIL: the entire tested range is blank. No expected format to the identifier is imposed. </t>
  </si>
  <si>
    <t>PASS: every row in the defined test range contains an Index Date, and every Index Date is a valid Excel date between C2 and C3 inclusive. FAIL: one or more rows have a missing Index Date, non-numeric or outside the inclusion period.</t>
  </si>
  <si>
    <t>PASS: every row in the defined test range contains an age, and every age is numeric and between 45 and 120 (to account for the years between possible index date age and age at point of extraciton). FAIL: one or more rows age is missing, or any age is non-numeric or outside 45–120.</t>
  </si>
  <si>
    <t>PASS: at least one value in the tested Gender range is Male or Female. Other text values are permitted and do not prevent passing (to account for unknown EMIS gender classifications). FAIL: no Male or Female value is found in the tested range.</t>
  </si>
  <si>
    <t>PASS: at least one value exists and every populated value is a positive number (&gt;0). INCONCLUSIVE: all value cells are blank. FAIL: any populated value is text, zero, or negative.</t>
  </si>
  <si>
    <t>HbA1c (2a): All values have dates</t>
  </si>
  <si>
    <t>HbA1c (2a): All dates have values</t>
  </si>
  <si>
    <t>HbA1c (2a): Date validity/window</t>
  </si>
  <si>
    <t>PASS: every populated HbA1c (2a) value has a populated Date cell on the same row. INCONCLUSIVE: no HbA1c (2a) values are returned. FAIL: one or more values have no corresponding date.</t>
  </si>
  <si>
    <t>PASS: every populated HbA1c (2a) Date cell has a populated Value cell on the same row. INCONCLUSIVE: no HbA1c (2a) dates are returned. FAIL: one or more dates have no corresponding value.</t>
  </si>
  <si>
    <t>PASS: at least one date is returned and every populated date is numeric and 274–455 days before that row's Index Date. INCONCLUSIVE: all date cells are blank. FAIL: any populated date is non-numeric or outside the 274–455-day window.</t>
  </si>
  <si>
    <t>3-Xf</t>
  </si>
  <si>
    <t>3-Xg</t>
  </si>
  <si>
    <t>3-Xh</t>
  </si>
  <si>
    <t>3-Xi</t>
  </si>
  <si>
    <t>3-Xj</t>
  </si>
  <si>
    <t>3-Xk</t>
  </si>
  <si>
    <t>3-Xl</t>
  </si>
  <si>
    <t>PASS: every populated HbA1c (2b) value has a populated Date cell on the same row. INCONCLUSIVE: no HbA1c (2b) values are returned. FAIL: one or more values have no corresponding date.</t>
  </si>
  <si>
    <t>HbA1c (2b): All values have dates</t>
  </si>
  <si>
    <t>PASS: every populated HbA1c (2b) Date cell has a populated Value cell on the same row. INCONCLUSIVE: no HbA1c (2b) dates are returned. FAIL: one or more dates have no corresponding value.</t>
  </si>
  <si>
    <t>HbA1c (2b): All dates have values</t>
  </si>
  <si>
    <t>PASS: at least one date is returned and every populated date is numeric and 456–546 days before that row's Index Date. INCONCLUSIVE: all date cells are blank. FAIL: any populated date is non-numeric or outside the 456–546-day window.</t>
  </si>
  <si>
    <t>HbA1c (2b): Date validity/window</t>
  </si>
  <si>
    <t>PASS: every populated HbA1c (2c) value has a populated Date cell on the same row. INCONCLUSIVE: no HbA1c (2c) values are returned. FAIL: one or more values have no corresponding date.</t>
  </si>
  <si>
    <t>HbA1c (2c): All values have dates</t>
  </si>
  <si>
    <t>3-Xm</t>
  </si>
  <si>
    <t>3-Xn</t>
  </si>
  <si>
    <t>PASS: every populated HbA1c (2c) Date cell has a populated Value cell on the same row. INCONCLUSIVE: no HbA1c (2c) dates are returned. FAIL: one or more dates have no corresponding value.</t>
  </si>
  <si>
    <t>HbA1c (2c): All dates have values</t>
  </si>
  <si>
    <t>PASS: at least one date is returned and every populated date is numeric and 183–273 days before that row's Index Date. INCONCLUSIVE: all date cells are blank. FAIL: any populated date is non-numeric or outside the 183–273-day window.</t>
  </si>
  <si>
    <t>HbA1c (2c): Date validity/window</t>
  </si>
  <si>
    <t>3-Xo</t>
  </si>
  <si>
    <t>3-Xp</t>
  </si>
  <si>
    <t>PASS: every populated HbA1c (2d) value has a populated Date cell on the same row. INCONCLUSIVE: no HbA1c (2d) values are returned. FAIL: one or more values have no corresponding date.</t>
  </si>
  <si>
    <t>HbA1c (2d): All values have dates</t>
  </si>
  <si>
    <t>PASS: every populated HbA1c (2d) Date cell has a populated Value cell on the same row. INCONCLUSIVE: no HbA1c (2d) dates are returned. FAIL: one or more dates have no corresponding value.</t>
  </si>
  <si>
    <t>HbA1c (2d): All dates have values</t>
  </si>
  <si>
    <t>HbA1c (2d): Date validity/window</t>
  </si>
  <si>
    <t>3-Xq</t>
  </si>
  <si>
    <t>3-Xr</t>
  </si>
  <si>
    <t>PASS: every populated HbA1c (2e) value has a populated Date cell on the same row. INCONCLUSIVE: no HbA1c (2e) values are returned. FAIL: one or more values have no corresponding date.</t>
  </si>
  <si>
    <t>HbA1c (2e): All values have dates</t>
  </si>
  <si>
    <t>PASS: every populated HbA1c (2e) Date cell has a populated Value cell on the same row. INCONCLUSIVE: no HbA1c (2e) dates are returned. FAIL: one or more dates have no corresponding value.</t>
  </si>
  <si>
    <t>HbA1c (2e): All dates have values</t>
  </si>
  <si>
    <t>PASS: at least one date is returned and every populated date is numeric and 547–728 days before that row's Index Date. INCONCLUSIVE: all date cells are blank. FAIL: any populated date is non-numeric or outside the 547–728-day window.</t>
  </si>
  <si>
    <t>HbA1c (2e): Date validity/window</t>
  </si>
  <si>
    <t>PASS: at least one date is returned and every populated date is numeric and 92–182 days before that row's Index Date. INCONCLUSIVE: all date cells are blank. FAIL: any populated date is non-numeric or outside the 92–182-day window.</t>
  </si>
  <si>
    <t>PASS: at least one recognisable weight UoM appears, e.g. kg, stone. Other unrecognised ones may also be present and do not prevent passing if recognised UoMs are there too. INCONCLUSIVE: all UoM cells are blank. FAIL: text is present in UoM cells but none is recognised as a reasonable weight UoM.</t>
  </si>
  <si>
    <t>kg</t>
  </si>
  <si>
    <t>Weight (1a): All values have dates</t>
  </si>
  <si>
    <t>Weight (1a): All dates have values</t>
  </si>
  <si>
    <t>Weight (1a): Date validity/window</t>
  </si>
  <si>
    <t>PASS: every populated Weight (1a) value has a populated Date cell on the same row. INCONCLUSIVE: no Weight (1a) values are returned. FAIL: one or more values have no corresponding date.</t>
  </si>
  <si>
    <t>PASS: every populated Weight (1a) Date cell has a populated Value cell on the same row. INCONCLUSIVE: no Weight (1a) dates are returned. FAIL: one or more dates have no corresponding value.</t>
  </si>
  <si>
    <t>3-Xs</t>
  </si>
  <si>
    <t>3-Xt</t>
  </si>
  <si>
    <t>3-Xu</t>
  </si>
  <si>
    <t>PASS: at least one date is returned and every populated date is numeric and 0–91 days after that row's Index Date. INCONCLUSIVE: all date cells are blank. FAIL: any populated date is non-numeric or outside the 0–91-day window.</t>
  </si>
  <si>
    <t>Weight (1b): UoM</t>
  </si>
  <si>
    <t>PASS: every populated Weight (1b) value has a populated Date cell on the same row. INCONCLUSIVE: no Weight (1b) values are returned. FAIL: one or more values have no corresponding date.</t>
  </si>
  <si>
    <t>Weight (1b): All values have dates</t>
  </si>
  <si>
    <t>PASS: every populated Weight (1b) Date cell has a populated Value cell on the same row. INCONCLUSIVE: no Weight (1b) dates are returned. FAIL: one or more dates have no corresponding value.</t>
  </si>
  <si>
    <t>Weight (1b): All dates have values</t>
  </si>
  <si>
    <t>PASS: at least one date is returned and every populated date is numeric and 1–91 days before that row's Index Date. INCONCLUSIVE: all date cells are blank. FAIL: any populated date is non-numeric or outside the 1–91-day window.</t>
  </si>
  <si>
    <t>Weight (1b): Date validity/window</t>
  </si>
  <si>
    <t>3-Xv</t>
  </si>
  <si>
    <t>3-Xw</t>
  </si>
  <si>
    <t>3-Xx</t>
  </si>
  <si>
    <t>PASS: every populated Weight (2a) value has a populated Date cell on the same row. INCONCLUSIVE: no Weight (2a) values are returned. FAIL: one or more values have no corresponding date.</t>
  </si>
  <si>
    <t>Weight (2a): All values have dates</t>
  </si>
  <si>
    <t>PASS: every populated Weight (2a) Date cell has a populated Value cell on the same row. INCONCLUSIVE: no Weight (2a) dates are returned. FAIL: one or more dates have no corresponding value.</t>
  </si>
  <si>
    <t>Weight (2a): All dates have values</t>
  </si>
  <si>
    <t>PASS: at least one date is returned and every populated date is numeric and 274–364 days before that row's Index Date. INCONCLUSIVE: all date cells are blank. FAIL: any populated date is non-numeric or outside the 274–364-day window.</t>
  </si>
  <si>
    <t>Weight (2a): Date validity/window</t>
  </si>
  <si>
    <t>Weight (2b): All values have dates</t>
  </si>
  <si>
    <t>Weight (2b): All dates have values</t>
  </si>
  <si>
    <t>Weight (2b): Date validity/window</t>
  </si>
  <si>
    <t>Weight (2c): All values have dates</t>
  </si>
  <si>
    <t>Weight (2c): All dates have values</t>
  </si>
  <si>
    <t>Weight (2c): Date validity/window</t>
  </si>
  <si>
    <t>Weight (2d): All values have dates</t>
  </si>
  <si>
    <t>Weight (2d): All dates have values</t>
  </si>
  <si>
    <t>Weight (2d): Date validity/window</t>
  </si>
  <si>
    <t>Weight (2e): All values have dates</t>
  </si>
  <si>
    <t>Weight (2e): All dates have values</t>
  </si>
  <si>
    <t>Weight (2e): Date validity/window</t>
  </si>
  <si>
    <t>3-Xy</t>
  </si>
  <si>
    <t>3-Xz</t>
  </si>
  <si>
    <t>3-Xaa</t>
  </si>
  <si>
    <t>3-Xab</t>
  </si>
  <si>
    <t>3-Xac</t>
  </si>
  <si>
    <t>3-Xad</t>
  </si>
  <si>
    <t>PASS: every populated Weight (2b) value has a populated Date cell on the same row. INCONCLUSIVE: no Weight (2b) values are returned. FAIL: one or more values have no corresponding date.</t>
  </si>
  <si>
    <t>PASS: every populated Weight (2b) Date cell has a populated Value cell on the same row. INCONCLUSIVE: no Weight (2b) dates are returned. FAIL: one or more dates have no corresponding value.</t>
  </si>
  <si>
    <t>PASS: at least one date is returned and every populated date is numeric and 365–455 days before that row's Index Date. INCONCLUSIVE: all date cells are blank. FAIL: any populated date is non-numeric or outside the 365–455-day window.</t>
  </si>
  <si>
    <t>PASS: every populated Weight (2c) value has a populated Date cell on the same row. INCONCLUSIVE: no Weight (2c) values are returned. FAIL: one or more values have no corresponding date.</t>
  </si>
  <si>
    <t>PASS: every populated Weight (2c) Date cell has a populated Value cell on the same row. INCONCLUSIVE: no Weight (2c) dates are returned. FAIL: one or more dates have no corresponding value.</t>
  </si>
  <si>
    <t>3-Xae</t>
  </si>
  <si>
    <t>3-Xaf</t>
  </si>
  <si>
    <t>3-Xag</t>
  </si>
  <si>
    <t>PASS: every populated Weight (2d) value has a populated Date cell on the same row. INCONCLUSIVE: no Weight (2d) values are returned. FAIL: one or more values have no corresponding date.</t>
  </si>
  <si>
    <t>PASS: every populated Weight (2d) Date cell has a populated Value cell on the same row. INCONCLUSIVE: no Weight (2d) dates are returned. FAIL: one or more dates have no corresponding value.</t>
  </si>
  <si>
    <t>PASS: at least one date is returned and every populated date is numeric and 92–273 days before that row's Index Date. INCONCLUSIVE: all date cells are blank. FAIL: any populated date is non-numeric or outside the 92–273-day window.</t>
  </si>
  <si>
    <t>3-Xah</t>
  </si>
  <si>
    <t>3-Xai</t>
  </si>
  <si>
    <t>3-Xaj</t>
  </si>
  <si>
    <t>PASS: every populated Weight (2e) value has a populated Date cell on the same row. INCONCLUSIVE: no Weight (2e) values are returned. FAIL: one or more values have no corresponding date.</t>
  </si>
  <si>
    <t>PASS: every populated Weight (2e) Date cell has a populated Value cell on the same row. INCONCLUSIVE: no Weight (2e) dates are returned. FAIL: one or more dates have no corresponding value.</t>
  </si>
  <si>
    <t>PASS: at least one date is returned and every populated date is numeric and 547–3652 days before that row's Index Date. INCONCLUSIVE: all date cells are blank. FAIL: any populated date is non-numeric or outside the 547–3652-day window.</t>
  </si>
  <si>
    <t>3-Xak</t>
  </si>
  <si>
    <t>3-Xal</t>
  </si>
  <si>
    <t>3-Xam</t>
  </si>
  <si>
    <t>BMI (1a): All values have dates</t>
  </si>
  <si>
    <t>BMI (1a): All dates have values</t>
  </si>
  <si>
    <t>BMI (1a): Date validity/window</t>
  </si>
  <si>
    <t>PASS: every populated BMI (1a) value has a populated Date cell on the same row. INCONCLUSIVE: no BMI (1a) values are returned. FAIL: one or more values have no corresponding date.</t>
  </si>
  <si>
    <t>PASS: every populated BMI (1a) Date cell has a populated Value cell on the same row. INCONCLUSIVE: no BMI (1a) dates are returned. FAIL: one or more dates have no corresponding value.</t>
  </si>
  <si>
    <t>PASS: at least one date is returned and every populated date is numeric and 0–91 days after that row's Index Date. INCONCLUSIVE: all date cells are blank. FAIL: any populated date is non-numeric or outside the required window.</t>
  </si>
  <si>
    <t>BMI (1b): All values have dates</t>
  </si>
  <si>
    <t>BMI (1b): All dates have values</t>
  </si>
  <si>
    <t>BMI (1b): Date validity/window</t>
  </si>
  <si>
    <t>BMI (2a): All values have dates</t>
  </si>
  <si>
    <t>BMI (2a): All dates have values</t>
  </si>
  <si>
    <t>BMI (2a): Date validity/window</t>
  </si>
  <si>
    <t>BMI (2b): All values have dates</t>
  </si>
  <si>
    <t>BMI (2b): All dates have values</t>
  </si>
  <si>
    <t>BMI (2b): Date validity/window</t>
  </si>
  <si>
    <t>BMI (2c): All values have dates</t>
  </si>
  <si>
    <t>BMI (2c): All dates have values</t>
  </si>
  <si>
    <t>BMI (2c): Date validity/window</t>
  </si>
  <si>
    <t>BMI (2d): All values have dates</t>
  </si>
  <si>
    <t>BMI (2d): All dates have values</t>
  </si>
  <si>
    <t>BMI (2d): Date validity/window</t>
  </si>
  <si>
    <t>BMI (2e): All values have dates</t>
  </si>
  <si>
    <t>BMI (2e): All dates have values</t>
  </si>
  <si>
    <t>BMI (2e): Date validity/window</t>
  </si>
  <si>
    <t>PASS: every populated BMI (1b) value has a populated Date cell on the same row. INCONCLUSIVE: no BMI (1b) values are returned. FAIL: one or more values have no corresponding date.</t>
  </si>
  <si>
    <t>PASS: every populated BMI (1b) Date cell has a populated Value cell on the same row. INCONCLUSIVE: no BMI (1b) dates are returned. FAIL: one or more dates have no corresponding value.</t>
  </si>
  <si>
    <t>PASS: at least one date is returned and every populated date is numeric and 1–91 days before that row's Index Date. INCONCLUSIVE: all date cells are blank. FAIL: any populated date is non-numeric or outside the required window.</t>
  </si>
  <si>
    <t>3-Xan</t>
  </si>
  <si>
    <t>3-Xao</t>
  </si>
  <si>
    <t>3-Xap</t>
  </si>
  <si>
    <t>3-Xaq</t>
  </si>
  <si>
    <t>3-Xar</t>
  </si>
  <si>
    <t>3-Xas</t>
  </si>
  <si>
    <t>3-Xat</t>
  </si>
  <si>
    <t>3-Xau</t>
  </si>
  <si>
    <t>PASS: every populated BMI (2a) value has a populated Date cell on the same row. INCONCLUSIVE: no BMI (2a) values are returned. FAIL: one or more values have no corresponding date.</t>
  </si>
  <si>
    <t>PASS: every populated BMI (2a) Date cell has a populated Value cell on the same row. INCONCLUSIVE: no BMI (2a) dates are returned. FAIL: one or more dates have no corresponding value.</t>
  </si>
  <si>
    <t>PASS: at least one date is returned and every populated date is numeric and 274–364 days before that row's Index Date. INCONCLUSIVE: all date cells are blank. FAIL: any populated date is non-numeric or outside the required window.</t>
  </si>
  <si>
    <t>PASS: every populated BMI (2b) value has a populated Date cell on the same row. INCONCLUSIVE: no BMI (2b) values are returned. FAIL: one or more values have no corresponding date.</t>
  </si>
  <si>
    <t>PASS: every populated BMI (2b) Date cell has a populated Value cell on the same row. INCONCLUSIVE: no BMI (2b) dates are returned. FAIL: one or more dates have no corresponding value.</t>
  </si>
  <si>
    <t>PASS: at least one date is returned and every populated date is numeric and 365–455 days before that row's Index Date. INCONCLUSIVE: all date cells are blank. FAIL: any populated date is non-numeric or outside the required window.</t>
  </si>
  <si>
    <t>PASS: every populated BMI (2c) value has a populated Date cell on the same row. INCONCLUSIVE: no BMI (2c) values are returned. FAIL: one or more values have no corresponding date.</t>
  </si>
  <si>
    <t>PASS: every populated BMI (2c) Date cell has a populated Value cell on the same row. INCONCLUSIVE: no BMI (2c) dates are returned. FAIL: one or more dates have no corresponding value.</t>
  </si>
  <si>
    <t>PASS: at least one date is returned and every populated date is numeric and 456–546 days before that row's Index Date. INCONCLUSIVE: all date cells are blank. FAIL: any populated date is non-numeric or outside the required window.</t>
  </si>
  <si>
    <t>3-Xav</t>
  </si>
  <si>
    <t>3-Xaw</t>
  </si>
  <si>
    <t>PASS: every populated BMI (2d) value has a populated Date cell on the same row. INCONCLUSIVE: no BMI (2d) values are returned. FAIL: one or more values have no corresponding date.</t>
  </si>
  <si>
    <t>PASS: every populated BMI (2d) Date cell has a populated Value cell on the same row. INCONCLUSIVE: no BMI (2d) dates are returned. FAIL: one or more dates have no corresponding value.</t>
  </si>
  <si>
    <t>PASS: at least one date is returned and every populated date is numeric and 92–273 days before that row's Index Date. INCONCLUSIVE: all date cells are blank. FAIL: any populated date is non-numeric or outside the required window.</t>
  </si>
  <si>
    <t>PASS: every populated BMI (2e) value has a populated Date cell on the same row. INCONCLUSIVE: no BMI (2e) values are returned. FAIL: one or more values have no corresponding date.</t>
  </si>
  <si>
    <t>PASS: every populated BMI (2e) Date cell has a populated Value cell on the same row. INCONCLUSIVE: no BMI (2e) dates are returned. FAIL: one or more dates have no corresponding value.</t>
  </si>
  <si>
    <t>PASS: at least one date is returned and every populated date is numeric and 547–3652 days before that row's Index Date. INCONCLUSIVE: all date cells are blank. FAIL: any populated date is non-numeric or outside the required window.</t>
  </si>
  <si>
    <t>3-Xax</t>
  </si>
  <si>
    <t>3-Xay</t>
  </si>
  <si>
    <t>3-Xaz</t>
  </si>
  <si>
    <t>3-Xba</t>
  </si>
  <si>
    <t>Height (1a): All values have dates</t>
  </si>
  <si>
    <t>Height (1a): All dates have values</t>
  </si>
  <si>
    <t>Height (1a): Date validity/window</t>
  </si>
  <si>
    <t>Height (1b): All values have dates</t>
  </si>
  <si>
    <t>Height (1b): All dates have values</t>
  </si>
  <si>
    <t>Height (1b): Date validity/window</t>
  </si>
  <si>
    <t>Height (2a): All values have dates</t>
  </si>
  <si>
    <t>Height (2a): All dates have values</t>
  </si>
  <si>
    <t>Height (2a): Date validity/window</t>
  </si>
  <si>
    <t>Height (2b): All values have dates</t>
  </si>
  <si>
    <t>Height (2b): All dates have values</t>
  </si>
  <si>
    <t>Height (2b): Date validity/window</t>
  </si>
  <si>
    <t>Height (2c): All values have dates</t>
  </si>
  <si>
    <t>Height (2c): All dates have values</t>
  </si>
  <si>
    <t>Height (2c): Date validity/window</t>
  </si>
  <si>
    <t>Height (2d): All values have dates</t>
  </si>
  <si>
    <t>Height (2d): All dates have values</t>
  </si>
  <si>
    <t>Height (2d): Date validity/window</t>
  </si>
  <si>
    <t>Height (2e): All values have dates</t>
  </si>
  <si>
    <t>Height (2e): All dates have values</t>
  </si>
  <si>
    <t>Height (2e): Date validity/window</t>
  </si>
  <si>
    <t>3-Xbb</t>
  </si>
  <si>
    <t>3-Xbc</t>
  </si>
  <si>
    <t>3-Xbd</t>
  </si>
  <si>
    <t>PASS: at least one value exists and every populated value is a positive number (&gt;0), regardless of unit. INCONCLUSIVE: all value cells are blank. FAIL: any populated value is text, zero, or negative.</t>
  </si>
  <si>
    <t>PASS: every populated Height (1a) value has a populated Date cell on the same row. INCONCLUSIVE: no Height (1a) values are returned. FAIL: one or more values have no corresponding date.</t>
  </si>
  <si>
    <t>PASS: every populated Height (1a) Date cell has a populated Value cell on the same row. INCONCLUSIVE: no Height (1a) dates are returned. FAIL: one or more dates have no corresponding value.</t>
  </si>
  <si>
    <t>PASS: every populated Height (1b) value has a populated Date cell on the same row. INCONCLUSIVE: no Height (1b) values are returned. FAIL: one or more values have no corresponding date.</t>
  </si>
  <si>
    <t>PASS: every populated Height (1b) Date cell has a populated Value cell on the same row. INCONCLUSIVE: no Height (1b) dates are returned. FAIL: one or more dates have no corresponding value.</t>
  </si>
  <si>
    <t>3-Xbe</t>
  </si>
  <si>
    <t>3-Xbf</t>
  </si>
  <si>
    <t>3-Xbg</t>
  </si>
  <si>
    <t>PASS: every populated Height (2a) value has a populated Date cell on the same row. INCONCLUSIVE: no Height (2a) values are returned. FAIL: one or more values have no corresponding date.</t>
  </si>
  <si>
    <t>PASS: every populated Height (2a) Date cell has a populated Value cell on the same row. INCONCLUSIVE: no Height (2a) dates are returned. FAIL: one or more dates have no corresponding value.</t>
  </si>
  <si>
    <t>3-Xbh</t>
  </si>
  <si>
    <t>3-Xbi</t>
  </si>
  <si>
    <t>3-Xbj</t>
  </si>
  <si>
    <t>PASS: every populated Height (2b) value has a populated Date cell on the same row. INCONCLUSIVE: no Height (2b) values are returned. FAIL: one or more values have no corresponding date.</t>
  </si>
  <si>
    <t>PASS: every populated Height (2b) Date cell has a populated Value cell on the same row. INCONCLUSIVE: no Height (2b) dates are returned. FAIL: one or more dates have no corresponding value.</t>
  </si>
  <si>
    <t>3-Xbk</t>
  </si>
  <si>
    <t>3-Xbl</t>
  </si>
  <si>
    <t>3-Xbm</t>
  </si>
  <si>
    <t>PASS: every populated Height (2c) value has a populated Date cell on the same row. INCONCLUSIVE: no Height (2c) values are returned. FAIL: one or more values have no corresponding date.</t>
  </si>
  <si>
    <t>PASS: every populated Height (2c) Date cell has a populated Value cell on the same row. INCONCLUSIVE: no Height (2c) dates are returned. FAIL: one or more dates have no corresponding value.</t>
  </si>
  <si>
    <t>3-Xbn</t>
  </si>
  <si>
    <t>3-Xbo</t>
  </si>
  <si>
    <t>3-Xbp</t>
  </si>
  <si>
    <t>PASS: every populated Height (2d) value has a populated Date cell on the same row. INCONCLUSIVE: no Height (2d) values are returned. FAIL: one or more values have no corresponding date.</t>
  </si>
  <si>
    <t>PASS: every populated Height (2d) Date cell has a populated Value cell on the same row. INCONCLUSIVE: no Height (2d) dates are returned. FAIL: one or more dates have no corresponding value.</t>
  </si>
  <si>
    <t>3-Xbq</t>
  </si>
  <si>
    <t>3-Xbr</t>
  </si>
  <si>
    <t>3-Xbs</t>
  </si>
  <si>
    <t>3-Xbt</t>
  </si>
  <si>
    <t>3-Xbu</t>
  </si>
  <si>
    <t>3-Xbv</t>
  </si>
  <si>
    <t>PASS: every populated Height (2e) value has a populated Date cell on the same row. INCONCLUSIVE: no Height (2e) values are returned. FAIL: one or more values have no corresponding date.</t>
  </si>
  <si>
    <t>PASS: every populated Height (2e) Date cell has a populated Value cell on the same row. INCONCLUSIVE: no Height (2e) dates are returned. FAIL: one or more dates have no corresponding value.</t>
  </si>
  <si>
    <t>Pancreatic cancer diagnosis: All dates have ages</t>
  </si>
  <si>
    <t>Pancreatic cancer diagnosis: All ages have dates</t>
  </si>
  <si>
    <t>3-Xbw</t>
  </si>
  <si>
    <t>3-Xbx</t>
  </si>
  <si>
    <t>PASS: at least one diagnosis date is returned and every populated diagnosis date is numeric and between 01/01/1900 and today. INCONCLUSIVE: all diagnosis-date cells are blank. FAIL: any populated diagnosis date is non-numeric, before 01/01/1900, or in the future.</t>
  </si>
  <si>
    <t>PASS: at least one diagnosis age is returned and every populated age is numeric and between 1 and 120 inclusive. INCONCLUSIVE: all diagnosis-age cells are blank. FAIL: any populated age is non-numeric or outside 1–120.</t>
  </si>
  <si>
    <t>PASS: every populated pancreatic-cancer diagnosis Date has a populated Age on the same row. INCONCLUSIVE: no diagnosis dates are returned. FAIL: one or more diagnosis dates have no corresponding age.</t>
  </si>
  <si>
    <t>PASS: every populated pancreatic-cancer diagnosis Age has a populated Date on the same row. INCONCLUSIVE: no diagnosis ages are returned. FAIL: one or more diagnosis ages have no corresponding date.</t>
  </si>
  <si>
    <t>CA 19-9: All values have dates</t>
  </si>
  <si>
    <t>Pancreatic cancer diagnosis: Date validity</t>
  </si>
  <si>
    <t>Pancreatic cancer diagnosis: Age validity</t>
  </si>
  <si>
    <t>CA 19-9: All dates have values</t>
  </si>
  <si>
    <t>CA 19-9: Date validity</t>
  </si>
  <si>
    <r>
      <t>PASS: at least one value exists and every populated value is either a positive numeric value, or a recognised comparator (</t>
    </r>
    <r>
      <rPr>
        <sz val="10"/>
        <color theme="1"/>
        <rFont val="Arial Unicode MS"/>
      </rPr>
      <t>&lt;</t>
    </r>
    <r>
      <rPr>
        <sz val="11"/>
        <color theme="1"/>
        <rFont val="Aptos Narrow"/>
        <family val="2"/>
        <scheme val="minor"/>
      </rPr>
      <t xml:space="preserve">, </t>
    </r>
    <r>
      <rPr>
        <sz val="10"/>
        <color theme="1"/>
        <rFont val="Arial Unicode MS"/>
      </rPr>
      <t>&gt;</t>
    </r>
    <r>
      <rPr>
        <sz val="11"/>
        <color theme="1"/>
        <rFont val="Aptos Narrow"/>
        <family val="2"/>
        <scheme val="minor"/>
      </rPr>
      <t xml:space="preserve">, </t>
    </r>
    <r>
      <rPr>
        <sz val="10"/>
        <color theme="1"/>
        <rFont val="Arial Unicode MS"/>
      </rPr>
      <t>&lt;=</t>
    </r>
    <r>
      <rPr>
        <sz val="11"/>
        <color theme="1"/>
        <rFont val="Aptos Narrow"/>
        <family val="2"/>
        <scheme val="minor"/>
      </rPr>
      <t xml:space="preserve">, </t>
    </r>
    <r>
      <rPr>
        <sz val="10"/>
        <color theme="1"/>
        <rFont val="Arial Unicode MS"/>
      </rPr>
      <t>&gt;=</t>
    </r>
    <r>
      <rPr>
        <sz val="11"/>
        <color theme="1"/>
        <rFont val="Aptos Narrow"/>
        <family val="2"/>
        <scheme val="minor"/>
      </rPr>
      <t xml:space="preserve">, </t>
    </r>
    <r>
      <rPr>
        <sz val="10"/>
        <color theme="1"/>
        <rFont val="Arial Unicode MS"/>
      </rPr>
      <t>≤</t>
    </r>
    <r>
      <rPr>
        <sz val="11"/>
        <color theme="1"/>
        <rFont val="Aptos Narrow"/>
        <family val="2"/>
        <scheme val="minor"/>
      </rPr>
      <t xml:space="preserve">, </t>
    </r>
    <r>
      <rPr>
        <sz val="10"/>
        <color theme="1"/>
        <rFont val="Arial Unicode MS"/>
      </rPr>
      <t>≥</t>
    </r>
    <r>
      <rPr>
        <sz val="11"/>
        <color theme="1"/>
        <rFont val="Aptos Narrow"/>
        <family val="2"/>
        <scheme val="minor"/>
      </rPr>
      <t>) followed by a positive numeric value. INCONCLUSIVE: all value cells are blank. FAIL: any populated value is neither a positive number nor a recognised comparator followed by a positive number.</t>
    </r>
  </si>
  <si>
    <t>U/mL</t>
  </si>
  <si>
    <t>PASS: at least one recognisable height UoM appears, e.g. cm, m. Other unrecognised ones may also be present and do not prevent passing if recognised UoMs are there too. INCONCLUSIVE: all UoM cells are blank. FAIL: text is present in UoM cells but none is recognised as a reasonable height UoM.</t>
  </si>
  <si>
    <t>PASS: at least one recognisable CA 19-9 UoM appears, e.g. U/mL, kU/L. Other unrecognised UoMs may also be present and do not prevent passing so long as there is at least one of the recognised ones. INCONCLUSIVE: all UoM cells are blank. FAIL: UoM entries are present but none is one of the recognised ones.</t>
  </si>
  <si>
    <t>3-Xby</t>
  </si>
  <si>
    <t>PASS: every populated CA 19-9 Value cell has a populated Date cell on the same row. INCONCLUSIVE: no CA 19-9 values are returned. FAIL: one or more values have no corresponding date.</t>
  </si>
  <si>
    <t>PASS: every populated CA 19-9 Date cell has a populated Value cell on the same row. INCONCLUSIVE: no CA 19-9 dates are returned. FAIL: one or more dates have no corresponding value.</t>
  </si>
  <si>
    <t>PASS: at least one date is returned and every populated date is numeric and between 01/01/1900 and today. INCONCLUSIVE: all date cells are blank. FAIL: any populated date is non-numeric, before 01/01/1900, or in the future.</t>
  </si>
  <si>
    <t>3-Xca</t>
  </si>
  <si>
    <t>3-Xbz</t>
  </si>
  <si>
    <t>3-Xcb</t>
  </si>
  <si>
    <t>3-Xcd</t>
  </si>
  <si>
    <t>Carcinoembryonic antigen (CEA): All values have dates</t>
  </si>
  <si>
    <t>Carcinoembryonic antigen (CEA): All dates have values</t>
  </si>
  <si>
    <t>Carcinoembryonic antigen (CEA): Date validity</t>
  </si>
  <si>
    <t>PASS: at least one recognisable CEA UoM appears, e.g. ng/mL, ug/L). Other unrecognised UoMs may also be present and do not prevent passing so long as there is at least one of the recognised ones. INCONCLUSIVE: all UoM cells are blank. FAIL: UoM entries are present but none is one of the recognised ones.</t>
  </si>
  <si>
    <t>PASS: every populated CEA Date cell has a populated Value cell on the same row. INCONCLUSIVE: no CEA dates are returned. FAIL: one or more dates have no corresponding value.</t>
  </si>
  <si>
    <t>PASS: every populated CEA Value cell has a populated Date cell on the same row. INCONCLUSIVE: no CEA values are returned. FAIL: one or more values have no corresponding date.</t>
  </si>
  <si>
    <t>PASS: at least one cell contains any content. FAIL: the entire tested range is blank. No other checks like of format implemented.</t>
  </si>
  <si>
    <t>PASS: at least one value exists and every populated value is a positive number (&gt;0) and &lt;48. INCONCLUSIVE: all value cells are blank. FAIL: any populated value is text, zero, negative, or ≥48.</t>
  </si>
  <si>
    <t>Please copy and paste the data to be tested into this cell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</si>
</sst>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F800]dddd\,\ mmmm\ dd\,\ yyyy"/>
    <numFmt numFmtId="165" formatCode="dd/mm/yy;@"/>
    <numFmt numFmtId="166" formatCode="d\.m\.yy;@"/>
    <numFmt numFmtId="167" formatCode="yyyy\-mm\-dd;@"/>
    <numFmt numFmtId="168" formatCode="d/m/yy;@"/>
    <numFmt numFmtId="169" formatCode="[$-809]d\ mmmm\ yyyy;@"/>
    <numFmt numFmtId="170" formatCode="[$-809]dd\ mmmm\ yyyy;@"/>
  </numFmts>
  <fonts count="7">
    <font>
      <sz val="11"/>
      <color theme="1"/>
      <name val="Aptos Narrow"/>
      <family val="2"/>
      <scheme val="minor"/>
    </font>
    <font>
      <b/>
      <sz val="11"/>
      <color theme="1"/>
      <name val="Aptos Narrow"/>
      <family val="2"/>
      <scheme val="minor"/>
    </font>
    <font>
      <b/>
      <sz val="11"/>
      <color rgb="FF00B050"/>
      <name val="Aptos Narrow"/>
      <family val="2"/>
      <scheme val="minor"/>
    </font>
    <font>
      <b/>
      <sz val="11"/>
      <color rgb="FFC00000"/>
      <name val="Aptos Narrow"/>
      <family val="2"/>
      <scheme val="minor"/>
    </font>
    <font>
      <sz val="11"/>
      <color theme="1"/>
      <name val="Aptos Narrow"/>
      <family val="2"/>
      <scheme val="minor"/>
    </font>
    <font>
      <sz val="11"/>
      <color rgb="FF3F3F76"/>
      <name val="Aptos Narrow"/>
      <family val="2"/>
      <scheme val="minor"/>
    </font>
    <font>
      <sz val="10"/>
      <color theme="1"/>
      <name val="Arial Unicode MS"/>
    </font>
  </fonts>
  <fills count="5">
    <fill>
      <patternFill patternType="none"/>
    </fill>
    <fill>
      <patternFill patternType="gray125"/>
    </fill>
    <fill>
      <patternFill patternType="solid">
        <fgColor rgb="FFFFCC99"/>
      </patternFill>
    </fill>
    <fill>
      <patternFill patternType="solid">
        <fgColor rgb="FFFFFFCC"/>
      </patternFill>
    </fill>
    <fill>
      <patternFill patternType="solid">
        <fgColor rgb="FFFFFF00"/>
        <bgColor indexed="64"/>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5" fillId="2" borderId="1" applyNumberFormat="0" applyAlignment="0" applyProtection="0"/>
    <xf numFmtId="0" fontId="4" fillId="3" borderId="2" applyNumberFormat="0" applyFont="0" applyAlignment="0" applyProtection="0"/>
  </cellStyleXfs>
  <cellXfs count="14">
    <xf numFmtId="0" fontId="0" fillId="0" borderId="0" xfId="0"/>
    <xf numFmtId="0" fontId="1" fillId="0" borderId="0" xfId="0" applyFont="1"/>
    <xf numFmtId="14" fontId="0" fillId="0" borderId="0" xfId="0" applyNumberFormat="1"/>
    <xf numFmtId="165" fontId="0" fillId="0" borderId="0" xfId="0" applyNumberFormat="1"/>
    <xf numFmtId="168" fontId="0" fillId="0" borderId="0" xfId="0" applyNumberFormat="1"/>
    <xf numFmtId="166" fontId="0" fillId="0" borderId="0" xfId="0" applyNumberFormat="1"/>
    <xf numFmtId="167" fontId="0" fillId="0" borderId="0" xfId="0" applyNumberFormat="1"/>
    <xf numFmtId="170" fontId="0" fillId="0" borderId="0" xfId="0" applyNumberFormat="1"/>
    <xf numFmtId="169" fontId="0" fillId="0" borderId="0" xfId="0" applyNumberFormat="1"/>
    <xf numFmtId="164" fontId="0" fillId="0" borderId="0" xfId="0" applyNumberFormat="1"/>
    <xf numFmtId="0" fontId="1" fillId="3" borderId="2" xfId="2" applyFont="1"/>
    <xf numFmtId="0" fontId="5" fillId="2" borderId="1" xfId="1"/>
    <xf numFmtId="14" fontId="5" fillId="2" borderId="1" xfId="1" applyNumberFormat="1"/>
    <xf numFmtId="0" fontId="1" fillId="4" borderId="3" xfId="0" applyFont="1" applyFill="1" applyBorder="1"/>
  </cellXfs>
  <cellStyles count="3">
    <cellStyle name="Input" xfId="1" builtinId="20"/>
    <cellStyle name="Normal" xfId="0" builtinId="0"/>
    <cellStyle name="Note" xfId="2" builtinId="10"/>
  </cellStyles>
  <dxfs count="4">
    <dxf>
      <font>
        <color rgb="FF9C0006"/>
      </font>
      <fill>
        <patternFill>
          <bgColor rgb="FFFFC7CE"/>
        </patternFill>
      </fill>
    </dxf>
    <dxf>
      <fill>
        <patternFill>
          <bgColor rgb="FFC00000"/>
        </patternFill>
      </fill>
    </dxf>
    <dxf>
      <fill>
        <patternFill>
          <bgColor theme="9" tint="0.39994506668294322"/>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2E865-97F2-4971-8CF1-1657CF5E442C}">
  <sheetPr codeName="Sheet1"/>
  <dimension ref="A1"/>
  <sheetViews>
    <sheetView workbookViewId="0"/>
  </sheetViews>
  <sheetFormatPr defaultColWidth="11.28515625" defaultRowHeight="15"/>
  <cols>
    <col min="1" max="1" width="51.7109375" customWidth="1"/>
    <col min="2" max="20" width="10.42578125" customWidth="1"/>
    <col min="21" max="21" width="13.7109375" customWidth="1"/>
    <col min="22" max="82" width="10.42578125" customWidth="1"/>
  </cols>
  <sheetData>
    <row r="1" spans="1:1" ht="15.75" thickBot="1">
      <c r="A1" s="13" t="s">
        <v>556</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39C3A-0A8E-4EA9-A35C-CD575C63F34D}">
  <sheetPr codeName="Sheet2"/>
  <dimension ref="A1:CD191"/>
  <sheetViews>
    <sheetView workbookViewId="0"/>
  </sheetViews>
  <sheetFormatPr defaultRowHeight="15"/>
  <sheetData>
    <row r="1" spans="1:82">
      <c r="A1" t="s">
        <v>131</v>
      </c>
      <c r="C1" t="s">
        <v>132</v>
      </c>
      <c r="E1" t="s">
        <v>133</v>
      </c>
      <c r="I1" t="s">
        <v>134</v>
      </c>
      <c r="K1" t="s">
        <v>135</v>
      </c>
      <c r="M1" t="s">
        <v>136</v>
      </c>
      <c r="O1" t="s">
        <v>137</v>
      </c>
      <c r="Q1" t="s">
        <v>138</v>
      </c>
      <c r="S1" t="s">
        <v>139</v>
      </c>
      <c r="V1" t="s">
        <v>140</v>
      </c>
      <c r="Y1" t="s">
        <v>141</v>
      </c>
      <c r="AB1" t="s">
        <v>142</v>
      </c>
      <c r="AE1" t="s">
        <v>143</v>
      </c>
      <c r="AH1" t="s">
        <v>144</v>
      </c>
      <c r="AK1" t="s">
        <v>145</v>
      </c>
      <c r="AN1" t="s">
        <v>146</v>
      </c>
      <c r="AP1" t="s">
        <v>147</v>
      </c>
      <c r="AR1" t="s">
        <v>148</v>
      </c>
      <c r="AT1" t="s">
        <v>149</v>
      </c>
      <c r="AV1" t="s">
        <v>150</v>
      </c>
      <c r="AX1" t="s">
        <v>151</v>
      </c>
      <c r="AZ1" t="s">
        <v>152</v>
      </c>
      <c r="BB1" t="s">
        <v>153</v>
      </c>
      <c r="BE1" t="s">
        <v>154</v>
      </c>
      <c r="BH1" t="s">
        <v>155</v>
      </c>
      <c r="BK1" t="s">
        <v>156</v>
      </c>
      <c r="BN1" t="s">
        <v>157</v>
      </c>
      <c r="BQ1" t="s">
        <v>158</v>
      </c>
      <c r="BT1" t="s">
        <v>159</v>
      </c>
      <c r="BW1" t="s">
        <v>160</v>
      </c>
      <c r="BY1" t="s">
        <v>161</v>
      </c>
      <c r="CB1" t="s">
        <v>162</v>
      </c>
    </row>
    <row r="2" spans="1:82">
      <c r="A2" t="s">
        <v>6</v>
      </c>
      <c r="B2" t="s">
        <v>8</v>
      </c>
      <c r="C2" t="s">
        <v>163</v>
      </c>
      <c r="D2" t="s">
        <v>164</v>
      </c>
      <c r="E2" t="s">
        <v>163</v>
      </c>
      <c r="F2" t="s">
        <v>165</v>
      </c>
      <c r="G2" t="s">
        <v>166</v>
      </c>
      <c r="H2" t="s">
        <v>167</v>
      </c>
      <c r="I2" t="s">
        <v>163</v>
      </c>
      <c r="J2" t="s">
        <v>165</v>
      </c>
      <c r="K2" t="s">
        <v>163</v>
      </c>
      <c r="L2" t="s">
        <v>165</v>
      </c>
      <c r="M2" t="s">
        <v>163</v>
      </c>
      <c r="N2" t="s">
        <v>165</v>
      </c>
      <c r="O2" t="s">
        <v>163</v>
      </c>
      <c r="P2" t="s">
        <v>165</v>
      </c>
      <c r="Q2" t="s">
        <v>163</v>
      </c>
      <c r="R2" t="s">
        <v>165</v>
      </c>
      <c r="S2" t="s">
        <v>163</v>
      </c>
      <c r="T2" t="s">
        <v>164</v>
      </c>
      <c r="U2" t="s">
        <v>165</v>
      </c>
      <c r="V2" t="s">
        <v>163</v>
      </c>
      <c r="W2" t="s">
        <v>164</v>
      </c>
      <c r="X2" t="s">
        <v>165</v>
      </c>
      <c r="Y2" t="s">
        <v>163</v>
      </c>
      <c r="Z2" t="s">
        <v>164</v>
      </c>
      <c r="AA2" t="s">
        <v>165</v>
      </c>
      <c r="AB2" t="s">
        <v>163</v>
      </c>
      <c r="AC2" t="s">
        <v>164</v>
      </c>
      <c r="AD2" t="s">
        <v>165</v>
      </c>
      <c r="AE2" t="s">
        <v>163</v>
      </c>
      <c r="AF2" t="s">
        <v>164</v>
      </c>
      <c r="AG2" t="s">
        <v>165</v>
      </c>
      <c r="AH2" t="s">
        <v>163</v>
      </c>
      <c r="AI2" t="s">
        <v>164</v>
      </c>
      <c r="AJ2" t="s">
        <v>165</v>
      </c>
      <c r="AK2" t="s">
        <v>163</v>
      </c>
      <c r="AL2" t="s">
        <v>164</v>
      </c>
      <c r="AM2" t="s">
        <v>165</v>
      </c>
      <c r="AN2" t="s">
        <v>163</v>
      </c>
      <c r="AO2" t="s">
        <v>165</v>
      </c>
      <c r="AP2" t="s">
        <v>163</v>
      </c>
      <c r="AQ2" t="s">
        <v>165</v>
      </c>
      <c r="AR2" t="s">
        <v>163</v>
      </c>
      <c r="AS2" t="s">
        <v>165</v>
      </c>
      <c r="AT2" t="s">
        <v>163</v>
      </c>
      <c r="AU2" t="s">
        <v>165</v>
      </c>
      <c r="AV2" t="s">
        <v>163</v>
      </c>
      <c r="AW2" t="s">
        <v>165</v>
      </c>
      <c r="AX2" t="s">
        <v>163</v>
      </c>
      <c r="AY2" t="s">
        <v>165</v>
      </c>
      <c r="AZ2" t="s">
        <v>163</v>
      </c>
      <c r="BA2" t="s">
        <v>165</v>
      </c>
      <c r="BB2" t="s">
        <v>163</v>
      </c>
      <c r="BC2" t="s">
        <v>164</v>
      </c>
      <c r="BD2" t="s">
        <v>165</v>
      </c>
      <c r="BE2" t="s">
        <v>163</v>
      </c>
      <c r="BF2" t="s">
        <v>164</v>
      </c>
      <c r="BG2" t="s">
        <v>165</v>
      </c>
      <c r="BH2" t="s">
        <v>163</v>
      </c>
      <c r="BI2" t="s">
        <v>164</v>
      </c>
      <c r="BJ2" t="s">
        <v>165</v>
      </c>
      <c r="BK2" t="s">
        <v>163</v>
      </c>
      <c r="BL2" t="s">
        <v>164</v>
      </c>
      <c r="BM2" t="s">
        <v>165</v>
      </c>
      <c r="BN2" t="s">
        <v>163</v>
      </c>
      <c r="BO2" t="s">
        <v>164</v>
      </c>
      <c r="BP2" t="s">
        <v>165</v>
      </c>
      <c r="BQ2" t="s">
        <v>163</v>
      </c>
      <c r="BR2" t="s">
        <v>164</v>
      </c>
      <c r="BS2" t="s">
        <v>165</v>
      </c>
      <c r="BT2" t="s">
        <v>163</v>
      </c>
      <c r="BU2" t="s">
        <v>164</v>
      </c>
      <c r="BV2" t="s">
        <v>165</v>
      </c>
      <c r="BW2" t="s">
        <v>165</v>
      </c>
      <c r="BX2" t="s">
        <v>166</v>
      </c>
      <c r="BY2" t="s">
        <v>163</v>
      </c>
      <c r="BZ2" t="s">
        <v>164</v>
      </c>
      <c r="CA2" t="s">
        <v>165</v>
      </c>
      <c r="CB2" t="s">
        <v>163</v>
      </c>
      <c r="CC2" t="s">
        <v>164</v>
      </c>
      <c r="CD2" t="s">
        <v>165</v>
      </c>
    </row>
    <row r="3" spans="1:82">
      <c r="A3" t="s">
        <v>7</v>
      </c>
      <c r="B3" t="s">
        <v>60</v>
      </c>
      <c r="E3">
        <v>50</v>
      </c>
      <c r="F3" s="2">
        <v>45626</v>
      </c>
      <c r="G3">
        <v>74</v>
      </c>
    </row>
    <row r="4" spans="1:82">
      <c r="A4" t="s">
        <v>53</v>
      </c>
      <c r="B4" t="s">
        <v>130</v>
      </c>
      <c r="E4">
        <v>52</v>
      </c>
      <c r="F4" s="2">
        <v>44531</v>
      </c>
      <c r="G4">
        <v>101</v>
      </c>
      <c r="H4" t="s">
        <v>1</v>
      </c>
    </row>
    <row r="5" spans="1:82">
      <c r="A5" t="s">
        <v>52</v>
      </c>
      <c r="E5">
        <v>49</v>
      </c>
      <c r="F5" s="2">
        <v>44531</v>
      </c>
      <c r="G5">
        <v>71</v>
      </c>
    </row>
    <row r="6" spans="1:82">
      <c r="B6" t="s">
        <v>61</v>
      </c>
      <c r="C6">
        <v>186</v>
      </c>
      <c r="D6" t="s">
        <v>57</v>
      </c>
      <c r="E6">
        <v>51.5</v>
      </c>
      <c r="F6" s="2">
        <v>45627</v>
      </c>
      <c r="G6">
        <v>73</v>
      </c>
      <c r="H6" t="s">
        <v>2</v>
      </c>
      <c r="J6" s="2"/>
      <c r="S6">
        <v>100</v>
      </c>
      <c r="T6" t="s">
        <v>346</v>
      </c>
      <c r="U6" s="2">
        <f>F6</f>
        <v>45627</v>
      </c>
    </row>
    <row r="7" spans="1:82">
      <c r="A7" t="s">
        <v>7</v>
      </c>
      <c r="B7" t="s">
        <v>62</v>
      </c>
      <c r="E7">
        <v>48</v>
      </c>
      <c r="F7" s="2">
        <v>45627</v>
      </c>
      <c r="G7">
        <v>71</v>
      </c>
      <c r="H7" t="s">
        <v>1</v>
      </c>
      <c r="I7">
        <v>47</v>
      </c>
      <c r="J7" s="2">
        <f>F7-274</f>
        <v>45353</v>
      </c>
      <c r="V7">
        <v>100</v>
      </c>
      <c r="W7" t="s">
        <v>346</v>
      </c>
      <c r="X7" s="2">
        <f>F7-1</f>
        <v>45626</v>
      </c>
    </row>
    <row r="8" spans="1:82">
      <c r="A8" t="s">
        <v>56</v>
      </c>
      <c r="B8" t="s">
        <v>63</v>
      </c>
      <c r="E8">
        <v>48</v>
      </c>
      <c r="F8" s="2">
        <v>45627</v>
      </c>
      <c r="G8">
        <v>71</v>
      </c>
      <c r="H8" t="s">
        <v>1</v>
      </c>
      <c r="J8" s="2"/>
      <c r="K8">
        <v>47</v>
      </c>
      <c r="L8" s="2">
        <f>F8-456</f>
        <v>45171</v>
      </c>
      <c r="Y8">
        <v>100</v>
      </c>
      <c r="Z8" t="s">
        <v>346</v>
      </c>
      <c r="AA8" s="2">
        <f>F8-274</f>
        <v>45353</v>
      </c>
    </row>
    <row r="9" spans="1:82">
      <c r="A9" t="s">
        <v>56</v>
      </c>
      <c r="B9" t="s">
        <v>64</v>
      </c>
      <c r="E9">
        <v>48</v>
      </c>
      <c r="F9" s="2">
        <v>45627</v>
      </c>
      <c r="G9">
        <v>71</v>
      </c>
      <c r="H9" t="s">
        <v>1</v>
      </c>
      <c r="J9" s="2"/>
      <c r="M9">
        <v>47</v>
      </c>
      <c r="N9" s="2">
        <f>F9-183</f>
        <v>45444</v>
      </c>
      <c r="AB9">
        <v>100</v>
      </c>
      <c r="AC9" t="s">
        <v>346</v>
      </c>
      <c r="AD9" s="2">
        <f>F9-365</f>
        <v>45262</v>
      </c>
    </row>
    <row r="10" spans="1:82">
      <c r="A10" t="s">
        <v>56</v>
      </c>
      <c r="B10" t="s">
        <v>65</v>
      </c>
      <c r="E10">
        <v>48</v>
      </c>
      <c r="F10" s="2">
        <v>45627</v>
      </c>
      <c r="G10">
        <v>71</v>
      </c>
      <c r="H10" t="s">
        <v>1</v>
      </c>
      <c r="J10" s="2"/>
      <c r="O10">
        <v>47</v>
      </c>
      <c r="P10" s="2">
        <f>F10-92</f>
        <v>45535</v>
      </c>
      <c r="AE10">
        <v>100</v>
      </c>
      <c r="AF10" t="s">
        <v>346</v>
      </c>
      <c r="AG10" s="2">
        <f>F10-456</f>
        <v>45171</v>
      </c>
    </row>
    <row r="11" spans="1:82">
      <c r="A11" t="s">
        <v>7</v>
      </c>
      <c r="B11" t="s">
        <v>66</v>
      </c>
      <c r="E11">
        <v>48</v>
      </c>
      <c r="F11" s="2">
        <v>44531</v>
      </c>
      <c r="G11">
        <v>71</v>
      </c>
      <c r="H11" t="s">
        <v>2</v>
      </c>
      <c r="L11" s="2"/>
      <c r="Q11">
        <v>47</v>
      </c>
      <c r="R11" s="2">
        <f>F11-547</f>
        <v>43984</v>
      </c>
      <c r="AH11">
        <v>100</v>
      </c>
      <c r="AI11" t="s">
        <v>346</v>
      </c>
      <c r="AJ11" s="2">
        <f>F11-92</f>
        <v>44439</v>
      </c>
    </row>
    <row r="12" spans="1:82">
      <c r="A12" t="s">
        <v>7</v>
      </c>
      <c r="B12" t="s">
        <v>67</v>
      </c>
      <c r="E12">
        <v>48</v>
      </c>
      <c r="F12" s="2">
        <v>44531</v>
      </c>
      <c r="G12">
        <v>71</v>
      </c>
      <c r="H12" t="s">
        <v>2</v>
      </c>
      <c r="L12" s="2"/>
      <c r="AK12">
        <v>100</v>
      </c>
      <c r="AL12" t="s">
        <v>346</v>
      </c>
      <c r="AM12" s="2">
        <f>F12-547</f>
        <v>43984</v>
      </c>
    </row>
    <row r="13" spans="1:82">
      <c r="A13" t="s">
        <v>7</v>
      </c>
      <c r="B13" t="s">
        <v>68</v>
      </c>
      <c r="E13">
        <v>48</v>
      </c>
      <c r="F13" s="2">
        <v>44531</v>
      </c>
      <c r="G13">
        <v>71</v>
      </c>
      <c r="H13" t="s">
        <v>1</v>
      </c>
      <c r="L13" s="2"/>
      <c r="N13" s="2"/>
      <c r="AN13">
        <v>20.5</v>
      </c>
      <c r="AO13" s="2">
        <f>F13</f>
        <v>44531</v>
      </c>
    </row>
    <row r="14" spans="1:82">
      <c r="A14" t="s">
        <v>7</v>
      </c>
      <c r="B14" t="s">
        <v>69</v>
      </c>
      <c r="E14">
        <v>48</v>
      </c>
      <c r="F14" s="2">
        <v>44531</v>
      </c>
      <c r="G14">
        <v>71</v>
      </c>
      <c r="H14" t="s">
        <v>1</v>
      </c>
      <c r="L14" s="2"/>
      <c r="P14" s="2"/>
      <c r="AP14">
        <v>20.5</v>
      </c>
      <c r="AQ14" s="2">
        <f>F14-1</f>
        <v>44530</v>
      </c>
    </row>
    <row r="15" spans="1:82">
      <c r="A15" t="s">
        <v>7</v>
      </c>
      <c r="B15" t="s">
        <v>70</v>
      </c>
      <c r="E15">
        <v>48</v>
      </c>
      <c r="F15" s="2">
        <v>44531</v>
      </c>
      <c r="G15">
        <v>71</v>
      </c>
      <c r="H15" t="s">
        <v>1</v>
      </c>
      <c r="N15" s="2"/>
      <c r="R15" s="2"/>
      <c r="AR15">
        <v>20.5</v>
      </c>
      <c r="AS15" s="2">
        <f>F15-274</f>
        <v>44257</v>
      </c>
    </row>
    <row r="16" spans="1:82">
      <c r="A16" t="s">
        <v>7</v>
      </c>
      <c r="B16" t="s">
        <v>71</v>
      </c>
      <c r="E16">
        <v>48</v>
      </c>
      <c r="F16" s="2">
        <v>44531</v>
      </c>
      <c r="G16">
        <v>71</v>
      </c>
      <c r="H16" t="s">
        <v>2</v>
      </c>
      <c r="J16" s="2"/>
      <c r="N16" s="2"/>
      <c r="AT16">
        <v>20.5</v>
      </c>
      <c r="AU16" s="2">
        <f>F16-365</f>
        <v>44166</v>
      </c>
    </row>
    <row r="17" spans="1:82">
      <c r="A17" t="s">
        <v>7</v>
      </c>
      <c r="B17" t="s">
        <v>72</v>
      </c>
      <c r="E17">
        <v>48</v>
      </c>
      <c r="F17" s="2">
        <v>44531</v>
      </c>
      <c r="G17">
        <v>71</v>
      </c>
      <c r="H17" t="s">
        <v>2</v>
      </c>
      <c r="L17" s="2"/>
      <c r="N17" s="2"/>
      <c r="AV17">
        <v>20.5</v>
      </c>
      <c r="AW17" s="2">
        <f>F17-456</f>
        <v>44075</v>
      </c>
    </row>
    <row r="18" spans="1:82">
      <c r="A18" t="s">
        <v>7</v>
      </c>
      <c r="B18" t="s">
        <v>73</v>
      </c>
      <c r="E18">
        <v>48</v>
      </c>
      <c r="F18" s="2">
        <v>44531</v>
      </c>
      <c r="G18">
        <v>71</v>
      </c>
      <c r="H18" t="s">
        <v>1</v>
      </c>
      <c r="N18" s="2"/>
      <c r="AX18">
        <v>20.5</v>
      </c>
      <c r="AY18" s="2">
        <f>F18-92</f>
        <v>44439</v>
      </c>
    </row>
    <row r="19" spans="1:82">
      <c r="A19" t="s">
        <v>7</v>
      </c>
      <c r="B19" t="s">
        <v>74</v>
      </c>
      <c r="E19">
        <v>48</v>
      </c>
      <c r="F19" s="2">
        <v>44531</v>
      </c>
      <c r="G19">
        <v>71</v>
      </c>
      <c r="H19" t="s">
        <v>1</v>
      </c>
      <c r="P19" s="2"/>
      <c r="AZ19">
        <v>20.5</v>
      </c>
      <c r="BA19" s="2">
        <f>F19-547</f>
        <v>43984</v>
      </c>
    </row>
    <row r="20" spans="1:82">
      <c r="A20" t="s">
        <v>7</v>
      </c>
      <c r="B20" t="s">
        <v>75</v>
      </c>
      <c r="E20">
        <v>48</v>
      </c>
      <c r="F20" s="2">
        <v>44531</v>
      </c>
      <c r="G20">
        <v>71</v>
      </c>
      <c r="H20" t="s">
        <v>1</v>
      </c>
      <c r="P20" s="2"/>
      <c r="R20" s="2"/>
      <c r="BB20">
        <v>185</v>
      </c>
      <c r="BC20" t="s">
        <v>57</v>
      </c>
      <c r="BD20" s="2">
        <f>F20</f>
        <v>44531</v>
      </c>
    </row>
    <row r="21" spans="1:82">
      <c r="A21" t="s">
        <v>7</v>
      </c>
      <c r="B21" t="s">
        <v>76</v>
      </c>
      <c r="E21">
        <v>48</v>
      </c>
      <c r="F21" s="2">
        <v>44531</v>
      </c>
      <c r="G21">
        <v>71</v>
      </c>
      <c r="H21" t="s">
        <v>1</v>
      </c>
      <c r="J21" s="2"/>
      <c r="L21" s="2"/>
      <c r="P21" s="2"/>
      <c r="BE21">
        <v>185</v>
      </c>
      <c r="BF21" t="s">
        <v>57</v>
      </c>
      <c r="BG21" s="2">
        <f>F21-1</f>
        <v>44530</v>
      </c>
    </row>
    <row r="22" spans="1:82">
      <c r="A22" t="s">
        <v>7</v>
      </c>
      <c r="B22" t="s">
        <v>77</v>
      </c>
      <c r="E22">
        <v>48</v>
      </c>
      <c r="F22" s="2">
        <v>44531</v>
      </c>
      <c r="G22">
        <v>71</v>
      </c>
      <c r="H22" t="s">
        <v>1</v>
      </c>
      <c r="J22" s="2"/>
      <c r="N22" s="2"/>
      <c r="P22" s="2"/>
      <c r="BH22">
        <v>185</v>
      </c>
      <c r="BI22" t="s">
        <v>57</v>
      </c>
      <c r="BJ22" s="2">
        <f>F22-274</f>
        <v>44257</v>
      </c>
    </row>
    <row r="23" spans="1:82">
      <c r="A23" t="s">
        <v>7</v>
      </c>
      <c r="B23" t="s">
        <v>78</v>
      </c>
      <c r="E23">
        <v>48</v>
      </c>
      <c r="F23" s="2">
        <v>44531</v>
      </c>
      <c r="G23">
        <v>71</v>
      </c>
      <c r="H23" t="s">
        <v>1</v>
      </c>
      <c r="N23" s="2"/>
      <c r="P23" s="2"/>
      <c r="R23" s="2"/>
      <c r="BK23">
        <v>185</v>
      </c>
      <c r="BL23" t="s">
        <v>57</v>
      </c>
      <c r="BM23" s="2">
        <f>F23-365</f>
        <v>44166</v>
      </c>
    </row>
    <row r="24" spans="1:82">
      <c r="A24" t="s">
        <v>7</v>
      </c>
      <c r="B24" t="s">
        <v>79</v>
      </c>
      <c r="E24">
        <v>48</v>
      </c>
      <c r="F24" s="2">
        <v>44531</v>
      </c>
      <c r="G24">
        <v>71</v>
      </c>
      <c r="H24" t="s">
        <v>1</v>
      </c>
      <c r="L24" s="2"/>
      <c r="R24" s="2"/>
      <c r="BN24">
        <v>185</v>
      </c>
      <c r="BO24" t="s">
        <v>57</v>
      </c>
      <c r="BP24" s="2">
        <f>F24-456</f>
        <v>44075</v>
      </c>
    </row>
    <row r="25" spans="1:82">
      <c r="A25" t="s">
        <v>7</v>
      </c>
      <c r="B25" t="s">
        <v>80</v>
      </c>
      <c r="E25">
        <v>48</v>
      </c>
      <c r="F25" s="2">
        <v>44531</v>
      </c>
      <c r="G25">
        <v>71</v>
      </c>
      <c r="H25" t="s">
        <v>1</v>
      </c>
      <c r="P25" s="2"/>
      <c r="R25" s="2"/>
      <c r="BQ25">
        <v>185</v>
      </c>
      <c r="BR25" t="s">
        <v>57</v>
      </c>
      <c r="BS25" s="2">
        <f>F25-92</f>
        <v>44439</v>
      </c>
    </row>
    <row r="26" spans="1:82">
      <c r="A26" t="s">
        <v>7</v>
      </c>
      <c r="B26" t="s">
        <v>81</v>
      </c>
      <c r="E26">
        <v>48</v>
      </c>
      <c r="F26" s="2">
        <v>44531</v>
      </c>
      <c r="G26">
        <v>71</v>
      </c>
      <c r="H26" t="s">
        <v>1</v>
      </c>
      <c r="J26" s="2"/>
      <c r="L26" s="2"/>
      <c r="N26" s="2"/>
      <c r="P26" s="2"/>
      <c r="R26" s="2"/>
      <c r="BT26">
        <v>185</v>
      </c>
      <c r="BU26" t="s">
        <v>57</v>
      </c>
      <c r="BV26" s="2">
        <f>F26-547</f>
        <v>43984</v>
      </c>
    </row>
    <row r="27" spans="1:82">
      <c r="A27" t="s">
        <v>7</v>
      </c>
      <c r="B27" t="s">
        <v>82</v>
      </c>
      <c r="E27">
        <v>48</v>
      </c>
      <c r="F27" s="2">
        <v>44531</v>
      </c>
      <c r="G27">
        <v>71</v>
      </c>
      <c r="H27" t="s">
        <v>1</v>
      </c>
      <c r="J27" s="2"/>
      <c r="L27" s="2"/>
      <c r="N27" s="2"/>
      <c r="P27" s="2"/>
      <c r="R27" s="2"/>
      <c r="BW27" s="2">
        <f>F27</f>
        <v>44531</v>
      </c>
      <c r="BX27">
        <v>60</v>
      </c>
    </row>
    <row r="28" spans="1:82">
      <c r="A28" t="s">
        <v>7</v>
      </c>
      <c r="B28" t="s">
        <v>83</v>
      </c>
      <c r="E28">
        <v>48</v>
      </c>
      <c r="F28" s="2">
        <v>44531</v>
      </c>
      <c r="G28">
        <v>71</v>
      </c>
      <c r="H28" t="s">
        <v>1</v>
      </c>
      <c r="J28" s="2"/>
      <c r="L28" s="2"/>
      <c r="N28" s="2"/>
      <c r="P28" s="2"/>
      <c r="R28" s="2"/>
      <c r="BY28">
        <v>0.01</v>
      </c>
      <c r="BZ28" t="s">
        <v>537</v>
      </c>
      <c r="CA28" s="3">
        <f>F28</f>
        <v>44531</v>
      </c>
    </row>
    <row r="29" spans="1:82">
      <c r="A29" t="s">
        <v>7</v>
      </c>
      <c r="B29" t="s">
        <v>84</v>
      </c>
      <c r="E29">
        <v>48</v>
      </c>
      <c r="F29" s="2">
        <v>44531</v>
      </c>
      <c r="G29">
        <v>71</v>
      </c>
      <c r="H29" t="s">
        <v>1</v>
      </c>
      <c r="N29" s="2"/>
      <c r="P29" s="2"/>
      <c r="R29" s="2"/>
      <c r="U29" s="2"/>
      <c r="CA29" s="8"/>
      <c r="CB29">
        <v>0.01</v>
      </c>
      <c r="CC29" t="s">
        <v>59</v>
      </c>
      <c r="CD29" s="2">
        <f>F29</f>
        <v>44531</v>
      </c>
    </row>
    <row r="30" spans="1:82">
      <c r="F30" s="2"/>
      <c r="P30" s="2"/>
      <c r="R30" s="2"/>
      <c r="U30" s="2"/>
      <c r="CA30" s="5"/>
    </row>
    <row r="31" spans="1:82">
      <c r="F31" s="2"/>
      <c r="J31" s="2"/>
      <c r="L31" s="2"/>
      <c r="N31" s="2"/>
      <c r="P31" s="2"/>
      <c r="R31" s="2"/>
      <c r="X31" s="2"/>
    </row>
    <row r="32" spans="1:82">
      <c r="F32" s="2"/>
      <c r="J32" s="2"/>
      <c r="L32" s="2"/>
      <c r="N32" s="2"/>
      <c r="P32" s="2"/>
      <c r="R32" s="2"/>
      <c r="X32" s="2"/>
      <c r="CD32" s="4"/>
    </row>
    <row r="33" spans="6:82">
      <c r="F33" s="2"/>
      <c r="J33" s="2"/>
      <c r="L33" s="2"/>
      <c r="N33" s="2"/>
      <c r="P33" s="2"/>
      <c r="R33" s="2"/>
      <c r="AA33" s="2"/>
      <c r="CD33" s="2"/>
    </row>
    <row r="34" spans="6:82">
      <c r="F34" s="2"/>
      <c r="J34" s="2"/>
      <c r="L34" s="2"/>
      <c r="N34" s="2"/>
      <c r="P34" s="2"/>
      <c r="R34" s="2"/>
      <c r="AD34" s="2"/>
    </row>
    <row r="35" spans="6:82">
      <c r="F35" s="2"/>
      <c r="J35" s="2"/>
      <c r="L35" s="2"/>
      <c r="N35" s="2"/>
      <c r="P35" s="2"/>
      <c r="R35" s="2"/>
      <c r="AG35" s="2"/>
    </row>
    <row r="36" spans="6:82">
      <c r="F36" s="2"/>
      <c r="J36" s="2"/>
      <c r="L36" s="2"/>
      <c r="N36" s="2"/>
      <c r="P36" s="2"/>
      <c r="R36" s="2"/>
      <c r="AJ36" s="2"/>
    </row>
    <row r="37" spans="6:82">
      <c r="F37" s="2"/>
      <c r="J37" s="2"/>
      <c r="L37" s="2"/>
      <c r="N37" s="2"/>
      <c r="P37" s="2"/>
      <c r="R37" s="2"/>
      <c r="AM37" s="2"/>
    </row>
    <row r="38" spans="6:82">
      <c r="F38" s="3"/>
      <c r="J38" s="3"/>
      <c r="L38" s="4"/>
      <c r="N38" s="5"/>
      <c r="P38" s="6"/>
      <c r="R38" s="7"/>
      <c r="AA38" s="2"/>
    </row>
    <row r="39" spans="6:82">
      <c r="F39" s="4"/>
      <c r="J39" s="4"/>
      <c r="L39" s="2"/>
      <c r="N39" s="2"/>
      <c r="P39" s="6"/>
      <c r="R39" s="8"/>
      <c r="AA39" s="2"/>
      <c r="AD39" s="2"/>
    </row>
    <row r="40" spans="6:82">
      <c r="F40" s="2"/>
      <c r="U40" s="2"/>
      <c r="AG40" s="2"/>
    </row>
    <row r="41" spans="6:82">
      <c r="F41" s="2"/>
      <c r="U41" s="2"/>
      <c r="AJ41" s="2"/>
    </row>
    <row r="42" spans="6:82">
      <c r="F42" s="2"/>
      <c r="U42" s="2"/>
      <c r="AM42" s="2"/>
    </row>
    <row r="43" spans="6:82">
      <c r="F43" s="2"/>
      <c r="U43" s="2"/>
      <c r="AA43" s="2"/>
      <c r="AD43" s="2"/>
    </row>
    <row r="44" spans="6:82">
      <c r="F44" s="2"/>
      <c r="X44" s="2"/>
      <c r="AA44" s="2"/>
      <c r="AJ44" s="2"/>
    </row>
    <row r="45" spans="6:82">
      <c r="F45" s="2"/>
      <c r="X45" s="2"/>
      <c r="AD45" s="2"/>
      <c r="AG45" s="2"/>
    </row>
    <row r="46" spans="6:82">
      <c r="F46" s="2"/>
      <c r="X46" s="2"/>
      <c r="AG46" s="2"/>
      <c r="AM46" s="2"/>
    </row>
    <row r="47" spans="6:82">
      <c r="F47" s="2"/>
      <c r="X47" s="2"/>
      <c r="AJ47" s="2"/>
    </row>
    <row r="48" spans="6:82">
      <c r="F48" s="2"/>
      <c r="U48" s="2"/>
      <c r="X48" s="2"/>
      <c r="AM48" s="2"/>
    </row>
    <row r="49" spans="6:39">
      <c r="F49" s="2"/>
      <c r="U49" s="2"/>
      <c r="X49" s="2"/>
    </row>
    <row r="50" spans="6:39">
      <c r="F50" s="2"/>
      <c r="U50" s="2"/>
      <c r="X50" s="2"/>
    </row>
    <row r="51" spans="6:39">
      <c r="F51" s="2"/>
      <c r="U51" s="2"/>
      <c r="X51" s="2"/>
      <c r="AA51" s="2"/>
      <c r="AG51" s="2"/>
      <c r="AJ51" s="2"/>
      <c r="AM51" s="2"/>
    </row>
    <row r="52" spans="6:39">
      <c r="F52" s="2"/>
      <c r="AA52" s="2"/>
    </row>
    <row r="53" spans="6:39">
      <c r="F53" s="2"/>
      <c r="AA53" s="2"/>
    </row>
    <row r="54" spans="6:39">
      <c r="F54" s="2"/>
      <c r="AA54" s="2"/>
    </row>
    <row r="55" spans="6:39">
      <c r="F55" s="2"/>
      <c r="AD55" s="2"/>
    </row>
    <row r="56" spans="6:39">
      <c r="F56" s="2"/>
      <c r="AD56" s="2"/>
    </row>
    <row r="57" spans="6:39">
      <c r="F57" s="2"/>
      <c r="AD57" s="2"/>
    </row>
    <row r="58" spans="6:39">
      <c r="F58" s="2"/>
      <c r="AD58" s="2"/>
    </row>
    <row r="59" spans="6:39">
      <c r="F59" s="2"/>
      <c r="AA59" s="2"/>
      <c r="AD59" s="2"/>
    </row>
    <row r="60" spans="6:39">
      <c r="F60" s="2"/>
      <c r="AA60" s="2"/>
      <c r="AD60" s="2"/>
    </row>
    <row r="61" spans="6:39">
      <c r="F61" s="2"/>
      <c r="AA61" s="2"/>
      <c r="AD61" s="2"/>
    </row>
    <row r="62" spans="6:39">
      <c r="F62" s="2"/>
      <c r="AG62" s="2"/>
    </row>
    <row r="63" spans="6:39">
      <c r="F63" s="2"/>
      <c r="AG63" s="2"/>
    </row>
    <row r="64" spans="6:39">
      <c r="F64" s="2"/>
      <c r="AG64" s="2"/>
    </row>
    <row r="65" spans="6:39">
      <c r="F65" s="2"/>
      <c r="AG65" s="2"/>
    </row>
    <row r="66" spans="6:39">
      <c r="F66" s="2"/>
      <c r="AJ66" s="2"/>
    </row>
    <row r="67" spans="6:39">
      <c r="F67" s="2"/>
      <c r="AJ67" s="2"/>
    </row>
    <row r="68" spans="6:39">
      <c r="F68" s="2"/>
      <c r="AJ68" s="2"/>
    </row>
    <row r="69" spans="6:39">
      <c r="F69" s="2"/>
      <c r="AJ69" s="2"/>
    </row>
    <row r="70" spans="6:39">
      <c r="F70" s="2"/>
      <c r="AM70" s="2"/>
    </row>
    <row r="71" spans="6:39">
      <c r="F71" s="2"/>
      <c r="AM71" s="2"/>
    </row>
    <row r="72" spans="6:39">
      <c r="F72" s="2"/>
      <c r="AM72" s="2"/>
    </row>
    <row r="73" spans="6:39">
      <c r="F73" s="2"/>
      <c r="AM73" s="2"/>
    </row>
    <row r="74" spans="6:39">
      <c r="F74" s="2"/>
      <c r="AA74" s="2"/>
      <c r="AD74" s="2"/>
      <c r="AG74" s="2"/>
      <c r="AJ74" s="2"/>
      <c r="AM74" s="2"/>
    </row>
    <row r="75" spans="6:39">
      <c r="F75" s="2"/>
      <c r="AA75" s="2"/>
      <c r="AD75" s="2"/>
      <c r="AG75" s="2"/>
      <c r="AJ75" s="2"/>
      <c r="AM75" s="2"/>
    </row>
    <row r="76" spans="6:39">
      <c r="F76" s="2"/>
      <c r="AG76" s="2"/>
      <c r="AJ76" s="2"/>
      <c r="AM76" s="2"/>
    </row>
    <row r="77" spans="6:39">
      <c r="F77" s="2"/>
      <c r="AJ77" s="2"/>
      <c r="AM77" s="2"/>
    </row>
    <row r="78" spans="6:39">
      <c r="F78" s="2"/>
      <c r="AA78" s="2"/>
      <c r="AD78" s="2"/>
      <c r="AG78" s="2"/>
      <c r="AJ78" s="2"/>
      <c r="AM78" s="2"/>
    </row>
    <row r="79" spans="6:39">
      <c r="F79" s="2"/>
      <c r="AA79" s="2"/>
      <c r="AD79" s="2"/>
      <c r="AG79" s="2"/>
      <c r="AJ79" s="2"/>
      <c r="AM79" s="2"/>
    </row>
    <row r="80" spans="6:39">
      <c r="F80" s="2"/>
      <c r="AA80" s="2"/>
      <c r="AD80" s="2"/>
      <c r="AG80" s="2"/>
      <c r="AJ80" s="2"/>
      <c r="AM80" s="2"/>
    </row>
    <row r="81" spans="6:53">
      <c r="F81" s="2"/>
      <c r="AA81" s="2"/>
      <c r="AD81" s="2"/>
      <c r="AG81" s="2"/>
      <c r="AJ81" s="2"/>
      <c r="AM81" s="2"/>
    </row>
    <row r="82" spans="6:53">
      <c r="F82" s="2"/>
      <c r="AA82" s="2"/>
      <c r="AD82" s="2"/>
      <c r="AG82" s="2"/>
      <c r="AJ82" s="2"/>
      <c r="AM82" s="2"/>
    </row>
    <row r="83" spans="6:53">
      <c r="F83" s="2"/>
      <c r="U83" s="2"/>
      <c r="X83" s="2"/>
      <c r="AA83" s="2"/>
      <c r="AD83" s="2"/>
      <c r="AG83" s="2"/>
      <c r="AJ83" s="2"/>
      <c r="AM83" s="2"/>
    </row>
    <row r="84" spans="6:53">
      <c r="F84" s="2"/>
      <c r="U84" s="2"/>
      <c r="X84" s="2"/>
      <c r="AA84" s="2"/>
      <c r="AD84" s="2"/>
      <c r="AG84" s="2"/>
      <c r="AJ84" s="2"/>
      <c r="AM84" s="2"/>
    </row>
    <row r="85" spans="6:53">
      <c r="F85" s="5"/>
      <c r="U85" s="2"/>
      <c r="X85" s="2"/>
      <c r="AA85" s="3"/>
      <c r="AD85" s="4"/>
      <c r="AG85" s="5"/>
      <c r="AJ85" s="6"/>
      <c r="AM85" s="7"/>
    </row>
    <row r="86" spans="6:53">
      <c r="F86" s="6"/>
      <c r="U86" s="2"/>
      <c r="X86" s="2"/>
      <c r="AD86" s="3"/>
      <c r="AG86" s="7"/>
      <c r="AM86" s="8"/>
    </row>
    <row r="87" spans="6:53">
      <c r="F87" s="2"/>
      <c r="U87" s="2"/>
      <c r="X87" s="2"/>
      <c r="AA87" s="2"/>
      <c r="AD87" s="2"/>
      <c r="AG87" s="2"/>
      <c r="AJ87" s="2"/>
      <c r="AM87" s="2"/>
      <c r="AO87" s="2"/>
      <c r="AW87" s="2"/>
    </row>
    <row r="88" spans="6:53">
      <c r="F88" s="2"/>
      <c r="U88" s="2"/>
      <c r="X88" s="2"/>
      <c r="AA88" s="2"/>
      <c r="AD88" s="2"/>
      <c r="AG88" s="2"/>
      <c r="AJ88" s="2"/>
      <c r="AM88" s="2"/>
      <c r="AO88" s="2"/>
      <c r="AY88" s="2"/>
    </row>
    <row r="89" spans="6:53">
      <c r="F89" s="2"/>
      <c r="U89" s="2"/>
      <c r="X89" s="2"/>
      <c r="AA89" s="2"/>
      <c r="AD89" s="2"/>
      <c r="AG89" s="2"/>
      <c r="AJ89" s="2"/>
      <c r="AM89" s="2"/>
      <c r="AO89" s="2"/>
      <c r="BA89" s="2"/>
    </row>
    <row r="90" spans="6:53">
      <c r="F90" s="2"/>
      <c r="AO90" s="2"/>
      <c r="AS90" s="2"/>
      <c r="AU90" s="2"/>
    </row>
    <row r="91" spans="6:53">
      <c r="F91" s="2"/>
      <c r="AQ91" s="2"/>
      <c r="AS91" s="2"/>
      <c r="AY91" s="2"/>
    </row>
    <row r="92" spans="6:53">
      <c r="F92" s="2"/>
      <c r="AQ92" s="2"/>
      <c r="AU92" s="2"/>
      <c r="AW92" s="2"/>
    </row>
    <row r="93" spans="6:53">
      <c r="F93" s="2"/>
      <c r="AQ93" s="2"/>
      <c r="AW93" s="2"/>
      <c r="BA93" s="2"/>
    </row>
    <row r="94" spans="6:53">
      <c r="F94" s="2"/>
      <c r="AQ94" s="2"/>
      <c r="AY94" s="2"/>
    </row>
    <row r="95" spans="6:53">
      <c r="F95" s="2"/>
      <c r="AO95" s="2"/>
      <c r="AQ95" s="2"/>
      <c r="BA95" s="2"/>
    </row>
    <row r="96" spans="6:53">
      <c r="F96" s="2"/>
      <c r="AO96" s="2"/>
      <c r="AQ96" s="2"/>
    </row>
    <row r="97" spans="6:53">
      <c r="F97" s="2"/>
      <c r="AO97" s="2"/>
      <c r="AQ97" s="2"/>
    </row>
    <row r="98" spans="6:53">
      <c r="F98" s="2"/>
      <c r="AO98" s="2"/>
      <c r="AQ98" s="2"/>
      <c r="AS98" s="2"/>
      <c r="AW98" s="2"/>
      <c r="AY98" s="2"/>
      <c r="BA98" s="2"/>
    </row>
    <row r="99" spans="6:53">
      <c r="F99" s="2"/>
      <c r="AS99" s="2"/>
    </row>
    <row r="100" spans="6:53">
      <c r="F100" s="2"/>
      <c r="AS100" s="2"/>
    </row>
    <row r="101" spans="6:53">
      <c r="F101" s="2"/>
      <c r="AS101" s="2"/>
    </row>
    <row r="102" spans="6:53">
      <c r="F102" s="2"/>
      <c r="AU102" s="2"/>
    </row>
    <row r="103" spans="6:53">
      <c r="F103" s="2"/>
      <c r="AU103" s="2"/>
    </row>
    <row r="104" spans="6:53">
      <c r="F104" s="2"/>
      <c r="AU104" s="2"/>
    </row>
    <row r="105" spans="6:53">
      <c r="F105" s="2"/>
      <c r="AU105" s="2"/>
    </row>
    <row r="106" spans="6:53">
      <c r="F106" s="2"/>
      <c r="AS106" s="2"/>
      <c r="AU106" s="2"/>
    </row>
    <row r="107" spans="6:53">
      <c r="F107" s="2"/>
      <c r="AS107" s="2"/>
      <c r="AU107" s="2"/>
    </row>
    <row r="108" spans="6:53">
      <c r="F108" s="2"/>
      <c r="AS108" s="2"/>
      <c r="AU108" s="2"/>
    </row>
    <row r="109" spans="6:53">
      <c r="F109" s="2"/>
      <c r="AW109" s="2"/>
    </row>
    <row r="110" spans="6:53">
      <c r="F110" s="2"/>
      <c r="AW110" s="2"/>
    </row>
    <row r="111" spans="6:53">
      <c r="F111" s="2"/>
      <c r="AW111" s="2"/>
    </row>
    <row r="112" spans="6:53">
      <c r="F112" s="2"/>
      <c r="AW112" s="2"/>
    </row>
    <row r="113" spans="6:53">
      <c r="F113" s="2"/>
      <c r="AY113" s="2"/>
    </row>
    <row r="114" spans="6:53">
      <c r="F114" s="2"/>
      <c r="AY114" s="2"/>
    </row>
    <row r="115" spans="6:53">
      <c r="F115" s="2"/>
      <c r="AY115" s="2"/>
    </row>
    <row r="116" spans="6:53">
      <c r="F116" s="2"/>
      <c r="AY116" s="2"/>
    </row>
    <row r="117" spans="6:53">
      <c r="F117" s="2"/>
      <c r="BA117" s="2"/>
    </row>
    <row r="118" spans="6:53">
      <c r="F118" s="2"/>
      <c r="BA118" s="2"/>
    </row>
    <row r="119" spans="6:53">
      <c r="F119" s="2"/>
      <c r="BA119" s="2"/>
    </row>
    <row r="120" spans="6:53">
      <c r="F120" s="2"/>
      <c r="BA120" s="2"/>
    </row>
    <row r="121" spans="6:53">
      <c r="F121" s="2"/>
      <c r="AS121" s="2"/>
      <c r="AU121" s="2"/>
      <c r="AW121" s="2"/>
      <c r="AY121" s="2"/>
      <c r="BA121" s="2"/>
    </row>
    <row r="122" spans="6:53">
      <c r="F122" s="2"/>
      <c r="AS122" s="2"/>
      <c r="AU122" s="2"/>
      <c r="AW122" s="2"/>
      <c r="AY122" s="2"/>
      <c r="BA122" s="2"/>
    </row>
    <row r="123" spans="6:53">
      <c r="F123" s="2"/>
      <c r="AW123" s="2"/>
      <c r="AY123" s="2"/>
      <c r="BA123" s="2"/>
    </row>
    <row r="124" spans="6:53">
      <c r="F124" s="2"/>
      <c r="AY124" s="2"/>
      <c r="BA124" s="2"/>
    </row>
    <row r="125" spans="6:53">
      <c r="F125" s="2"/>
      <c r="AS125" s="2"/>
      <c r="AU125" s="2"/>
      <c r="AW125" s="2"/>
      <c r="AY125" s="2"/>
      <c r="BA125" s="2"/>
    </row>
    <row r="126" spans="6:53">
      <c r="F126" s="2"/>
      <c r="AS126" s="2"/>
      <c r="AU126" s="2"/>
      <c r="AW126" s="2"/>
      <c r="AY126" s="2"/>
      <c r="BA126" s="2"/>
    </row>
    <row r="127" spans="6:53">
      <c r="F127" s="2"/>
      <c r="AS127" s="2"/>
      <c r="AU127" s="2"/>
      <c r="AW127" s="2"/>
      <c r="AY127" s="2"/>
      <c r="BA127" s="2"/>
    </row>
    <row r="128" spans="6:53">
      <c r="F128" s="2"/>
      <c r="AS128" s="2"/>
      <c r="AU128" s="2"/>
      <c r="AW128" s="2"/>
      <c r="AY128" s="2"/>
      <c r="BA128" s="2"/>
    </row>
    <row r="129" spans="6:74">
      <c r="F129" s="2"/>
      <c r="AS129" s="2"/>
      <c r="AU129" s="2"/>
      <c r="AW129" s="2"/>
      <c r="AY129" s="2"/>
      <c r="BA129" s="2"/>
    </row>
    <row r="130" spans="6:74">
      <c r="F130" s="2"/>
      <c r="AO130" s="2"/>
      <c r="AQ130" s="2"/>
      <c r="AS130" s="2"/>
      <c r="AU130" s="2"/>
      <c r="AW130" s="2"/>
      <c r="AY130" s="2"/>
      <c r="BA130" s="2"/>
    </row>
    <row r="131" spans="6:74">
      <c r="F131" s="2"/>
      <c r="AO131" s="2"/>
      <c r="AQ131" s="2"/>
      <c r="AS131" s="2"/>
      <c r="AU131" s="2"/>
      <c r="AW131" s="2"/>
      <c r="AY131" s="2"/>
      <c r="BA131" s="2"/>
    </row>
    <row r="132" spans="6:74">
      <c r="AO132" s="2"/>
      <c r="AQ132" s="2"/>
      <c r="AS132" s="3"/>
      <c r="AU132" s="4"/>
      <c r="AW132" s="5"/>
      <c r="AY132" s="6"/>
      <c r="BA132" s="7"/>
    </row>
    <row r="133" spans="6:74">
      <c r="F133" s="7"/>
      <c r="AO133" s="2"/>
      <c r="AQ133" s="2"/>
      <c r="AU133" s="3"/>
      <c r="AW133" s="7"/>
      <c r="BA133" s="8"/>
    </row>
    <row r="134" spans="6:74">
      <c r="F134" s="2"/>
      <c r="BD134" s="2"/>
      <c r="BP134" s="2"/>
    </row>
    <row r="135" spans="6:74">
      <c r="F135" s="2"/>
      <c r="BD135" s="2"/>
      <c r="BS135" s="2"/>
    </row>
    <row r="136" spans="6:74">
      <c r="F136" s="2"/>
      <c r="BD136" s="2"/>
      <c r="BV136" s="2"/>
    </row>
    <row r="137" spans="6:74">
      <c r="F137" s="2"/>
      <c r="BD137" s="2"/>
      <c r="BJ137" s="2"/>
      <c r="BM137" s="2"/>
    </row>
    <row r="138" spans="6:74">
      <c r="F138" s="2"/>
      <c r="BG138" s="2"/>
      <c r="BJ138" s="2"/>
      <c r="BS138" s="2"/>
    </row>
    <row r="139" spans="6:74">
      <c r="F139" s="2"/>
      <c r="BG139" s="2"/>
      <c r="BM139" s="2"/>
      <c r="BP139" s="2"/>
    </row>
    <row r="140" spans="6:74">
      <c r="F140" s="2"/>
      <c r="BG140" s="2"/>
      <c r="BP140" s="2"/>
      <c r="BV140" s="2"/>
    </row>
    <row r="141" spans="6:74">
      <c r="F141" s="2"/>
      <c r="BG141" s="2"/>
      <c r="BS141" s="2"/>
    </row>
    <row r="142" spans="6:74">
      <c r="F142" s="2"/>
      <c r="BD142" s="2"/>
      <c r="BG142" s="2"/>
      <c r="BV142" s="2"/>
    </row>
    <row r="143" spans="6:74">
      <c r="F143" s="2"/>
      <c r="BD143" s="2"/>
      <c r="BG143" s="2"/>
    </row>
    <row r="144" spans="6:74">
      <c r="F144" s="2"/>
      <c r="BD144" s="2"/>
      <c r="BG144" s="2"/>
    </row>
    <row r="145" spans="6:74">
      <c r="F145" s="2"/>
      <c r="BD145" s="2"/>
      <c r="BG145" s="2"/>
      <c r="BJ145" s="2"/>
      <c r="BP145" s="2"/>
      <c r="BS145" s="2"/>
      <c r="BV145" s="2"/>
    </row>
    <row r="146" spans="6:74">
      <c r="F146" s="2"/>
      <c r="BJ146" s="2"/>
    </row>
    <row r="147" spans="6:74">
      <c r="F147" s="2"/>
      <c r="BJ147" s="2"/>
    </row>
    <row r="148" spans="6:74">
      <c r="F148" s="2"/>
      <c r="BJ148" s="2"/>
    </row>
    <row r="149" spans="6:74">
      <c r="F149" s="2"/>
      <c r="BM149" s="2"/>
    </row>
    <row r="150" spans="6:74">
      <c r="F150" s="2"/>
      <c r="BM150" s="2"/>
    </row>
    <row r="151" spans="6:74">
      <c r="F151" s="2"/>
      <c r="BM151" s="2"/>
    </row>
    <row r="152" spans="6:74">
      <c r="F152" s="2"/>
      <c r="BM152" s="2"/>
    </row>
    <row r="153" spans="6:74">
      <c r="F153" s="2"/>
      <c r="BJ153" s="2"/>
      <c r="BM153" s="2"/>
    </row>
    <row r="154" spans="6:74">
      <c r="F154" s="2"/>
      <c r="BJ154" s="2"/>
      <c r="BM154" s="2"/>
    </row>
    <row r="155" spans="6:74">
      <c r="F155" s="2"/>
      <c r="BJ155" s="2"/>
      <c r="BM155" s="2"/>
    </row>
    <row r="156" spans="6:74">
      <c r="F156" s="2"/>
      <c r="BP156" s="2"/>
    </row>
    <row r="157" spans="6:74">
      <c r="F157" s="2"/>
      <c r="BP157" s="2"/>
    </row>
    <row r="158" spans="6:74">
      <c r="F158" s="2"/>
      <c r="BP158" s="2"/>
    </row>
    <row r="159" spans="6:74">
      <c r="F159" s="2"/>
      <c r="BP159" s="2"/>
    </row>
    <row r="160" spans="6:74">
      <c r="F160" s="2"/>
      <c r="BS160" s="2"/>
    </row>
    <row r="161" spans="6:74">
      <c r="F161" s="2"/>
      <c r="BS161" s="2"/>
    </row>
    <row r="162" spans="6:74">
      <c r="F162" s="2"/>
      <c r="BS162" s="2"/>
    </row>
    <row r="163" spans="6:74">
      <c r="F163" s="2"/>
      <c r="BS163" s="2"/>
    </row>
    <row r="164" spans="6:74">
      <c r="F164" s="2"/>
      <c r="BV164" s="2"/>
    </row>
    <row r="165" spans="6:74">
      <c r="F165" s="2"/>
      <c r="BV165" s="2"/>
    </row>
    <row r="166" spans="6:74">
      <c r="F166" s="2"/>
      <c r="BV166" s="2"/>
    </row>
    <row r="167" spans="6:74">
      <c r="F167" s="2"/>
      <c r="BV167" s="2"/>
    </row>
    <row r="168" spans="6:74">
      <c r="F168" s="2"/>
      <c r="BJ168" s="2"/>
      <c r="BM168" s="2"/>
      <c r="BP168" s="2"/>
      <c r="BS168" s="2"/>
      <c r="BV168" s="2"/>
    </row>
    <row r="169" spans="6:74">
      <c r="F169" s="2"/>
      <c r="BJ169" s="2"/>
      <c r="BM169" s="2"/>
      <c r="BP169" s="2"/>
      <c r="BS169" s="2"/>
      <c r="BV169" s="2"/>
    </row>
    <row r="170" spans="6:74">
      <c r="F170" s="2"/>
      <c r="BP170" s="2"/>
      <c r="BS170" s="2"/>
      <c r="BV170" s="2"/>
    </row>
    <row r="171" spans="6:74">
      <c r="F171" s="2"/>
      <c r="BS171" s="2"/>
      <c r="BV171" s="2"/>
    </row>
    <row r="172" spans="6:74">
      <c r="F172" s="2"/>
      <c r="BJ172" s="2"/>
      <c r="BM172" s="2"/>
      <c r="BP172" s="2"/>
      <c r="BS172" s="2"/>
      <c r="BV172" s="2"/>
    </row>
    <row r="173" spans="6:74">
      <c r="F173" s="2"/>
      <c r="BJ173" s="2"/>
      <c r="BM173" s="2"/>
      <c r="BP173" s="2"/>
      <c r="BS173" s="2"/>
      <c r="BV173" s="2"/>
    </row>
    <row r="174" spans="6:74">
      <c r="F174" s="2"/>
      <c r="BJ174" s="2"/>
      <c r="BM174" s="2"/>
      <c r="BP174" s="2"/>
      <c r="BS174" s="2"/>
      <c r="BV174" s="2"/>
    </row>
    <row r="175" spans="6:74">
      <c r="F175" s="2"/>
      <c r="BJ175" s="2"/>
      <c r="BM175" s="2"/>
      <c r="BP175" s="2"/>
      <c r="BS175" s="2"/>
      <c r="BV175" s="2"/>
    </row>
    <row r="176" spans="6:74">
      <c r="F176" s="2"/>
      <c r="BJ176" s="2"/>
      <c r="BM176" s="2"/>
      <c r="BP176" s="2"/>
      <c r="BS176" s="2"/>
      <c r="BV176" s="2"/>
    </row>
    <row r="177" spans="6:82">
      <c r="F177" s="2"/>
      <c r="BD177" s="2"/>
      <c r="BG177" s="2"/>
      <c r="BJ177" s="2"/>
      <c r="BM177" s="2"/>
      <c r="BP177" s="2"/>
      <c r="BS177" s="2"/>
      <c r="BV177" s="2"/>
    </row>
    <row r="178" spans="6:82">
      <c r="F178" s="2"/>
      <c r="BD178" s="2"/>
      <c r="BG178" s="2"/>
      <c r="BJ178" s="2"/>
      <c r="BM178" s="2"/>
      <c r="BP178" s="2"/>
      <c r="BS178" s="2"/>
      <c r="BV178" s="2"/>
    </row>
    <row r="179" spans="6:82">
      <c r="F179" s="2"/>
      <c r="BD179" s="2"/>
      <c r="BG179" s="2"/>
      <c r="BJ179" s="3"/>
      <c r="BM179" s="4"/>
      <c r="BP179" s="5"/>
      <c r="BS179" s="6"/>
      <c r="BV179" s="7"/>
    </row>
    <row r="180" spans="6:82">
      <c r="F180" s="2"/>
      <c r="BD180" s="2"/>
      <c r="BG180" s="2"/>
      <c r="BM180" s="3"/>
      <c r="BP180" s="7"/>
      <c r="BV180" s="8"/>
    </row>
    <row r="181" spans="6:82">
      <c r="F181" s="2"/>
      <c r="BW181" s="2"/>
    </row>
    <row r="182" spans="6:82">
      <c r="F182" s="2"/>
      <c r="BW182" s="6"/>
    </row>
    <row r="183" spans="6:82">
      <c r="F183" s="2"/>
      <c r="BW183" s="9"/>
    </row>
    <row r="184" spans="6:82">
      <c r="F184" s="2"/>
    </row>
    <row r="185" spans="6:82">
      <c r="F185" s="2"/>
    </row>
    <row r="186" spans="6:82">
      <c r="F186" s="2"/>
    </row>
    <row r="187" spans="6:82">
      <c r="F187" s="2"/>
    </row>
    <row r="188" spans="6:82">
      <c r="F188" s="2"/>
    </row>
    <row r="189" spans="6:82">
      <c r="F189" s="2"/>
    </row>
    <row r="190" spans="6:82">
      <c r="F190" s="2"/>
    </row>
    <row r="191" spans="6:82">
      <c r="F191" s="2"/>
      <c r="J191" s="2"/>
      <c r="L191" s="2"/>
      <c r="N191" s="2"/>
      <c r="P191" s="2"/>
      <c r="R191" s="2"/>
      <c r="U191" s="2"/>
      <c r="X191" s="2"/>
      <c r="AA191" s="2"/>
      <c r="AD191" s="2"/>
      <c r="AG191" s="2"/>
      <c r="AJ191" s="2"/>
      <c r="AM191" s="2"/>
      <c r="AO191" s="2"/>
      <c r="AQ191" s="2"/>
      <c r="AS191" s="2"/>
      <c r="AU191" s="2"/>
      <c r="AW191" s="2"/>
      <c r="AY191" s="2"/>
      <c r="BA191" s="2"/>
      <c r="BD191" s="2"/>
      <c r="BG191" s="2"/>
      <c r="BJ191" s="2"/>
      <c r="BM191" s="2"/>
      <c r="BP191" s="2"/>
      <c r="BS191" s="2"/>
      <c r="BV191" s="2"/>
      <c r="BW191" s="2"/>
      <c r="CA191" s="3"/>
      <c r="CD191" s="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74BAC-90A4-46E3-9EE9-81DC1E6964EF}">
  <sheetPr codeName="Sheet6"/>
  <dimension ref="A1:XFD299"/>
  <sheetViews>
    <sheetView tabSelected="1" zoomScaleNormal="100" workbookViewId="0">
      <pane xSplit="1" ySplit="5" topLeftCell="B6" activePane="bottomRight" state="frozen"/>
      <selection pane="topRight" activeCell="B1" sqref="B1"/>
      <selection pane="bottomLeft" activeCell="A6" sqref="A6"/>
      <selection pane="bottomRight"/>
    </sheetView>
  </sheetViews>
  <sheetFormatPr defaultRowHeight="15"/>
  <cols>
    <col min="2" max="2" width="57.5703125" customWidth="1"/>
    <col min="3" max="3" width="22.28515625" customWidth="1"/>
    <col min="4" max="4" width="14.28515625" hidden="1" customWidth="1"/>
    <col min="5" max="5" width="42.140625" customWidth="1"/>
    <col min="6" max="6" width="10.140625" customWidth="1"/>
    <col min="7" max="7" width="25.7109375" customWidth="1"/>
  </cols>
  <sheetData>
    <row r="1" spans="1:7">
      <c r="B1" s="10" t="s">
        <v>281</v>
      </c>
      <c r="C1" s="11">
        <v>27</v>
      </c>
    </row>
    <row r="2" spans="1:7">
      <c r="B2" s="10" t="s">
        <v>287</v>
      </c>
      <c r="C2" s="12">
        <v>44531</v>
      </c>
    </row>
    <row r="3" spans="1:7">
      <c r="B3" s="10" t="s">
        <v>286</v>
      </c>
      <c r="C3" s="12">
        <v>45627</v>
      </c>
    </row>
    <row r="5" spans="1:7">
      <c r="A5" s="1" t="s">
        <v>282</v>
      </c>
      <c r="B5" s="1" t="s">
        <v>55</v>
      </c>
      <c r="C5" s="1" t="s">
        <v>54</v>
      </c>
      <c r="D5" s="1" t="s">
        <v>3</v>
      </c>
      <c r="E5" s="1" t="s">
        <v>4</v>
      </c>
      <c r="F5" s="1" t="s">
        <v>58</v>
      </c>
      <c r="G5" s="1" t="s">
        <v>168</v>
      </c>
    </row>
    <row r="6" spans="1:7">
      <c r="A6" t="s">
        <v>85</v>
      </c>
      <c r="B6" t="s">
        <v>170</v>
      </c>
      <c r="C6" t="s">
        <v>131</v>
      </c>
      <c r="D6" t="s">
        <v>131</v>
      </c>
      <c r="E6" t="str">
        <f ca="1">INDIRECT("'Sheet1'!A1")</f>
        <v>Please copy and paste the data to be tested into this cell</v>
      </c>
      <c r="F6" t="b">
        <f ca="1">E6=D6</f>
        <v>0</v>
      </c>
    </row>
    <row r="7" spans="1:7">
      <c r="A7" t="s">
        <v>86</v>
      </c>
      <c r="B7" t="s">
        <v>171</v>
      </c>
      <c r="C7" t="s">
        <v>132</v>
      </c>
      <c r="D7" t="s">
        <v>132</v>
      </c>
      <c r="E7">
        <f ca="1">INDIRECT("'Sheet1'!C1")</f>
        <v>0</v>
      </c>
      <c r="F7" t="b">
        <f t="shared" ref="F7:F72" ca="1" si="0">E7=D7</f>
        <v>0</v>
      </c>
    </row>
    <row r="8" spans="1:7">
      <c r="A8" t="s">
        <v>87</v>
      </c>
      <c r="B8" t="s">
        <v>172</v>
      </c>
      <c r="C8" t="s">
        <v>133</v>
      </c>
      <c r="D8" t="s">
        <v>133</v>
      </c>
      <c r="E8">
        <f ca="1">INDIRECT("'Sheet1'!E1")</f>
        <v>0</v>
      </c>
      <c r="F8" t="b">
        <f t="shared" ca="1" si="0"/>
        <v>0</v>
      </c>
    </row>
    <row r="9" spans="1:7">
      <c r="A9" t="s">
        <v>88</v>
      </c>
      <c r="B9" t="s">
        <v>173</v>
      </c>
      <c r="C9" t="s">
        <v>134</v>
      </c>
      <c r="D9" t="s">
        <v>134</v>
      </c>
      <c r="E9">
        <f ca="1">INDIRECT("'Sheet1'!I1")</f>
        <v>0</v>
      </c>
      <c r="F9" t="b">
        <f t="shared" ca="1" si="0"/>
        <v>0</v>
      </c>
    </row>
    <row r="10" spans="1:7">
      <c r="A10" t="s">
        <v>89</v>
      </c>
      <c r="B10" t="s">
        <v>174</v>
      </c>
      <c r="C10" t="s">
        <v>135</v>
      </c>
      <c r="D10" t="s">
        <v>135</v>
      </c>
      <c r="E10">
        <f ca="1">INDIRECT("'Sheet1'!K1")</f>
        <v>0</v>
      </c>
      <c r="F10" t="b">
        <f t="shared" ca="1" si="0"/>
        <v>0</v>
      </c>
    </row>
    <row r="11" spans="1:7">
      <c r="A11" t="s">
        <v>90</v>
      </c>
      <c r="B11" t="s">
        <v>175</v>
      </c>
      <c r="C11" t="s">
        <v>136</v>
      </c>
      <c r="D11" t="s">
        <v>136</v>
      </c>
      <c r="E11">
        <f ca="1">INDIRECT("'Sheet1'!M1")</f>
        <v>0</v>
      </c>
      <c r="F11" t="b">
        <f t="shared" ca="1" si="0"/>
        <v>0</v>
      </c>
    </row>
    <row r="12" spans="1:7">
      <c r="A12" t="s">
        <v>91</v>
      </c>
      <c r="B12" t="s">
        <v>176</v>
      </c>
      <c r="C12" t="s">
        <v>137</v>
      </c>
      <c r="D12" t="s">
        <v>137</v>
      </c>
      <c r="E12">
        <f ca="1">INDIRECT("'Sheet1'!O1")</f>
        <v>0</v>
      </c>
      <c r="F12" t="b">
        <f t="shared" ca="1" si="0"/>
        <v>0</v>
      </c>
    </row>
    <row r="13" spans="1:7">
      <c r="A13" t="s">
        <v>92</v>
      </c>
      <c r="B13" t="s">
        <v>177</v>
      </c>
      <c r="C13" t="s">
        <v>138</v>
      </c>
      <c r="D13" t="s">
        <v>138</v>
      </c>
      <c r="E13">
        <f ca="1">INDIRECT("'Sheet1'!Q1")</f>
        <v>0</v>
      </c>
      <c r="F13" t="b">
        <f t="shared" ca="1" si="0"/>
        <v>0</v>
      </c>
    </row>
    <row r="14" spans="1:7">
      <c r="A14" t="s">
        <v>180</v>
      </c>
      <c r="B14" t="s">
        <v>178</v>
      </c>
      <c r="C14" t="s">
        <v>139</v>
      </c>
      <c r="D14" t="s">
        <v>139</v>
      </c>
      <c r="E14">
        <f ca="1">INDIRECT("'Sheet1'!S1")</f>
        <v>0</v>
      </c>
      <c r="F14" t="b">
        <f t="shared" ca="1" si="0"/>
        <v>0</v>
      </c>
    </row>
    <row r="15" spans="1:7">
      <c r="A15" t="s">
        <v>93</v>
      </c>
      <c r="B15" t="s">
        <v>179</v>
      </c>
      <c r="C15" t="s">
        <v>140</v>
      </c>
      <c r="D15" t="s">
        <v>140</v>
      </c>
      <c r="E15">
        <f ca="1">INDIRECT("'Sheet1'!V1")</f>
        <v>0</v>
      </c>
      <c r="F15" t="b">
        <f t="shared" ca="1" si="0"/>
        <v>0</v>
      </c>
    </row>
    <row r="16" spans="1:7">
      <c r="A16" t="s">
        <v>94</v>
      </c>
      <c r="B16" t="s">
        <v>181</v>
      </c>
      <c r="C16" t="s">
        <v>141</v>
      </c>
      <c r="D16" t="s">
        <v>141</v>
      </c>
      <c r="E16">
        <f ca="1">INDIRECT("'Sheet1'!Y1")</f>
        <v>0</v>
      </c>
      <c r="F16" t="b">
        <f t="shared" ca="1" si="0"/>
        <v>0</v>
      </c>
    </row>
    <row r="17" spans="1:6">
      <c r="A17" t="s">
        <v>95</v>
      </c>
      <c r="B17" t="s">
        <v>182</v>
      </c>
      <c r="C17" t="s">
        <v>142</v>
      </c>
      <c r="D17" t="s">
        <v>142</v>
      </c>
      <c r="E17">
        <f ca="1">INDIRECT("'Sheet1'!AB1")</f>
        <v>0</v>
      </c>
      <c r="F17" t="b">
        <f t="shared" ca="1" si="0"/>
        <v>0</v>
      </c>
    </row>
    <row r="18" spans="1:6">
      <c r="A18" t="s">
        <v>96</v>
      </c>
      <c r="B18" t="s">
        <v>183</v>
      </c>
      <c r="C18" t="s">
        <v>143</v>
      </c>
      <c r="D18" t="s">
        <v>143</v>
      </c>
      <c r="E18">
        <f ca="1">INDIRECT("'Sheet1'!AE1")</f>
        <v>0</v>
      </c>
      <c r="F18" t="b">
        <f t="shared" ca="1" si="0"/>
        <v>0</v>
      </c>
    </row>
    <row r="19" spans="1:6">
      <c r="A19" t="s">
        <v>97</v>
      </c>
      <c r="B19" t="s">
        <v>184</v>
      </c>
      <c r="C19" t="s">
        <v>144</v>
      </c>
      <c r="D19" t="s">
        <v>144</v>
      </c>
      <c r="E19">
        <f ca="1">INDIRECT("'Sheet1'!AH1")</f>
        <v>0</v>
      </c>
      <c r="F19" t="b">
        <f t="shared" ca="1" si="0"/>
        <v>0</v>
      </c>
    </row>
    <row r="20" spans="1:6">
      <c r="A20" t="s">
        <v>98</v>
      </c>
      <c r="B20" t="s">
        <v>185</v>
      </c>
      <c r="C20" t="s">
        <v>145</v>
      </c>
      <c r="D20" t="s">
        <v>145</v>
      </c>
      <c r="E20">
        <f ca="1">INDIRECT("'Sheet1'!AK1")</f>
        <v>0</v>
      </c>
      <c r="F20" t="b">
        <f t="shared" ca="1" si="0"/>
        <v>0</v>
      </c>
    </row>
    <row r="21" spans="1:6">
      <c r="A21" t="s">
        <v>99</v>
      </c>
      <c r="B21" t="s">
        <v>186</v>
      </c>
      <c r="C21" t="s">
        <v>146</v>
      </c>
      <c r="D21" t="s">
        <v>146</v>
      </c>
      <c r="E21">
        <f ca="1">INDIRECT("'Sheet1'!AN1")</f>
        <v>0</v>
      </c>
      <c r="F21" t="b">
        <f t="shared" ca="1" si="0"/>
        <v>0</v>
      </c>
    </row>
    <row r="22" spans="1:6">
      <c r="A22" t="s">
        <v>100</v>
      </c>
      <c r="B22" t="s">
        <v>187</v>
      </c>
      <c r="C22" t="s">
        <v>147</v>
      </c>
      <c r="D22" t="s">
        <v>147</v>
      </c>
      <c r="E22">
        <f ca="1">INDIRECT("'Sheet1'!AP1")</f>
        <v>0</v>
      </c>
      <c r="F22" t="b">
        <f t="shared" ca="1" si="0"/>
        <v>0</v>
      </c>
    </row>
    <row r="23" spans="1:6">
      <c r="A23" t="s">
        <v>101</v>
      </c>
      <c r="B23" t="s">
        <v>188</v>
      </c>
      <c r="C23" t="s">
        <v>148</v>
      </c>
      <c r="D23" t="s">
        <v>148</v>
      </c>
      <c r="E23">
        <f ca="1">INDIRECT("'Sheet1'!AR1")</f>
        <v>0</v>
      </c>
      <c r="F23" t="b">
        <f t="shared" ca="1" si="0"/>
        <v>0</v>
      </c>
    </row>
    <row r="24" spans="1:6">
      <c r="A24" t="s">
        <v>102</v>
      </c>
      <c r="B24" t="s">
        <v>189</v>
      </c>
      <c r="C24" t="s">
        <v>149</v>
      </c>
      <c r="D24" t="s">
        <v>149</v>
      </c>
      <c r="E24">
        <f ca="1">INDIRECT("'Sheet1'!AT1")</f>
        <v>0</v>
      </c>
      <c r="F24" t="b">
        <f t="shared" ca="1" si="0"/>
        <v>0</v>
      </c>
    </row>
    <row r="25" spans="1:6">
      <c r="A25" t="s">
        <v>103</v>
      </c>
      <c r="B25" t="s">
        <v>190</v>
      </c>
      <c r="C25" t="s">
        <v>150</v>
      </c>
      <c r="D25" t="s">
        <v>150</v>
      </c>
      <c r="E25">
        <f ca="1">INDIRECT("'Sheet1'!AV1")</f>
        <v>0</v>
      </c>
      <c r="F25" t="b">
        <f t="shared" ca="1" si="0"/>
        <v>0</v>
      </c>
    </row>
    <row r="26" spans="1:6">
      <c r="A26" t="s">
        <v>104</v>
      </c>
      <c r="B26" t="s">
        <v>191</v>
      </c>
      <c r="C26" t="s">
        <v>151</v>
      </c>
      <c r="D26" t="s">
        <v>151</v>
      </c>
      <c r="E26">
        <f ca="1">INDIRECT("'Sheet1'!AX1")</f>
        <v>0</v>
      </c>
      <c r="F26" t="b">
        <f t="shared" ca="1" si="0"/>
        <v>0</v>
      </c>
    </row>
    <row r="27" spans="1:6">
      <c r="A27" t="s">
        <v>105</v>
      </c>
      <c r="B27" t="s">
        <v>192</v>
      </c>
      <c r="C27" t="s">
        <v>152</v>
      </c>
      <c r="D27" t="s">
        <v>152</v>
      </c>
      <c r="E27">
        <f ca="1">INDIRECT("'Sheet1'!AZ1")</f>
        <v>0</v>
      </c>
      <c r="F27" t="b">
        <f t="shared" ca="1" si="0"/>
        <v>0</v>
      </c>
    </row>
    <row r="28" spans="1:6">
      <c r="A28" t="s">
        <v>106</v>
      </c>
      <c r="B28" t="s">
        <v>193</v>
      </c>
      <c r="C28" t="s">
        <v>153</v>
      </c>
      <c r="D28" t="s">
        <v>153</v>
      </c>
      <c r="E28">
        <f ca="1">INDIRECT("'Sheet1'!BB1")</f>
        <v>0</v>
      </c>
      <c r="F28" t="b">
        <f t="shared" ca="1" si="0"/>
        <v>0</v>
      </c>
    </row>
    <row r="29" spans="1:6">
      <c r="A29" t="s">
        <v>107</v>
      </c>
      <c r="B29" t="s">
        <v>194</v>
      </c>
      <c r="C29" t="s">
        <v>154</v>
      </c>
      <c r="D29" t="s">
        <v>154</v>
      </c>
      <c r="E29">
        <f ca="1">INDIRECT("'Sheet1'!BE1")</f>
        <v>0</v>
      </c>
      <c r="F29" t="b">
        <f t="shared" ca="1" si="0"/>
        <v>0</v>
      </c>
    </row>
    <row r="30" spans="1:6">
      <c r="A30" t="s">
        <v>108</v>
      </c>
      <c r="B30" t="s">
        <v>195</v>
      </c>
      <c r="C30" t="s">
        <v>155</v>
      </c>
      <c r="D30" t="s">
        <v>155</v>
      </c>
      <c r="E30">
        <f ca="1">INDIRECT("'Sheet1'!BH1")</f>
        <v>0</v>
      </c>
      <c r="F30" t="b">
        <f t="shared" ca="1" si="0"/>
        <v>0</v>
      </c>
    </row>
    <row r="31" spans="1:6">
      <c r="A31" t="s">
        <v>109</v>
      </c>
      <c r="B31" t="s">
        <v>196</v>
      </c>
      <c r="C31" t="s">
        <v>156</v>
      </c>
      <c r="D31" t="s">
        <v>156</v>
      </c>
      <c r="E31">
        <f ca="1">INDIRECT("'Sheet1'!BK1")</f>
        <v>0</v>
      </c>
      <c r="F31" t="b">
        <f t="shared" ca="1" si="0"/>
        <v>0</v>
      </c>
    </row>
    <row r="32" spans="1:6">
      <c r="A32" t="s">
        <v>110</v>
      </c>
      <c r="B32" t="s">
        <v>197</v>
      </c>
      <c r="C32" t="s">
        <v>157</v>
      </c>
      <c r="D32" t="s">
        <v>157</v>
      </c>
      <c r="E32">
        <f ca="1">INDIRECT("'Sheet1'!BN1")</f>
        <v>0</v>
      </c>
      <c r="F32" t="b">
        <f t="shared" ca="1" si="0"/>
        <v>0</v>
      </c>
    </row>
    <row r="33" spans="1:6">
      <c r="A33" t="s">
        <v>111</v>
      </c>
      <c r="B33" t="s">
        <v>198</v>
      </c>
      <c r="C33" t="s">
        <v>158</v>
      </c>
      <c r="D33" t="s">
        <v>158</v>
      </c>
      <c r="E33">
        <f ca="1">INDIRECT("'Sheet1'!BQ1")</f>
        <v>0</v>
      </c>
      <c r="F33" t="b">
        <f t="shared" ca="1" si="0"/>
        <v>0</v>
      </c>
    </row>
    <row r="34" spans="1:6">
      <c r="A34" t="s">
        <v>112</v>
      </c>
      <c r="B34" t="s">
        <v>199</v>
      </c>
      <c r="C34" t="s">
        <v>159</v>
      </c>
      <c r="D34" t="s">
        <v>159</v>
      </c>
      <c r="E34">
        <f ca="1">INDIRECT("'Sheet1'!BT1")</f>
        <v>0</v>
      </c>
      <c r="F34" t="b">
        <f t="shared" ca="1" si="0"/>
        <v>0</v>
      </c>
    </row>
    <row r="35" spans="1:6">
      <c r="A35" t="s">
        <v>113</v>
      </c>
      <c r="B35" t="s">
        <v>200</v>
      </c>
      <c r="C35" t="s">
        <v>160</v>
      </c>
      <c r="D35" t="s">
        <v>160</v>
      </c>
      <c r="E35">
        <f ca="1">INDIRECT("'Sheet1'!BW1")</f>
        <v>0</v>
      </c>
      <c r="F35" t="b">
        <f t="shared" ca="1" si="0"/>
        <v>0</v>
      </c>
    </row>
    <row r="36" spans="1:6">
      <c r="A36" t="s">
        <v>114</v>
      </c>
      <c r="B36" t="s">
        <v>201</v>
      </c>
      <c r="C36" t="s">
        <v>161</v>
      </c>
      <c r="D36" t="s">
        <v>161</v>
      </c>
      <c r="E36">
        <f ca="1">INDIRECT("'Sheet1'!BY1")</f>
        <v>0</v>
      </c>
      <c r="F36" t="b">
        <f t="shared" ca="1" si="0"/>
        <v>0</v>
      </c>
    </row>
    <row r="37" spans="1:6">
      <c r="A37" t="s">
        <v>115</v>
      </c>
      <c r="B37" t="s">
        <v>202</v>
      </c>
      <c r="C37" t="s">
        <v>162</v>
      </c>
      <c r="D37" t="s">
        <v>162</v>
      </c>
      <c r="E37">
        <f ca="1">INDIRECT("'Sheet1'!CB1")</f>
        <v>0</v>
      </c>
      <c r="F37" t="b">
        <f t="shared" ca="1" si="0"/>
        <v>0</v>
      </c>
    </row>
    <row r="38" spans="1:6">
      <c r="A38" t="s">
        <v>116</v>
      </c>
      <c r="B38" t="s">
        <v>169</v>
      </c>
      <c r="E38">
        <f ca="1">INDIRECT("'Sheet1'!CE1")</f>
        <v>0</v>
      </c>
      <c r="F38" t="b">
        <f t="shared" ca="1" si="0"/>
        <v>1</v>
      </c>
    </row>
    <row r="40" spans="1:6">
      <c r="A40" t="s">
        <v>117</v>
      </c>
      <c r="B40" t="s">
        <v>272</v>
      </c>
      <c r="C40" t="s">
        <v>6</v>
      </c>
      <c r="D40" t="s">
        <v>6</v>
      </c>
      <c r="E40">
        <f ca="1">INDIRECT("'Sheet1'!A2")</f>
        <v>0</v>
      </c>
      <c r="F40" t="b">
        <f t="shared" ca="1" si="0"/>
        <v>0</v>
      </c>
    </row>
    <row r="41" spans="1:6">
      <c r="A41" t="s">
        <v>118</v>
      </c>
      <c r="B41" t="s">
        <v>273</v>
      </c>
      <c r="C41" t="s">
        <v>8</v>
      </c>
      <c r="D41" t="s">
        <v>8</v>
      </c>
      <c r="E41">
        <f ca="1">INDIRECT("'Sheet1'!B2")</f>
        <v>0</v>
      </c>
      <c r="F41" t="b">
        <f t="shared" ca="1" si="0"/>
        <v>0</v>
      </c>
    </row>
    <row r="42" spans="1:6">
      <c r="A42" t="s">
        <v>119</v>
      </c>
      <c r="B42" t="s">
        <v>274</v>
      </c>
      <c r="C42" t="s">
        <v>163</v>
      </c>
      <c r="D42" t="s">
        <v>163</v>
      </c>
      <c r="E42">
        <f ca="1">INDIRECT("'Sheet1'!C2")</f>
        <v>0</v>
      </c>
      <c r="F42" t="b">
        <f t="shared" ca="1" si="0"/>
        <v>0</v>
      </c>
    </row>
    <row r="43" spans="1:6">
      <c r="A43" t="s">
        <v>120</v>
      </c>
      <c r="B43" t="s">
        <v>275</v>
      </c>
      <c r="C43" t="s">
        <v>164</v>
      </c>
      <c r="D43" t="s">
        <v>164</v>
      </c>
      <c r="E43">
        <f ca="1">INDIRECT("'Sheet1'!D2")</f>
        <v>0</v>
      </c>
      <c r="F43" t="b">
        <f t="shared" ca="1" si="0"/>
        <v>0</v>
      </c>
    </row>
    <row r="44" spans="1:6">
      <c r="A44" t="s">
        <v>121</v>
      </c>
      <c r="B44" t="s">
        <v>274</v>
      </c>
      <c r="C44" t="s">
        <v>163</v>
      </c>
      <c r="D44" t="s">
        <v>163</v>
      </c>
      <c r="E44">
        <f ca="1">INDIRECT("'Sheet1'!E2")</f>
        <v>0</v>
      </c>
      <c r="F44" t="b">
        <f t="shared" ca="1" si="0"/>
        <v>0</v>
      </c>
    </row>
    <row r="45" spans="1:6">
      <c r="A45" t="s">
        <v>122</v>
      </c>
      <c r="B45" t="s">
        <v>276</v>
      </c>
      <c r="C45" t="s">
        <v>165</v>
      </c>
      <c r="D45" t="s">
        <v>165</v>
      </c>
      <c r="E45">
        <f ca="1">INDIRECT("'Sheet1'!F2")</f>
        <v>0</v>
      </c>
      <c r="F45" t="b">
        <f t="shared" ca="1" si="0"/>
        <v>0</v>
      </c>
    </row>
    <row r="46" spans="1:6">
      <c r="A46" t="s">
        <v>123</v>
      </c>
      <c r="B46" t="s">
        <v>277</v>
      </c>
      <c r="C46" t="s">
        <v>166</v>
      </c>
      <c r="D46" t="s">
        <v>166</v>
      </c>
      <c r="E46">
        <f ca="1">INDIRECT("'Sheet1'!G2")</f>
        <v>0</v>
      </c>
      <c r="F46" t="b">
        <f t="shared" ca="1" si="0"/>
        <v>0</v>
      </c>
    </row>
    <row r="47" spans="1:6">
      <c r="A47" t="s">
        <v>124</v>
      </c>
      <c r="B47" t="s">
        <v>278</v>
      </c>
      <c r="C47" t="s">
        <v>167</v>
      </c>
      <c r="D47" t="s">
        <v>167</v>
      </c>
      <c r="E47">
        <f ca="1">INDIRECT("'Sheet1'!H2")</f>
        <v>0</v>
      </c>
      <c r="F47" t="b">
        <f t="shared" ca="1" si="0"/>
        <v>0</v>
      </c>
    </row>
    <row r="48" spans="1:6">
      <c r="A48" t="s">
        <v>125</v>
      </c>
      <c r="B48" t="s">
        <v>274</v>
      </c>
      <c r="C48" t="s">
        <v>163</v>
      </c>
      <c r="D48" t="s">
        <v>163</v>
      </c>
      <c r="E48">
        <f ca="1">INDIRECT("'Sheet1'!I2")</f>
        <v>0</v>
      </c>
      <c r="F48" t="b">
        <f t="shared" ca="1" si="0"/>
        <v>0</v>
      </c>
    </row>
    <row r="49" spans="1:6">
      <c r="A49" t="s">
        <v>126</v>
      </c>
      <c r="B49" t="s">
        <v>276</v>
      </c>
      <c r="C49" t="s">
        <v>165</v>
      </c>
      <c r="D49" t="s">
        <v>165</v>
      </c>
      <c r="E49">
        <f ca="1">INDIRECT("'Sheet1'!J2")</f>
        <v>0</v>
      </c>
      <c r="F49" t="b">
        <f t="shared" ca="1" si="0"/>
        <v>0</v>
      </c>
    </row>
    <row r="50" spans="1:6">
      <c r="A50" t="s">
        <v>127</v>
      </c>
      <c r="B50" t="s">
        <v>274</v>
      </c>
      <c r="C50" t="s">
        <v>163</v>
      </c>
      <c r="D50" t="s">
        <v>163</v>
      </c>
      <c r="E50">
        <f ca="1">INDIRECT("'Sheet1'!K2")</f>
        <v>0</v>
      </c>
      <c r="F50" t="b">
        <f t="shared" ca="1" si="0"/>
        <v>0</v>
      </c>
    </row>
    <row r="51" spans="1:6">
      <c r="A51" t="s">
        <v>128</v>
      </c>
      <c r="B51" t="s">
        <v>276</v>
      </c>
      <c r="C51" t="s">
        <v>165</v>
      </c>
      <c r="D51" t="s">
        <v>165</v>
      </c>
      <c r="E51">
        <f ca="1">INDIRECT("'Sheet1'!L2")</f>
        <v>0</v>
      </c>
      <c r="F51" t="b">
        <f t="shared" ca="1" si="0"/>
        <v>0</v>
      </c>
    </row>
    <row r="52" spans="1:6">
      <c r="A52" t="s">
        <v>129</v>
      </c>
      <c r="B52" t="s">
        <v>274</v>
      </c>
      <c r="C52" t="s">
        <v>163</v>
      </c>
      <c r="D52" t="s">
        <v>163</v>
      </c>
      <c r="E52">
        <f ca="1">INDIRECT("'Sheet1'!M2")</f>
        <v>0</v>
      </c>
      <c r="F52" t="b">
        <f t="shared" ca="1" si="0"/>
        <v>0</v>
      </c>
    </row>
    <row r="53" spans="1:6">
      <c r="A53" t="s">
        <v>203</v>
      </c>
      <c r="B53" t="s">
        <v>276</v>
      </c>
      <c r="C53" t="s">
        <v>165</v>
      </c>
      <c r="D53" t="s">
        <v>165</v>
      </c>
      <c r="E53">
        <f ca="1">INDIRECT("'Sheet1'!N2")</f>
        <v>0</v>
      </c>
      <c r="F53" t="b">
        <f t="shared" ca="1" si="0"/>
        <v>0</v>
      </c>
    </row>
    <row r="54" spans="1:6">
      <c r="A54" t="s">
        <v>204</v>
      </c>
      <c r="B54" t="s">
        <v>274</v>
      </c>
      <c r="C54" t="s">
        <v>163</v>
      </c>
      <c r="D54" t="s">
        <v>163</v>
      </c>
      <c r="E54">
        <f ca="1">INDIRECT("'Sheet1'!O2")</f>
        <v>0</v>
      </c>
      <c r="F54" t="b">
        <f t="shared" ca="1" si="0"/>
        <v>0</v>
      </c>
    </row>
    <row r="55" spans="1:6">
      <c r="A55" t="s">
        <v>205</v>
      </c>
      <c r="B55" t="s">
        <v>276</v>
      </c>
      <c r="C55" t="s">
        <v>165</v>
      </c>
      <c r="D55" t="s">
        <v>165</v>
      </c>
      <c r="E55">
        <f ca="1">INDIRECT("'Sheet1'!P2")</f>
        <v>0</v>
      </c>
      <c r="F55" t="b">
        <f t="shared" ca="1" si="0"/>
        <v>0</v>
      </c>
    </row>
    <row r="56" spans="1:6">
      <c r="A56" t="s">
        <v>206</v>
      </c>
      <c r="B56" t="s">
        <v>274</v>
      </c>
      <c r="C56" t="s">
        <v>163</v>
      </c>
      <c r="D56" t="s">
        <v>163</v>
      </c>
      <c r="E56">
        <f ca="1">INDIRECT("'Sheet1'!Q2")</f>
        <v>0</v>
      </c>
      <c r="F56" t="b">
        <f t="shared" ca="1" si="0"/>
        <v>0</v>
      </c>
    </row>
    <row r="57" spans="1:6">
      <c r="A57" t="s">
        <v>207</v>
      </c>
      <c r="B57" t="s">
        <v>276</v>
      </c>
      <c r="C57" t="s">
        <v>165</v>
      </c>
      <c r="D57" t="s">
        <v>165</v>
      </c>
      <c r="E57">
        <f ca="1">INDIRECT("'Sheet1'!R2")</f>
        <v>0</v>
      </c>
      <c r="F57" t="b">
        <f t="shared" ca="1" si="0"/>
        <v>0</v>
      </c>
    </row>
    <row r="58" spans="1:6">
      <c r="A58" t="s">
        <v>208</v>
      </c>
      <c r="B58" t="s">
        <v>274</v>
      </c>
      <c r="C58" t="s">
        <v>163</v>
      </c>
      <c r="D58" t="s">
        <v>163</v>
      </c>
      <c r="E58">
        <f ca="1">INDIRECT("'Sheet1'!S2")</f>
        <v>0</v>
      </c>
      <c r="F58" t="b">
        <f t="shared" ca="1" si="0"/>
        <v>0</v>
      </c>
    </row>
    <row r="59" spans="1:6">
      <c r="A59" t="s">
        <v>209</v>
      </c>
      <c r="B59" t="s">
        <v>275</v>
      </c>
      <c r="C59" t="s">
        <v>164</v>
      </c>
      <c r="D59" t="s">
        <v>164</v>
      </c>
      <c r="E59">
        <f ca="1">INDIRECT("'Sheet1'!T2")</f>
        <v>0</v>
      </c>
      <c r="F59" t="b">
        <f t="shared" ca="1" si="0"/>
        <v>0</v>
      </c>
    </row>
    <row r="60" spans="1:6">
      <c r="A60" t="s">
        <v>210</v>
      </c>
      <c r="B60" t="s">
        <v>276</v>
      </c>
      <c r="C60" t="s">
        <v>165</v>
      </c>
      <c r="D60" t="s">
        <v>165</v>
      </c>
      <c r="E60">
        <f ca="1">INDIRECT("'Sheet1'!U2")</f>
        <v>0</v>
      </c>
      <c r="F60" t="b">
        <f t="shared" ca="1" si="0"/>
        <v>0</v>
      </c>
    </row>
    <row r="61" spans="1:6">
      <c r="A61" t="s">
        <v>211</v>
      </c>
      <c r="B61" t="s">
        <v>274</v>
      </c>
      <c r="C61" t="s">
        <v>163</v>
      </c>
      <c r="D61" t="s">
        <v>163</v>
      </c>
      <c r="E61">
        <f ca="1">INDIRECT("'Sheet1'!V2")</f>
        <v>0</v>
      </c>
      <c r="F61" t="b">
        <f t="shared" ca="1" si="0"/>
        <v>0</v>
      </c>
    </row>
    <row r="62" spans="1:6">
      <c r="A62" t="s">
        <v>212</v>
      </c>
      <c r="B62" t="s">
        <v>275</v>
      </c>
      <c r="C62" t="s">
        <v>164</v>
      </c>
      <c r="D62" t="s">
        <v>164</v>
      </c>
      <c r="E62">
        <f ca="1">INDIRECT("'Sheet1'!W2")</f>
        <v>0</v>
      </c>
      <c r="F62" t="b">
        <f t="shared" ca="1" si="0"/>
        <v>0</v>
      </c>
    </row>
    <row r="63" spans="1:6">
      <c r="A63" t="s">
        <v>213</v>
      </c>
      <c r="B63" t="s">
        <v>276</v>
      </c>
      <c r="C63" t="s">
        <v>165</v>
      </c>
      <c r="D63" t="s">
        <v>165</v>
      </c>
      <c r="E63">
        <f ca="1">INDIRECT("'Sheet1'!X2")</f>
        <v>0</v>
      </c>
      <c r="F63" t="b">
        <f t="shared" ca="1" si="0"/>
        <v>0</v>
      </c>
    </row>
    <row r="64" spans="1:6">
      <c r="A64" t="s">
        <v>214</v>
      </c>
      <c r="B64" t="s">
        <v>274</v>
      </c>
      <c r="C64" t="s">
        <v>163</v>
      </c>
      <c r="D64" t="s">
        <v>163</v>
      </c>
      <c r="E64">
        <f ca="1">INDIRECT("'Sheet1'!Y2")</f>
        <v>0</v>
      </c>
      <c r="F64" t="b">
        <f t="shared" ca="1" si="0"/>
        <v>0</v>
      </c>
    </row>
    <row r="65" spans="1:6">
      <c r="A65" t="s">
        <v>215</v>
      </c>
      <c r="B65" t="s">
        <v>275</v>
      </c>
      <c r="C65" t="s">
        <v>164</v>
      </c>
      <c r="D65" t="s">
        <v>164</v>
      </c>
      <c r="E65">
        <f ca="1">INDIRECT("'Sheet1'!Z2")</f>
        <v>0</v>
      </c>
      <c r="F65" t="b">
        <f t="shared" ca="1" si="0"/>
        <v>0</v>
      </c>
    </row>
    <row r="66" spans="1:6">
      <c r="A66" t="s">
        <v>216</v>
      </c>
      <c r="B66" t="s">
        <v>276</v>
      </c>
      <c r="C66" t="s">
        <v>165</v>
      </c>
      <c r="D66" t="s">
        <v>165</v>
      </c>
      <c r="E66">
        <f ca="1">INDIRECT("'Sheet1'!AA2")</f>
        <v>0</v>
      </c>
      <c r="F66" t="b">
        <f t="shared" ca="1" si="0"/>
        <v>0</v>
      </c>
    </row>
    <row r="67" spans="1:6">
      <c r="A67" t="s">
        <v>217</v>
      </c>
      <c r="B67" t="s">
        <v>274</v>
      </c>
      <c r="C67" t="s">
        <v>163</v>
      </c>
      <c r="D67" t="s">
        <v>163</v>
      </c>
      <c r="E67">
        <f ca="1">INDIRECT("'Sheet1'!AB2")</f>
        <v>0</v>
      </c>
      <c r="F67" t="b">
        <f t="shared" ca="1" si="0"/>
        <v>0</v>
      </c>
    </row>
    <row r="68" spans="1:6">
      <c r="A68" t="s">
        <v>218</v>
      </c>
      <c r="B68" t="s">
        <v>275</v>
      </c>
      <c r="C68" t="s">
        <v>164</v>
      </c>
      <c r="D68" t="s">
        <v>164</v>
      </c>
      <c r="E68">
        <f ca="1">INDIRECT("'Sheet1'!AC2")</f>
        <v>0</v>
      </c>
      <c r="F68" t="b">
        <f t="shared" ca="1" si="0"/>
        <v>0</v>
      </c>
    </row>
    <row r="69" spans="1:6">
      <c r="A69" t="s">
        <v>219</v>
      </c>
      <c r="B69" t="s">
        <v>276</v>
      </c>
      <c r="C69" t="s">
        <v>165</v>
      </c>
      <c r="D69" t="s">
        <v>165</v>
      </c>
      <c r="E69">
        <f ca="1">INDIRECT("'Sheet1'!AD2")</f>
        <v>0</v>
      </c>
      <c r="F69" t="b">
        <f t="shared" ca="1" si="0"/>
        <v>0</v>
      </c>
    </row>
    <row r="70" spans="1:6">
      <c r="A70" t="s">
        <v>220</v>
      </c>
      <c r="B70" t="s">
        <v>274</v>
      </c>
      <c r="C70" t="s">
        <v>163</v>
      </c>
      <c r="D70" t="s">
        <v>163</v>
      </c>
      <c r="E70">
        <f ca="1">INDIRECT("'Sheet1'!AE2")</f>
        <v>0</v>
      </c>
      <c r="F70" t="b">
        <f t="shared" ca="1" si="0"/>
        <v>0</v>
      </c>
    </row>
    <row r="71" spans="1:6">
      <c r="A71" t="s">
        <v>221</v>
      </c>
      <c r="B71" t="s">
        <v>275</v>
      </c>
      <c r="C71" t="s">
        <v>164</v>
      </c>
      <c r="D71" t="s">
        <v>164</v>
      </c>
      <c r="E71">
        <f ca="1">INDIRECT("'Sheet1'!AF2")</f>
        <v>0</v>
      </c>
      <c r="F71" t="b">
        <f t="shared" ca="1" si="0"/>
        <v>0</v>
      </c>
    </row>
    <row r="72" spans="1:6">
      <c r="A72" t="s">
        <v>222</v>
      </c>
      <c r="B72" t="s">
        <v>276</v>
      </c>
      <c r="C72" t="s">
        <v>165</v>
      </c>
      <c r="D72" t="s">
        <v>165</v>
      </c>
      <c r="E72">
        <f ca="1">INDIRECT("'Sheet1'!AG2")</f>
        <v>0</v>
      </c>
      <c r="F72" t="b">
        <f t="shared" ca="1" si="0"/>
        <v>0</v>
      </c>
    </row>
    <row r="73" spans="1:6">
      <c r="A73" t="s">
        <v>223</v>
      </c>
      <c r="B73" t="s">
        <v>274</v>
      </c>
      <c r="C73" t="s">
        <v>163</v>
      </c>
      <c r="D73" t="s">
        <v>163</v>
      </c>
      <c r="E73">
        <f ca="1">INDIRECT("'Sheet1'!AH2")</f>
        <v>0</v>
      </c>
      <c r="F73" t="b">
        <f t="shared" ref="F73:F117" ca="1" si="1">E73=D73</f>
        <v>0</v>
      </c>
    </row>
    <row r="74" spans="1:6">
      <c r="A74" t="s">
        <v>224</v>
      </c>
      <c r="B74" t="s">
        <v>275</v>
      </c>
      <c r="C74" t="s">
        <v>164</v>
      </c>
      <c r="D74" t="s">
        <v>164</v>
      </c>
      <c r="E74">
        <f ca="1">INDIRECT("'Sheet1'!AI2")</f>
        <v>0</v>
      </c>
      <c r="F74" t="b">
        <f t="shared" ca="1" si="1"/>
        <v>0</v>
      </c>
    </row>
    <row r="75" spans="1:6">
      <c r="A75" t="s">
        <v>225</v>
      </c>
      <c r="B75" t="s">
        <v>276</v>
      </c>
      <c r="C75" t="s">
        <v>165</v>
      </c>
      <c r="D75" t="s">
        <v>165</v>
      </c>
      <c r="E75">
        <f ca="1">INDIRECT("'Sheet1'!AJ2")</f>
        <v>0</v>
      </c>
      <c r="F75" t="b">
        <f t="shared" ca="1" si="1"/>
        <v>0</v>
      </c>
    </row>
    <row r="76" spans="1:6">
      <c r="A76" t="s">
        <v>226</v>
      </c>
      <c r="B76" t="s">
        <v>274</v>
      </c>
      <c r="C76" t="s">
        <v>163</v>
      </c>
      <c r="D76" t="s">
        <v>163</v>
      </c>
      <c r="E76">
        <f ca="1">INDIRECT("'Sheet1'!AK2")</f>
        <v>0</v>
      </c>
      <c r="F76" t="b">
        <f t="shared" ca="1" si="1"/>
        <v>0</v>
      </c>
    </row>
    <row r="77" spans="1:6">
      <c r="A77" t="s">
        <v>227</v>
      </c>
      <c r="B77" t="s">
        <v>275</v>
      </c>
      <c r="C77" t="s">
        <v>164</v>
      </c>
      <c r="D77" t="s">
        <v>164</v>
      </c>
      <c r="E77">
        <f ca="1">INDIRECT("'Sheet1'!AL2")</f>
        <v>0</v>
      </c>
      <c r="F77" t="b">
        <f t="shared" ca="1" si="1"/>
        <v>0</v>
      </c>
    </row>
    <row r="78" spans="1:6">
      <c r="A78" t="s">
        <v>228</v>
      </c>
      <c r="B78" t="s">
        <v>276</v>
      </c>
      <c r="C78" t="s">
        <v>165</v>
      </c>
      <c r="D78" t="s">
        <v>165</v>
      </c>
      <c r="E78">
        <f ca="1">INDIRECT("'Sheet1'!AM2")</f>
        <v>0</v>
      </c>
      <c r="F78" t="b">
        <f t="shared" ca="1" si="1"/>
        <v>0</v>
      </c>
    </row>
    <row r="79" spans="1:6">
      <c r="A79" t="s">
        <v>229</v>
      </c>
      <c r="B79" t="s">
        <v>274</v>
      </c>
      <c r="C79" t="s">
        <v>163</v>
      </c>
      <c r="D79" t="s">
        <v>163</v>
      </c>
      <c r="E79">
        <f ca="1">INDIRECT("'Sheet1'!AN2")</f>
        <v>0</v>
      </c>
      <c r="F79" t="b">
        <f t="shared" ca="1" si="1"/>
        <v>0</v>
      </c>
    </row>
    <row r="80" spans="1:6">
      <c r="A80" t="s">
        <v>230</v>
      </c>
      <c r="B80" t="s">
        <v>276</v>
      </c>
      <c r="C80" t="s">
        <v>165</v>
      </c>
      <c r="D80" t="s">
        <v>165</v>
      </c>
      <c r="E80">
        <f ca="1">INDIRECT("'Sheet1'!AO2")</f>
        <v>0</v>
      </c>
      <c r="F80" t="b">
        <f t="shared" ca="1" si="1"/>
        <v>0</v>
      </c>
    </row>
    <row r="81" spans="1:6">
      <c r="A81" t="s">
        <v>231</v>
      </c>
      <c r="B81" t="s">
        <v>274</v>
      </c>
      <c r="C81" t="s">
        <v>163</v>
      </c>
      <c r="D81" t="s">
        <v>163</v>
      </c>
      <c r="E81">
        <f ca="1">INDIRECT("'Sheet1'!AP2")</f>
        <v>0</v>
      </c>
      <c r="F81" t="b">
        <f t="shared" ca="1" si="1"/>
        <v>0</v>
      </c>
    </row>
    <row r="82" spans="1:6">
      <c r="A82" t="s">
        <v>232</v>
      </c>
      <c r="B82" t="s">
        <v>276</v>
      </c>
      <c r="C82" t="s">
        <v>165</v>
      </c>
      <c r="D82" t="s">
        <v>165</v>
      </c>
      <c r="E82">
        <f ca="1">INDIRECT("'Sheet1'!AQ2")</f>
        <v>0</v>
      </c>
      <c r="F82" t="b">
        <f t="shared" ca="1" si="1"/>
        <v>0</v>
      </c>
    </row>
    <row r="83" spans="1:6">
      <c r="A83" t="s">
        <v>233</v>
      </c>
      <c r="B83" t="s">
        <v>274</v>
      </c>
      <c r="C83" t="s">
        <v>163</v>
      </c>
      <c r="D83" t="s">
        <v>163</v>
      </c>
      <c r="E83">
        <f ca="1">INDIRECT("'Sheet1'!AR2")</f>
        <v>0</v>
      </c>
      <c r="F83" t="b">
        <f t="shared" ca="1" si="1"/>
        <v>0</v>
      </c>
    </row>
    <row r="84" spans="1:6">
      <c r="A84" t="s">
        <v>234</v>
      </c>
      <c r="B84" t="s">
        <v>276</v>
      </c>
      <c r="C84" t="s">
        <v>165</v>
      </c>
      <c r="D84" t="s">
        <v>165</v>
      </c>
      <c r="E84">
        <f ca="1">INDIRECT("'Sheet1'!AS2")</f>
        <v>0</v>
      </c>
      <c r="F84" t="b">
        <f t="shared" ca="1" si="1"/>
        <v>0</v>
      </c>
    </row>
    <row r="85" spans="1:6">
      <c r="A85" t="s">
        <v>235</v>
      </c>
      <c r="B85" t="s">
        <v>274</v>
      </c>
      <c r="C85" t="s">
        <v>163</v>
      </c>
      <c r="D85" t="s">
        <v>163</v>
      </c>
      <c r="E85">
        <f ca="1">INDIRECT("'Sheet1'!AT2")</f>
        <v>0</v>
      </c>
      <c r="F85" t="b">
        <f t="shared" ca="1" si="1"/>
        <v>0</v>
      </c>
    </row>
    <row r="86" spans="1:6">
      <c r="A86" t="s">
        <v>236</v>
      </c>
      <c r="B86" t="s">
        <v>276</v>
      </c>
      <c r="C86" t="s">
        <v>165</v>
      </c>
      <c r="D86" t="s">
        <v>165</v>
      </c>
      <c r="E86">
        <f ca="1">INDIRECT("'Sheet1'!AU2")</f>
        <v>0</v>
      </c>
      <c r="F86" t="b">
        <f t="shared" ca="1" si="1"/>
        <v>0</v>
      </c>
    </row>
    <row r="87" spans="1:6">
      <c r="A87" t="s">
        <v>237</v>
      </c>
      <c r="B87" t="s">
        <v>274</v>
      </c>
      <c r="C87" t="s">
        <v>163</v>
      </c>
      <c r="D87" t="s">
        <v>163</v>
      </c>
      <c r="E87">
        <f ca="1">INDIRECT("'Sheet1'!AV2")</f>
        <v>0</v>
      </c>
      <c r="F87" t="b">
        <f t="shared" ca="1" si="1"/>
        <v>0</v>
      </c>
    </row>
    <row r="88" spans="1:6">
      <c r="A88" t="s">
        <v>238</v>
      </c>
      <c r="B88" t="s">
        <v>276</v>
      </c>
      <c r="C88" t="s">
        <v>165</v>
      </c>
      <c r="D88" t="s">
        <v>165</v>
      </c>
      <c r="E88">
        <f ca="1">INDIRECT("'Sheet1'!AW2")</f>
        <v>0</v>
      </c>
      <c r="F88" t="b">
        <f t="shared" ca="1" si="1"/>
        <v>0</v>
      </c>
    </row>
    <row r="89" spans="1:6">
      <c r="A89" t="s">
        <v>239</v>
      </c>
      <c r="B89" t="s">
        <v>274</v>
      </c>
      <c r="C89" t="s">
        <v>163</v>
      </c>
      <c r="D89" t="s">
        <v>163</v>
      </c>
      <c r="E89">
        <f ca="1">INDIRECT("'Sheet1'!AX2")</f>
        <v>0</v>
      </c>
      <c r="F89" t="b">
        <f t="shared" ca="1" si="1"/>
        <v>0</v>
      </c>
    </row>
    <row r="90" spans="1:6">
      <c r="A90" t="s">
        <v>240</v>
      </c>
      <c r="B90" t="s">
        <v>276</v>
      </c>
      <c r="C90" t="s">
        <v>165</v>
      </c>
      <c r="D90" t="s">
        <v>165</v>
      </c>
      <c r="E90">
        <f ca="1">INDIRECT("'Sheet1'!AY2")</f>
        <v>0</v>
      </c>
      <c r="F90" t="b">
        <f t="shared" ca="1" si="1"/>
        <v>0</v>
      </c>
    </row>
    <row r="91" spans="1:6">
      <c r="A91" t="s">
        <v>241</v>
      </c>
      <c r="B91" t="s">
        <v>274</v>
      </c>
      <c r="C91" t="s">
        <v>163</v>
      </c>
      <c r="D91" t="s">
        <v>163</v>
      </c>
      <c r="E91">
        <f ca="1">INDIRECT("'Sheet1'!AZ2")</f>
        <v>0</v>
      </c>
      <c r="F91" t="b">
        <f t="shared" ca="1" si="1"/>
        <v>0</v>
      </c>
    </row>
    <row r="92" spans="1:6">
      <c r="A92" t="s">
        <v>242</v>
      </c>
      <c r="B92" t="s">
        <v>276</v>
      </c>
      <c r="C92" t="s">
        <v>165</v>
      </c>
      <c r="D92" t="s">
        <v>165</v>
      </c>
      <c r="E92">
        <f ca="1">INDIRECT("'Sheet1'!BA2")</f>
        <v>0</v>
      </c>
      <c r="F92" t="b">
        <f t="shared" ca="1" si="1"/>
        <v>0</v>
      </c>
    </row>
    <row r="93" spans="1:6">
      <c r="A93" t="s">
        <v>243</v>
      </c>
      <c r="B93" t="s">
        <v>274</v>
      </c>
      <c r="C93" t="s">
        <v>163</v>
      </c>
      <c r="D93" t="s">
        <v>163</v>
      </c>
      <c r="E93">
        <f ca="1">INDIRECT("'Sheet1'!BB2")</f>
        <v>0</v>
      </c>
      <c r="F93" t="b">
        <f t="shared" ca="1" si="1"/>
        <v>0</v>
      </c>
    </row>
    <row r="94" spans="1:6">
      <c r="A94" t="s">
        <v>244</v>
      </c>
      <c r="B94" t="s">
        <v>275</v>
      </c>
      <c r="C94" t="s">
        <v>164</v>
      </c>
      <c r="D94" t="s">
        <v>164</v>
      </c>
      <c r="E94">
        <f ca="1">INDIRECT("'Sheet1'!BC2")</f>
        <v>0</v>
      </c>
      <c r="F94" t="b">
        <f t="shared" ca="1" si="1"/>
        <v>0</v>
      </c>
    </row>
    <row r="95" spans="1:6">
      <c r="A95" t="s">
        <v>245</v>
      </c>
      <c r="B95" t="s">
        <v>276</v>
      </c>
      <c r="C95" t="s">
        <v>165</v>
      </c>
      <c r="D95" t="s">
        <v>165</v>
      </c>
      <c r="E95">
        <f ca="1">INDIRECT("'Sheet1'!BD2")</f>
        <v>0</v>
      </c>
      <c r="F95" t="b">
        <f t="shared" ca="1" si="1"/>
        <v>0</v>
      </c>
    </row>
    <row r="96" spans="1:6">
      <c r="A96" t="s">
        <v>246</v>
      </c>
      <c r="B96" t="s">
        <v>274</v>
      </c>
      <c r="C96" t="s">
        <v>163</v>
      </c>
      <c r="D96" t="s">
        <v>163</v>
      </c>
      <c r="E96">
        <f ca="1">INDIRECT("'Sheet1'!BE2")</f>
        <v>0</v>
      </c>
      <c r="F96" t="b">
        <f t="shared" ca="1" si="1"/>
        <v>0</v>
      </c>
    </row>
    <row r="97" spans="1:6 16384:16384">
      <c r="A97" t="s">
        <v>247</v>
      </c>
      <c r="B97" t="s">
        <v>275</v>
      </c>
      <c r="C97" t="s">
        <v>164</v>
      </c>
      <c r="D97" t="s">
        <v>164</v>
      </c>
      <c r="E97">
        <f ca="1">INDIRECT("'Sheet1'!BF2")</f>
        <v>0</v>
      </c>
      <c r="F97" t="b">
        <f t="shared" ca="1" si="1"/>
        <v>0</v>
      </c>
    </row>
    <row r="98" spans="1:6 16384:16384">
      <c r="A98" t="s">
        <v>248</v>
      </c>
      <c r="B98" t="s">
        <v>276</v>
      </c>
      <c r="C98" t="s">
        <v>165</v>
      </c>
      <c r="D98" t="s">
        <v>165</v>
      </c>
      <c r="E98">
        <f ca="1">INDIRECT("'Sheet1'!BG2")</f>
        <v>0</v>
      </c>
      <c r="F98" t="b">
        <f t="shared" ca="1" si="1"/>
        <v>0</v>
      </c>
    </row>
    <row r="99" spans="1:6 16384:16384">
      <c r="A99" t="s">
        <v>249</v>
      </c>
      <c r="B99" t="s">
        <v>274</v>
      </c>
      <c r="C99" t="s">
        <v>163</v>
      </c>
      <c r="D99" t="s">
        <v>163</v>
      </c>
      <c r="E99">
        <f ca="1">INDIRECT("'Sheet1'!BH2")</f>
        <v>0</v>
      </c>
      <c r="F99" t="b">
        <f t="shared" ca="1" si="1"/>
        <v>0</v>
      </c>
    </row>
    <row r="100" spans="1:6 16384:16384">
      <c r="A100" t="s">
        <v>250</v>
      </c>
      <c r="B100" t="s">
        <v>275</v>
      </c>
      <c r="C100" t="s">
        <v>164</v>
      </c>
      <c r="D100" t="s">
        <v>164</v>
      </c>
      <c r="E100">
        <f ca="1">INDIRECT("'Sheet1'!BI2")</f>
        <v>0</v>
      </c>
      <c r="F100" t="b">
        <f t="shared" ca="1" si="1"/>
        <v>0</v>
      </c>
    </row>
    <row r="101" spans="1:6 16384:16384">
      <c r="A101" t="s">
        <v>251</v>
      </c>
      <c r="B101" t="s">
        <v>276</v>
      </c>
      <c r="C101" t="s">
        <v>165</v>
      </c>
      <c r="D101" t="s">
        <v>165</v>
      </c>
      <c r="E101">
        <f ca="1">INDIRECT("'Sheet1'!BJ2")</f>
        <v>0</v>
      </c>
      <c r="F101" t="b">
        <f t="shared" ca="1" si="1"/>
        <v>0</v>
      </c>
    </row>
    <row r="102" spans="1:6 16384:16384">
      <c r="A102" t="s">
        <v>252</v>
      </c>
      <c r="B102" t="s">
        <v>274</v>
      </c>
      <c r="C102" t="s">
        <v>163</v>
      </c>
      <c r="D102" t="s">
        <v>163</v>
      </c>
      <c r="E102">
        <f ca="1">INDIRECT("'Sheet1'!BK2")</f>
        <v>0</v>
      </c>
      <c r="F102" t="b">
        <f t="shared" ca="1" si="1"/>
        <v>0</v>
      </c>
    </row>
    <row r="103" spans="1:6 16384:16384">
      <c r="A103" t="s">
        <v>253</v>
      </c>
      <c r="B103" t="s">
        <v>275</v>
      </c>
      <c r="C103" t="s">
        <v>164</v>
      </c>
      <c r="D103" t="s">
        <v>164</v>
      </c>
      <c r="E103">
        <f ca="1">INDIRECT("'Sheet1'!BL2")</f>
        <v>0</v>
      </c>
      <c r="F103" t="b">
        <f t="shared" ca="1" si="1"/>
        <v>0</v>
      </c>
    </row>
    <row r="104" spans="1:6 16384:16384">
      <c r="A104" t="s">
        <v>254</v>
      </c>
      <c r="B104" t="s">
        <v>276</v>
      </c>
      <c r="C104" t="s">
        <v>165</v>
      </c>
      <c r="D104" t="s">
        <v>165</v>
      </c>
      <c r="E104">
        <f ca="1">INDIRECT("'Sheet1'!BM2")</f>
        <v>0</v>
      </c>
      <c r="F104" t="b">
        <f t="shared" ca="1" si="1"/>
        <v>0</v>
      </c>
    </row>
    <row r="105" spans="1:6 16384:16384">
      <c r="A105" t="s">
        <v>255</v>
      </c>
      <c r="B105" t="s">
        <v>274</v>
      </c>
      <c r="C105" t="s">
        <v>163</v>
      </c>
      <c r="D105" t="s">
        <v>163</v>
      </c>
      <c r="E105">
        <f ca="1">INDIRECT("'Sheet1'!BN2")</f>
        <v>0</v>
      </c>
      <c r="F105" t="b">
        <f t="shared" ca="1" si="1"/>
        <v>0</v>
      </c>
    </row>
    <row r="106" spans="1:6 16384:16384">
      <c r="A106" t="s">
        <v>256</v>
      </c>
      <c r="B106" t="s">
        <v>275</v>
      </c>
      <c r="C106" t="s">
        <v>164</v>
      </c>
      <c r="D106" t="s">
        <v>164</v>
      </c>
      <c r="E106">
        <f ca="1">INDIRECT("'Sheet1'!BO2")</f>
        <v>0</v>
      </c>
      <c r="F106" t="b">
        <f t="shared" ca="1" si="1"/>
        <v>0</v>
      </c>
    </row>
    <row r="107" spans="1:6 16384:16384">
      <c r="A107" t="s">
        <v>257</v>
      </c>
      <c r="B107" t="s">
        <v>276</v>
      </c>
      <c r="C107" t="s">
        <v>165</v>
      </c>
      <c r="D107" t="s">
        <v>165</v>
      </c>
      <c r="E107">
        <f ca="1">INDIRECT("'Sheet1'!BP2")</f>
        <v>0</v>
      </c>
      <c r="F107" t="b">
        <f t="shared" ca="1" si="1"/>
        <v>0</v>
      </c>
    </row>
    <row r="108" spans="1:6 16384:16384">
      <c r="A108" t="s">
        <v>258</v>
      </c>
      <c r="B108" t="s">
        <v>274</v>
      </c>
      <c r="C108" t="s">
        <v>163</v>
      </c>
      <c r="D108" t="s">
        <v>163</v>
      </c>
      <c r="E108">
        <f ca="1">INDIRECT("'Sheet1'!BQ2")</f>
        <v>0</v>
      </c>
      <c r="F108" t="b">
        <f t="shared" ca="1" si="1"/>
        <v>0</v>
      </c>
    </row>
    <row r="109" spans="1:6 16384:16384">
      <c r="A109" t="s">
        <v>259</v>
      </c>
      <c r="B109" t="s">
        <v>275</v>
      </c>
      <c r="C109" t="s">
        <v>164</v>
      </c>
      <c r="D109" t="s">
        <v>164</v>
      </c>
      <c r="E109">
        <f ca="1">INDIRECT("'Sheet1'!BR2")</f>
        <v>0</v>
      </c>
      <c r="F109" t="b">
        <f t="shared" ca="1" si="1"/>
        <v>0</v>
      </c>
    </row>
    <row r="110" spans="1:6 16384:16384">
      <c r="A110" t="s">
        <v>260</v>
      </c>
      <c r="B110" t="s">
        <v>276</v>
      </c>
      <c r="C110" t="s">
        <v>165</v>
      </c>
      <c r="D110" t="s">
        <v>165</v>
      </c>
      <c r="E110">
        <f ca="1">INDIRECT("'Sheet1'!BS2")</f>
        <v>0</v>
      </c>
      <c r="F110" t="b">
        <f t="shared" ca="1" si="1"/>
        <v>0</v>
      </c>
    </row>
    <row r="111" spans="1:6 16384:16384">
      <c r="A111" t="s">
        <v>261</v>
      </c>
      <c r="B111" t="s">
        <v>274</v>
      </c>
      <c r="C111" t="s">
        <v>163</v>
      </c>
      <c r="D111" t="s">
        <v>163</v>
      </c>
      <c r="E111">
        <f ca="1">INDIRECT("'Sheet1'!BT2")</f>
        <v>0</v>
      </c>
      <c r="F111" t="b">
        <f t="shared" ca="1" si="1"/>
        <v>0</v>
      </c>
    </row>
    <row r="112" spans="1:6 16384:16384">
      <c r="A112" t="s">
        <v>262</v>
      </c>
      <c r="B112" t="s">
        <v>275</v>
      </c>
      <c r="C112" t="s">
        <v>164</v>
      </c>
      <c r="D112" t="s">
        <v>164</v>
      </c>
      <c r="E112">
        <f ca="1">INDIRECT("'Sheet1'!BU2")</f>
        <v>0</v>
      </c>
      <c r="F112" t="b">
        <f t="shared" ca="1" si="1"/>
        <v>0</v>
      </c>
      <c r="XFD112" t="s">
        <v>5</v>
      </c>
    </row>
    <row r="113" spans="1:6">
      <c r="A113" t="s">
        <v>263</v>
      </c>
      <c r="B113" t="s">
        <v>276</v>
      </c>
      <c r="C113" t="s">
        <v>165</v>
      </c>
      <c r="D113" t="s">
        <v>165</v>
      </c>
      <c r="E113">
        <f ca="1">INDIRECT("'Sheet1'!BV2")</f>
        <v>0</v>
      </c>
      <c r="F113" t="b">
        <f t="shared" ca="1" si="1"/>
        <v>0</v>
      </c>
    </row>
    <row r="114" spans="1:6">
      <c r="A114" t="s">
        <v>264</v>
      </c>
      <c r="B114" t="s">
        <v>276</v>
      </c>
      <c r="C114" t="s">
        <v>165</v>
      </c>
      <c r="D114" t="s">
        <v>165</v>
      </c>
      <c r="E114">
        <f ca="1">INDIRECT("'Sheet1'!BW2")</f>
        <v>0</v>
      </c>
      <c r="F114" t="b">
        <f t="shared" ca="1" si="1"/>
        <v>0</v>
      </c>
    </row>
    <row r="115" spans="1:6">
      <c r="A115" t="s">
        <v>265</v>
      </c>
      <c r="B115" t="s">
        <v>277</v>
      </c>
      <c r="C115" t="s">
        <v>166</v>
      </c>
      <c r="D115" t="s">
        <v>166</v>
      </c>
      <c r="E115">
        <f ca="1">INDIRECT("'Sheet1'!BX2")</f>
        <v>0</v>
      </c>
      <c r="F115" t="b">
        <f t="shared" ca="1" si="1"/>
        <v>0</v>
      </c>
    </row>
    <row r="116" spans="1:6">
      <c r="A116" t="s">
        <v>266</v>
      </c>
      <c r="B116" t="s">
        <v>274</v>
      </c>
      <c r="C116" t="s">
        <v>163</v>
      </c>
      <c r="D116" t="s">
        <v>163</v>
      </c>
      <c r="E116">
        <f ca="1">INDIRECT("'Sheet1'!BY2")</f>
        <v>0</v>
      </c>
      <c r="F116" t="b">
        <f t="shared" ca="1" si="1"/>
        <v>0</v>
      </c>
    </row>
    <row r="117" spans="1:6">
      <c r="A117" t="s">
        <v>267</v>
      </c>
      <c r="B117" t="s">
        <v>275</v>
      </c>
      <c r="C117" t="s">
        <v>164</v>
      </c>
      <c r="D117" t="s">
        <v>164</v>
      </c>
      <c r="E117">
        <f ca="1">INDIRECT("'Sheet1'!BZ2")</f>
        <v>0</v>
      </c>
      <c r="F117" t="b">
        <f t="shared" ca="1" si="1"/>
        <v>0</v>
      </c>
    </row>
    <row r="118" spans="1:6">
      <c r="A118" t="s">
        <v>268</v>
      </c>
      <c r="B118" t="s">
        <v>276</v>
      </c>
      <c r="C118" t="s">
        <v>165</v>
      </c>
      <c r="D118" t="s">
        <v>165</v>
      </c>
      <c r="E118">
        <f ca="1">INDIRECT("'Sheet1'!CA2")</f>
        <v>0</v>
      </c>
      <c r="F118" t="b">
        <f ca="1">E118=D118</f>
        <v>0</v>
      </c>
    </row>
    <row r="119" spans="1:6">
      <c r="A119" t="s">
        <v>269</v>
      </c>
      <c r="B119" t="s">
        <v>274</v>
      </c>
      <c r="C119" t="s">
        <v>163</v>
      </c>
      <c r="D119" t="s">
        <v>163</v>
      </c>
      <c r="E119">
        <f ca="1">INDIRECT("'Sheet1'!CB2")</f>
        <v>0</v>
      </c>
      <c r="F119" t="b">
        <f ca="1">E119=D119</f>
        <v>0</v>
      </c>
    </row>
    <row r="120" spans="1:6">
      <c r="A120" t="s">
        <v>270</v>
      </c>
      <c r="B120" t="s">
        <v>275</v>
      </c>
      <c r="C120" t="s">
        <v>164</v>
      </c>
      <c r="D120" t="s">
        <v>164</v>
      </c>
      <c r="E120">
        <f ca="1">INDIRECT("'Sheet1'!CC2")</f>
        <v>0</v>
      </c>
      <c r="F120" t="b">
        <f ca="1">E120=D120</f>
        <v>0</v>
      </c>
    </row>
    <row r="121" spans="1:6">
      <c r="A121" t="s">
        <v>271</v>
      </c>
      <c r="B121" t="s">
        <v>276</v>
      </c>
      <c r="C121" t="s">
        <v>165</v>
      </c>
      <c r="D121" t="s">
        <v>165</v>
      </c>
      <c r="E121">
        <f ca="1">INDIRECT("'Sheet1'!CD2")</f>
        <v>0</v>
      </c>
      <c r="F121" t="b">
        <f ca="1">E121=D121</f>
        <v>0</v>
      </c>
    </row>
    <row r="122" spans="1:6">
      <c r="A122" t="s">
        <v>279</v>
      </c>
      <c r="B122" t="s">
        <v>169</v>
      </c>
      <c r="E122">
        <f ca="1">INDIRECT("'Sheet1'!CE1")</f>
        <v>0</v>
      </c>
      <c r="F122" t="b">
        <f ca="1">E122=D122</f>
        <v>1</v>
      </c>
    </row>
    <row r="124" spans="1:6">
      <c r="A124" t="s">
        <v>283</v>
      </c>
      <c r="B124" t="s">
        <v>554</v>
      </c>
      <c r="C124" t="s">
        <v>6</v>
      </c>
      <c r="D124" t="s">
        <v>280</v>
      </c>
      <c r="E124" t="str">
        <f>IF(COUNTA(Sheet1!A3:INDEX(Sheet1!A:A,$C$1+2))&gt;0,"PASS","FAIL - no content")</f>
        <v>FAIL - no content</v>
      </c>
      <c r="F124" t="b">
        <f>E124=D124</f>
        <v>0</v>
      </c>
    </row>
    <row r="126" spans="1:6">
      <c r="A126" t="s">
        <v>284</v>
      </c>
      <c r="B126" t="s">
        <v>297</v>
      </c>
      <c r="C126" t="s">
        <v>8</v>
      </c>
      <c r="D126" t="s">
        <v>280</v>
      </c>
      <c r="E126" t="str">
        <f>IF(COUNTA(Sheet1!B3:INDEX(Sheet1!B:B,$C$1+2))&gt;0,"PASS","FAIL - no content")</f>
        <v>FAIL - no content</v>
      </c>
      <c r="F126" t="b">
        <f>E126=D126</f>
        <v>0</v>
      </c>
    </row>
    <row r="128" spans="1:6">
      <c r="A128" t="s">
        <v>285</v>
      </c>
      <c r="B128" t="s">
        <v>292</v>
      </c>
      <c r="C128" t="s">
        <v>291</v>
      </c>
      <c r="D128" t="s">
        <v>280</v>
      </c>
      <c r="E128" t="str">
        <f>IF(COUNTA(Sheet1!C3:INDEX(Sheet1!C:C,$C$1+2))=0,"INCONCLUSIVE - no values",IF(COUNTIF(Sheet1!C3:INDEX(Sheet1!C:C,$C$1+2),"&gt;0")=COUNTA(Sheet1!C3:INDEX(Sheet1!C:C,$C$1+2)),"PASS","FAIL - one or more populated values are not positive numbers"))</f>
        <v>INCONCLUSIVE - no values</v>
      </c>
      <c r="F128" t="b">
        <f>E128=D128</f>
        <v>0</v>
      </c>
    </row>
    <row r="130" spans="1:6">
      <c r="A130" t="s">
        <v>288</v>
      </c>
      <c r="B130" t="s">
        <v>538</v>
      </c>
      <c r="C130" t="s">
        <v>290</v>
      </c>
      <c r="D130" t="s">
        <v>280</v>
      </c>
      <c r="E130" t="str">
        <f>IF(COUNTA(Sheet1!E3:INDEX(Sheet1!E:E,$C$1+2))=0,"FAIL - no index HbA1c values",IF(COUNTIFS(Sheet1!E3:INDEX(Sheet1!E:E,$C$1+2),"&gt;=48",Sheet1!E3:INDEX(Sheet1!E:E,$C$1+2),"&lt;=250")=COUNTA(Sheet1!E3:INDEX(Sheet1!E:E,$C$1+2)),"PASS","FAIL - one or more populated values are non-numeric or outside 48-250"))</f>
        <v>FAIL - no index HbA1c values</v>
      </c>
      <c r="F130" t="b">
        <f>E130=D130</f>
        <v>0</v>
      </c>
    </row>
    <row r="132" spans="1:6">
      <c r="A132" t="s">
        <v>289</v>
      </c>
      <c r="B132" t="s">
        <v>296</v>
      </c>
      <c r="C132" t="s">
        <v>293</v>
      </c>
      <c r="D132" t="s">
        <v>280</v>
      </c>
      <c r="E132" t="str">
        <f>IF(COUNTIFS(Sheet1!E3:INDEX(Sheet1!E:E,$C$1+2),"&gt;=48",Sheet1!E3:INDEX(Sheet1!E:E,$C$1+2),"&lt;=250")=$C$1,"PASS","FAIL - one or more Index HbA1c values are missing, non-numeric or outside 48-250")</f>
        <v>FAIL - one or more Index HbA1c values are missing, non-numeric or outside 48-250</v>
      </c>
      <c r="F132" t="b">
        <f t="shared" ref="F132" si="2">E132=D132</f>
        <v>0</v>
      </c>
    </row>
    <row r="134" spans="1:6">
      <c r="A134" t="s">
        <v>308</v>
      </c>
      <c r="B134" t="s">
        <v>298</v>
      </c>
      <c r="C134" t="s">
        <v>294</v>
      </c>
      <c r="D134" t="s">
        <v>280</v>
      </c>
      <c r="E134" t="str" cm="1">
        <f t="array" ref="E134">IF(SUMPRODUCT(--ISNUMBER(Sheet1!F3:INDEX(Sheet1!F:F,$C$1+2)),--(Sheet1!F3:INDEX(Sheet1!F:F,$C$1+2)&gt;=$C$2),--(Sheet1!F3:INDEX(Sheet1!F:F,$C$1+2)&lt;=$C$3))=$C$1,"PASS","FAIL - one or more Index Dates are missing, invalid or outside the inclusion period")</f>
        <v>FAIL - one or more Index Dates are missing, invalid or outside the inclusion period</v>
      </c>
      <c r="F134" t="b">
        <f>E134=D134</f>
        <v>0</v>
      </c>
    </row>
    <row r="136" spans="1:6">
      <c r="A136" t="s">
        <v>309</v>
      </c>
      <c r="B136" t="s">
        <v>299</v>
      </c>
      <c r="C136" t="s">
        <v>295</v>
      </c>
      <c r="D136" t="s">
        <v>280</v>
      </c>
      <c r="E136" t="str">
        <f>IF(COUNTIFS(Sheet1!G3:INDEX(Sheet1!G:G,$C$1+2),"&gt;=45",Sheet1!G3:INDEX(Sheet1!G:G,$C$1+2),"&lt;=120")=$C$1,"PASS","FAIL - one or more ages are missing, non-numeric or outside 45-120")</f>
        <v>FAIL - one or more ages are missing, non-numeric or outside 45-120</v>
      </c>
      <c r="F136" t="b">
        <f t="shared" ref="F136" si="3">E136=D136</f>
        <v>0</v>
      </c>
    </row>
    <row r="138" spans="1:6">
      <c r="A138" t="s">
        <v>310</v>
      </c>
      <c r="B138" t="s">
        <v>300</v>
      </c>
      <c r="C138" t="s">
        <v>0</v>
      </c>
      <c r="D138" t="s">
        <v>280</v>
      </c>
      <c r="E138" t="str" cm="1">
        <f t="array" ref="E138">IF(SUM(COUNTIF(Sheet1!H3:INDEX(Sheet1!H:H,$C$1+2),{"Male","Female"}))&gt;0,"PASS","FAIL - no Male or Female values found")</f>
        <v>FAIL - no Male or Female values found</v>
      </c>
      <c r="F138" t="b">
        <f>E138=D138</f>
        <v>0</v>
      </c>
    </row>
    <row r="140" spans="1:6">
      <c r="A140" t="s">
        <v>311</v>
      </c>
      <c r="B140" t="s">
        <v>555</v>
      </c>
      <c r="C140" t="s">
        <v>9</v>
      </c>
      <c r="D140" t="s">
        <v>280</v>
      </c>
      <c r="E140" t="str">
        <f>IF(COUNTA(Sheet1!I3:INDEX(Sheet1!I:I,$C$1+2))=0,"INCONCLUSIVE - no values",IF(COUNTIFS(Sheet1!I3:INDEX(Sheet1!I:I,$C$1+2),"&gt;0",Sheet1!I3:INDEX(Sheet1!I:I,$C$1+2),"&lt;48")=COUNTA(Sheet1!I3:INDEX(Sheet1!I:I,$C$1+2)),"PASS","FAIL - one or more populated values are not positive numbers below 48"))</f>
        <v>INCONCLUSIVE - no values</v>
      </c>
      <c r="F140" t="b">
        <f t="shared" ref="F140:F163" si="4">E140=D140</f>
        <v>0</v>
      </c>
    </row>
    <row r="141" spans="1:6">
      <c r="A141" t="s">
        <v>311</v>
      </c>
      <c r="B141" t="s">
        <v>305</v>
      </c>
      <c r="C141" t="s">
        <v>302</v>
      </c>
      <c r="D141" t="s">
        <v>280</v>
      </c>
      <c r="E141" t="str" cm="1">
        <f t="array" ref="E141">IF(COUNTA(Sheet1!I3:INDEX(Sheet1!I:I,$C$1+2))=0,"INCONCLUSIVE - no values",IF(SUMPRODUCT(--(Sheet1!I3:INDEX(Sheet1!I:I,$C$1+2)&lt;&gt;""),--(Sheet1!J3:INDEX(Sheet1!J:J,$C$1+2)&lt;&gt;""))=COUNTA(Sheet1!I3:INDEX(Sheet1!I:I,$C$1+2)),"PASS","FAIL - one or more values have no corresponding date"))</f>
        <v>INCONCLUSIVE - no values</v>
      </c>
      <c r="F141" t="b">
        <f t="shared" si="4"/>
        <v>0</v>
      </c>
    </row>
    <row r="142" spans="1:6">
      <c r="A142" t="s">
        <v>312</v>
      </c>
      <c r="B142" t="s">
        <v>306</v>
      </c>
      <c r="C142" t="s">
        <v>303</v>
      </c>
      <c r="D142" t="s">
        <v>280</v>
      </c>
      <c r="E142" t="str" cm="1">
        <f t="array" ref="E142">IF(COUNTA(Sheet1!J3:INDEX(Sheet1!J:J,$C$1+2))=0,"INCONCLUSIVE - no dates",IF(SUMPRODUCT(--(Sheet1!J3:INDEX(Sheet1!J:J,$C$1+2)&lt;&gt;""),--(Sheet1!I3:INDEX(Sheet1!I:I,$C$1+2)&lt;&gt;""))=COUNTA(Sheet1!J3:INDEX(Sheet1!J:J,$C$1+2)),"PASS","FAIL - one or more dates have no corresponding value"))</f>
        <v>INCONCLUSIVE - no dates</v>
      </c>
      <c r="F142" t="b">
        <f t="shared" si="4"/>
        <v>0</v>
      </c>
    </row>
    <row r="143" spans="1:6">
      <c r="A143" t="s">
        <v>312</v>
      </c>
      <c r="B143" t="s">
        <v>307</v>
      </c>
      <c r="C143" t="s">
        <v>304</v>
      </c>
      <c r="D143" t="s">
        <v>280</v>
      </c>
      <c r="E143" t="str" cm="1">
        <f t="array" ref="E143">IF(COUNTA(Sheet1!J3:INDEX(Sheet1!J:J,$C$1+2))=0,"INCONCLUSIVE - no dates",IF(SUMPRODUCT(--(Sheet1!J3:INDEX(Sheet1!J:J,$C$1+2)&lt;&gt;""),--ISNUMBER(Sheet1!J3:INDEX(Sheet1!J:J,$C$1+2)),--ISNUMBER(Sheet1!F3:INDEX(Sheet1!F:F,$C$1+2)),--(Sheet1!J3:INDEX(Sheet1!J:J,$C$1+2)&gt;=Sheet1!F3:INDEX(Sheet1!F:F,$C$1+2)-455),--(Sheet1!J3:INDEX(Sheet1!J:J,$C$1+2)&lt;=Sheet1!F3:INDEX(Sheet1!F:F,$C$1+2)-274))=COUNTA(Sheet1!J3:INDEX(Sheet1!J:J,$C$1+2)),"PASS","FAIL - one or more dates are non-numeric or outside the required window"))</f>
        <v>INCONCLUSIVE - no dates</v>
      </c>
      <c r="F143" t="b">
        <f t="shared" si="4"/>
        <v>0</v>
      </c>
    </row>
    <row r="145" spans="1:6">
      <c r="A145" t="s">
        <v>313</v>
      </c>
      <c r="B145" t="s">
        <v>555</v>
      </c>
      <c r="C145" t="s">
        <v>10</v>
      </c>
      <c r="D145" t="s">
        <v>280</v>
      </c>
      <c r="E145" t="str">
        <f>IF(COUNTA(Sheet1!K3:INDEX(Sheet1!K:K,$C$1+2))=0,"INCONCLUSIVE - no values",IF(COUNTIFS(Sheet1!K3:INDEX(Sheet1!K:K,$C$1+2),"&gt;0",Sheet1!K3:INDEX(Sheet1!K:K,$C$1+2),"&lt;48")=COUNTA(Sheet1!K3:INDEX(Sheet1!K:K,$C$1+2)),"PASS","FAIL - one or more populated values are not positive numbers below 48"))</f>
        <v>INCONCLUSIVE - no values</v>
      </c>
      <c r="F145" t="b">
        <f t="shared" si="4"/>
        <v>0</v>
      </c>
    </row>
    <row r="146" spans="1:6">
      <c r="A146" t="s">
        <v>313</v>
      </c>
      <c r="B146" t="s">
        <v>315</v>
      </c>
      <c r="C146" t="s">
        <v>316</v>
      </c>
      <c r="D146" t="s">
        <v>280</v>
      </c>
      <c r="E146" t="str" cm="1">
        <f t="array" ref="E146">IF(COUNTA(Sheet1!K3:INDEX(Sheet1!K:K,$C$1+2))=0,"INCONCLUSIVE - no values",IF(SUMPRODUCT(--(Sheet1!K3:INDEX(Sheet1!K:K,$C$1+2)&lt;&gt;""),--(Sheet1!L3:INDEX(Sheet1!L:L,$C$1+2)&lt;&gt;""))=COUNTA(Sheet1!K3:INDEX(Sheet1!K:K,$C$1+2)),"PASS","FAIL - one or more values have no corresponding date"))</f>
        <v>INCONCLUSIVE - no values</v>
      </c>
      <c r="F146" t="b">
        <f t="shared" si="4"/>
        <v>0</v>
      </c>
    </row>
    <row r="147" spans="1:6">
      <c r="A147" t="s">
        <v>314</v>
      </c>
      <c r="B147" t="s">
        <v>317</v>
      </c>
      <c r="C147" t="s">
        <v>318</v>
      </c>
      <c r="D147" t="s">
        <v>280</v>
      </c>
      <c r="E147" t="str" cm="1">
        <f t="array" ref="E147">IF(COUNTA(Sheet1!L3:INDEX(Sheet1!L:L,$C$1+2))=0,"INCONCLUSIVE - no dates",IF(SUMPRODUCT(--(Sheet1!L3:INDEX(Sheet1!L:L,$C$1+2)&lt;&gt;""),--(Sheet1!K3:INDEX(Sheet1!K:K,$C$1+2)&lt;&gt;""))=COUNTA(Sheet1!L3:INDEX(Sheet1!L:L,$C$1+2)),"PASS","FAIL - one or more dates have no corresponding value"))</f>
        <v>INCONCLUSIVE - no dates</v>
      </c>
      <c r="F147" t="b">
        <f t="shared" si="4"/>
        <v>0</v>
      </c>
    </row>
    <row r="148" spans="1:6">
      <c r="A148" t="s">
        <v>314</v>
      </c>
      <c r="B148" t="s">
        <v>319</v>
      </c>
      <c r="C148" t="s">
        <v>320</v>
      </c>
      <c r="D148" t="s">
        <v>280</v>
      </c>
      <c r="E148" t="str" cm="1">
        <f t="array" ref="E148">IF(COUNTA(Sheet1!L3:INDEX(Sheet1!L:L,$C$1+2))=0,"INCONCLUSIVE - no dates",IF(SUMPRODUCT(--(Sheet1!L3:INDEX(Sheet1!L:L,$C$1+2)&lt;&gt;""),--ISNUMBER(Sheet1!L3:INDEX(Sheet1!L:L,$C$1+2)),--ISNUMBER(Sheet1!F3:INDEX(Sheet1!F:F,$C$1+2)),--(Sheet1!L3:INDEX(Sheet1!L:L,$C$1+2)&gt;=Sheet1!F3:INDEX(Sheet1!F:F,$C$1+2)-546),--(Sheet1!L3:INDEX(Sheet1!L:L,$C$1+2)&lt;=Sheet1!F3:INDEX(Sheet1!F:F,$C$1+2)-456))=COUNTA(Sheet1!L3:INDEX(Sheet1!L:L,$C$1+2)),"PASS","FAIL - one or more dates are non-numeric or outside the required window"))</f>
        <v>INCONCLUSIVE - no dates</v>
      </c>
      <c r="F148" t="b">
        <f t="shared" si="4"/>
        <v>0</v>
      </c>
    </row>
    <row r="150" spans="1:6">
      <c r="A150" t="s">
        <v>323</v>
      </c>
      <c r="B150" t="s">
        <v>555</v>
      </c>
      <c r="C150" t="s">
        <v>11</v>
      </c>
      <c r="D150" t="s">
        <v>280</v>
      </c>
      <c r="E150" t="str">
        <f>IF(COUNTA(Sheet1!M3:INDEX(Sheet1!M:M,$C$1+2))=0,"INCONCLUSIVE - no values",IF(COUNTIFS(Sheet1!M3:INDEX(Sheet1!M:M,$C$1+2),"&gt;0",Sheet1!M3:INDEX(Sheet1!M:M,$C$1+2),"&lt;48")=COUNTA(Sheet1!M3:INDEX(Sheet1!M:M,$C$1+2)),"PASS","FAIL - one or more populated values are not positive numbers below 48"))</f>
        <v>INCONCLUSIVE - no values</v>
      </c>
      <c r="F150" t="b">
        <f t="shared" si="4"/>
        <v>0</v>
      </c>
    </row>
    <row r="151" spans="1:6">
      <c r="A151" t="s">
        <v>323</v>
      </c>
      <c r="B151" t="s">
        <v>321</v>
      </c>
      <c r="C151" t="s">
        <v>322</v>
      </c>
      <c r="D151" t="s">
        <v>280</v>
      </c>
      <c r="E151" t="str" cm="1">
        <f t="array" ref="E151">IF(COUNTA(Sheet1!M3:INDEX(Sheet1!M:M,$C$1+2))=0,"INCONCLUSIVE - no values",IF(SUMPRODUCT(--(Sheet1!M3:INDEX(Sheet1!M:M,$C$1+2)&lt;&gt;""),--(Sheet1!N3:INDEX(Sheet1!N:N,$C$1+2)&lt;&gt;""))=COUNTA(Sheet1!M3:INDEX(Sheet1!M:M,$C$1+2)),"PASS","FAIL - one or more values have no corresponding date"))</f>
        <v>INCONCLUSIVE - no values</v>
      </c>
      <c r="F151" t="b">
        <f t="shared" si="4"/>
        <v>0</v>
      </c>
    </row>
    <row r="152" spans="1:6">
      <c r="A152" t="s">
        <v>324</v>
      </c>
      <c r="B152" t="s">
        <v>325</v>
      </c>
      <c r="C152" t="s">
        <v>326</v>
      </c>
      <c r="D152" t="s">
        <v>280</v>
      </c>
      <c r="E152" t="str" cm="1">
        <f t="array" ref="E152">IF(COUNTA(Sheet1!N3:INDEX(Sheet1!N:N,$C$1+2))=0,"INCONCLUSIVE - no dates",IF(SUMPRODUCT(--(Sheet1!N3:INDEX(Sheet1!N:N,$C$1+2)&lt;&gt;""),--(Sheet1!M3:INDEX(Sheet1!M:M,$C$1+2)&lt;&gt;""))=COUNTA(Sheet1!N3:INDEX(Sheet1!N:N,$C$1+2)),"PASS","FAIL - one or more dates have no corresponding value"))</f>
        <v>INCONCLUSIVE - no dates</v>
      </c>
      <c r="F152" t="b">
        <f t="shared" si="4"/>
        <v>0</v>
      </c>
    </row>
    <row r="153" spans="1:6">
      <c r="A153" t="s">
        <v>324</v>
      </c>
      <c r="B153" t="s">
        <v>327</v>
      </c>
      <c r="C153" t="s">
        <v>328</v>
      </c>
      <c r="D153" t="s">
        <v>280</v>
      </c>
      <c r="E153" t="str" cm="1">
        <f t="array" ref="E153">IF(COUNTA(Sheet1!N3:INDEX(Sheet1!N:N,$C$1+2))=0,"INCONCLUSIVE - no dates",IF(SUMPRODUCT(--(Sheet1!N3:INDEX(Sheet1!N:N,$C$1+2)&lt;&gt;""),--ISNUMBER(Sheet1!N3:INDEX(Sheet1!N:N,$C$1+2)),--ISNUMBER(Sheet1!F3:INDEX(Sheet1!F:F,$C$1+2)),--(Sheet1!N3:INDEX(Sheet1!N:N,$C$1+2)&gt;=Sheet1!F3:INDEX(Sheet1!F:F,$C$1+2)-273),--(Sheet1!N3:INDEX(Sheet1!N:N,$C$1+2)&lt;=Sheet1!F3:INDEX(Sheet1!F:F,$C$1+2)-183))=COUNTA(Sheet1!N3:INDEX(Sheet1!N:N,$C$1+2)),"PASS","FAIL - one or more dates are non-numeric or outside the required window"))</f>
        <v>INCONCLUSIVE - no dates</v>
      </c>
      <c r="F153" t="b">
        <f t="shared" si="4"/>
        <v>0</v>
      </c>
    </row>
    <row r="155" spans="1:6">
      <c r="A155" t="s">
        <v>329</v>
      </c>
      <c r="B155" t="s">
        <v>555</v>
      </c>
      <c r="C155" t="s">
        <v>12</v>
      </c>
      <c r="D155" t="s">
        <v>280</v>
      </c>
      <c r="E155" t="str">
        <f>IF(COUNTA(Sheet1!O3:INDEX(Sheet1!O:O,$C$1+2))=0,"INCONCLUSIVE - no values",IF(COUNTIFS(Sheet1!O3:INDEX(Sheet1!O:O,$C$1+2),"&gt;0",Sheet1!O3:INDEX(Sheet1!O:O,$C$1+2),"&lt;48")=COUNTA(Sheet1!O3:INDEX(Sheet1!O:O,$C$1+2)),"PASS","FAIL - one or more populated values are not positive numbers below 48"))</f>
        <v>INCONCLUSIVE - no values</v>
      </c>
      <c r="F155" t="b">
        <f t="shared" si="4"/>
        <v>0</v>
      </c>
    </row>
    <row r="156" spans="1:6">
      <c r="A156" t="s">
        <v>329</v>
      </c>
      <c r="B156" t="s">
        <v>331</v>
      </c>
      <c r="C156" t="s">
        <v>332</v>
      </c>
      <c r="D156" t="s">
        <v>280</v>
      </c>
      <c r="E156" t="str" cm="1">
        <f t="array" ref="E156">IF(COUNTA(Sheet1!O3:INDEX(Sheet1!O:O,$C$1+2))=0,"INCONCLUSIVE - no values",IF(SUMPRODUCT(--(Sheet1!O3:INDEX(Sheet1!O:O,$C$1+2)&lt;&gt;""),--(Sheet1!P3:INDEX(Sheet1!P:P,$C$1+2)&lt;&gt;""))=COUNTA(Sheet1!O3:INDEX(Sheet1!O:O,$C$1+2)),"PASS","FAIL - one or more values have no corresponding date"))</f>
        <v>INCONCLUSIVE - no values</v>
      </c>
      <c r="F156" t="b">
        <f t="shared" si="4"/>
        <v>0</v>
      </c>
    </row>
    <row r="157" spans="1:6">
      <c r="A157" t="s">
        <v>330</v>
      </c>
      <c r="B157" t="s">
        <v>333</v>
      </c>
      <c r="C157" t="s">
        <v>334</v>
      </c>
      <c r="D157" t="s">
        <v>280</v>
      </c>
      <c r="E157" t="str" cm="1">
        <f t="array" ref="E157">IF(COUNTA(Sheet1!P2:INDEX(Sheet1!P:P,$C$1+2))=0,"INCONCLUSIVE - no dates",IF(SUMPRODUCT(--(Sheet1!P2:INDEX(Sheet1!P:P,$C$1+2)&lt;&gt;""),--(Sheet1!O2:INDEX(Sheet1!O:O,$C$1+2)&lt;&gt;""))=COUNTA(Sheet1!P2:INDEX(Sheet1!P:P,$C$1+2)),"PASS","FAIL - one or more dates have no corresponding value"))</f>
        <v>INCONCLUSIVE - no dates</v>
      </c>
      <c r="F157" t="b">
        <f t="shared" si="4"/>
        <v>0</v>
      </c>
    </row>
    <row r="158" spans="1:6">
      <c r="A158" t="s">
        <v>330</v>
      </c>
      <c r="B158" t="s">
        <v>344</v>
      </c>
      <c r="C158" t="s">
        <v>335</v>
      </c>
      <c r="D158" t="s">
        <v>280</v>
      </c>
      <c r="E158" t="str" cm="1">
        <f t="array" ref="E158">IF(COUNTA(Sheet1!P3:INDEX(Sheet1!P:P,$C$1+2))=0,"INCONCLUSIVE - no dates",IF(SUMPRODUCT(--(Sheet1!P3:INDEX(Sheet1!P:P,$C$1+2)&lt;&gt;""),--ISNUMBER(Sheet1!P3:INDEX(Sheet1!P:P,$C$1+2)),--ISNUMBER(Sheet1!F3:INDEX(Sheet1!F:F,$C$1+2)),--(Sheet1!P3:INDEX(Sheet1!P:P,$C$1+2)&gt;=Sheet1!F3:INDEX(Sheet1!F:F,$C$1+2)-182),--(Sheet1!P3:INDEX(Sheet1!P:P,$C$1+2)&lt;=Sheet1!F3:INDEX(Sheet1!F:F,$C$1+2)-92))=COUNTA(Sheet1!P3:INDEX(Sheet1!P:P,$C$1+2)),"PASS","FAIL - one or more dates are non-numeric or outside the required window"))</f>
        <v>INCONCLUSIVE - no dates</v>
      </c>
      <c r="F158" t="b">
        <f t="shared" si="4"/>
        <v>0</v>
      </c>
    </row>
    <row r="160" spans="1:6">
      <c r="A160" t="s">
        <v>336</v>
      </c>
      <c r="B160" t="s">
        <v>555</v>
      </c>
      <c r="C160" t="s">
        <v>13</v>
      </c>
      <c r="D160" t="s">
        <v>280</v>
      </c>
      <c r="E160" t="str">
        <f>IF(COUNTA(Sheet1!Q3:INDEX(Sheet1!Q:Q,$C$1+2))=0,"INCONCLUSIVE - no values",IF(COUNTIFS(Sheet1!Q3:INDEX(Sheet1!Q:Q,$C$1+2),"&gt;0",Sheet1!Q3:INDEX(Sheet1!Q:Q,$C$1+2),"&lt;48")=COUNTA(Sheet1!Q3:INDEX(Sheet1!Q:Q,$C$1+2)),"PASS","FAIL - one or more populated values are not positive numbers below 48"))</f>
        <v>INCONCLUSIVE - no values</v>
      </c>
      <c r="F160" t="b">
        <f t="shared" si="4"/>
        <v>0</v>
      </c>
    </row>
    <row r="161" spans="1:6">
      <c r="A161" t="s">
        <v>336</v>
      </c>
      <c r="B161" t="s">
        <v>338</v>
      </c>
      <c r="C161" t="s">
        <v>339</v>
      </c>
      <c r="D161" t="s">
        <v>280</v>
      </c>
      <c r="E161" t="str" cm="1">
        <f t="array" ref="E161">IF(COUNTA(Sheet1!Q3:INDEX(Sheet1!Q:Q,$C$1+2))=0,"INCONCLUSIVE - no values",IF(SUMPRODUCT(--(Sheet1!Q3:INDEX(Sheet1!Q:Q,$C$1+2)&lt;&gt;""),--(Sheet1!R3:INDEX(Sheet1!R:R,$C$1+2)&lt;&gt;""))=COUNTA(Sheet1!Q3:INDEX(Sheet1!Q:Q,$C$1+2)),"PASS","FAIL - one or more values have no corresponding date"))</f>
        <v>INCONCLUSIVE - no values</v>
      </c>
      <c r="F161" t="b">
        <f t="shared" si="4"/>
        <v>0</v>
      </c>
    </row>
    <row r="162" spans="1:6">
      <c r="A162" t="s">
        <v>337</v>
      </c>
      <c r="B162" t="s">
        <v>340</v>
      </c>
      <c r="C162" t="s">
        <v>341</v>
      </c>
      <c r="D162" t="s">
        <v>280</v>
      </c>
      <c r="E162" t="str" cm="1">
        <f t="array" ref="E162">IF(COUNTA(Sheet1!R3:INDEX(Sheet1!R:R,$C$1+2))=0,"INCONCLUSIVE - no dates",IF(SUMPRODUCT(--(Sheet1!R3:INDEX(Sheet1!R:R,$C$1+2)&lt;&gt;""),--(Sheet1!Q3:INDEX(Sheet1!Q:Q,$C$1+2)&lt;&gt;""))=COUNTA(Sheet1!R3:INDEX(Sheet1!R:R,$C$1+2)),"PASS","FAIL - one or more dates have no corresponding value"))</f>
        <v>INCONCLUSIVE - no dates</v>
      </c>
      <c r="F162" t="b">
        <f t="shared" si="4"/>
        <v>0</v>
      </c>
    </row>
    <row r="163" spans="1:6">
      <c r="A163" t="s">
        <v>337</v>
      </c>
      <c r="B163" t="s">
        <v>342</v>
      </c>
      <c r="C163" t="s">
        <v>343</v>
      </c>
      <c r="D163" t="s">
        <v>280</v>
      </c>
      <c r="E163" t="str" cm="1">
        <f t="array" ref="E163">IF(COUNTA(Sheet1!R3:INDEX(Sheet1!R:R,$C$1+2))=0,"INCONCLUSIVE - no dates",IF(SUMPRODUCT(--(Sheet1!R3:INDEX(Sheet1!R:R,$C$1+2)&lt;&gt;""),--ISNUMBER(Sheet1!R3:INDEX(Sheet1!R:R,$C$1+2)),--ISNUMBER(Sheet1!F3:INDEX(Sheet1!F:F,$C$1+2)),--(Sheet1!R3:INDEX(Sheet1!R:R,$C$1+2)&gt;=Sheet1!F3:INDEX(Sheet1!F:F,$C$1+2)-728),--(Sheet1!R3:INDEX(Sheet1!R:R,$C$1+2)&lt;=Sheet1!F3:INDEX(Sheet1!F:F,$C$1+2)-547))=COUNTA(Sheet1!R3:INDEX(Sheet1!R:R,$C$1+2)),"PASS","FAIL - one or more dates are non-numeric or outside the required window"))</f>
        <v>INCONCLUSIVE - no dates</v>
      </c>
      <c r="F163" t="b">
        <f t="shared" si="4"/>
        <v>0</v>
      </c>
    </row>
    <row r="165" spans="1:6">
      <c r="A165" t="s">
        <v>352</v>
      </c>
      <c r="B165" t="s">
        <v>301</v>
      </c>
      <c r="C165" t="s">
        <v>14</v>
      </c>
      <c r="D165" t="s">
        <v>280</v>
      </c>
      <c r="E165" t="str">
        <f>IF(COUNTA(Sheet1!S3:INDEX(Sheet1!S:S,$C$1+2))=0,"INCONCLUSIVE - no values",IF(COUNTIF(Sheet1!S3:INDEX(Sheet1!S:S,$C$1+2),"&gt;0")=COUNTA(Sheet1!S3:INDEX(Sheet1!S:S,$C$1+2)),"PASS","FAIL - one or more populated values are not positive numbers"))</f>
        <v>INCONCLUSIVE - no values</v>
      </c>
      <c r="F165" t="b">
        <f t="shared" ref="F165:F169" si="5">E165=D165</f>
        <v>0</v>
      </c>
    </row>
    <row r="166" spans="1:6">
      <c r="A166" t="s">
        <v>353</v>
      </c>
      <c r="B166" t="s">
        <v>345</v>
      </c>
      <c r="C166" t="s">
        <v>15</v>
      </c>
      <c r="D166" t="s">
        <v>280</v>
      </c>
      <c r="E166" t="str" cm="1">
        <f t="array" ref="E166">IF(COUNTA(Sheet1!T3:INDEX(Sheet1!T:T,$C$1+2))=0,"INCONCLUSIVE - no UoM values",IF(SUM(COUNTIF(Sheet1!T3:INDEX(Sheet1!T:T,$C$1+2),{"kg","kgs","*kilogram*","*kilogramme*","g","gm","gms","gram","grams","gramme","grammes","st","stone","stones","lb","lbs","pound","pounds","oz","ounce","ounces"}))&gt;0,"PASS","FAIL - UoM values are present but none are recognised as reasonable"))</f>
        <v>INCONCLUSIVE - no UoM values</v>
      </c>
      <c r="F166" t="b">
        <f t="shared" si="5"/>
        <v>0</v>
      </c>
    </row>
    <row r="167" spans="1:6">
      <c r="A167" t="s">
        <v>354</v>
      </c>
      <c r="B167" t="s">
        <v>350</v>
      </c>
      <c r="C167" t="s">
        <v>347</v>
      </c>
      <c r="D167" t="s">
        <v>280</v>
      </c>
      <c r="E167" t="str" cm="1">
        <f t="array" ref="E167">IF(COUNTA(Sheet1!S3:INDEX(Sheet1!S:S,$C$1+2))=0,"INCONCLUSIVE - no values",IF(SUMPRODUCT(--(Sheet1!S3:INDEX(Sheet1!S:S,$C$1+2)&lt;&gt;""),--(Sheet1!U3:INDEX(Sheet1!U:U,$C$1+2)&lt;&gt;""))=COUNTA(Sheet1!S3:INDEX(Sheet1!S:S,$C$1+2)),"PASS","FAIL - one or more values have no corresponding date"))</f>
        <v>INCONCLUSIVE - no values</v>
      </c>
      <c r="F167" t="b">
        <f t="shared" si="5"/>
        <v>0</v>
      </c>
    </row>
    <row r="168" spans="1:6">
      <c r="A168" t="s">
        <v>354</v>
      </c>
      <c r="B168" t="s">
        <v>351</v>
      </c>
      <c r="C168" t="s">
        <v>348</v>
      </c>
      <c r="D168" t="s">
        <v>280</v>
      </c>
      <c r="E168" t="str" cm="1">
        <f t="array" ref="E168">IF(COUNTA(Sheet1!U3:INDEX(Sheet1!U:U,$C$1+2))=0,"INCONCLUSIVE - no dates",IF(SUMPRODUCT(--(Sheet1!U3:INDEX(Sheet1!U:U,$C$1+2)&lt;&gt;""),--(Sheet1!S3:INDEX(Sheet1!S:S,$C$1+2)&lt;&gt;""))=COUNTA(Sheet1!U3:INDEX(Sheet1!U:U,$C$1+2)),"PASS","FAIL - one or more dates have no corresponding value"))</f>
        <v>INCONCLUSIVE - no dates</v>
      </c>
      <c r="F168" t="b">
        <f t="shared" si="5"/>
        <v>0</v>
      </c>
    </row>
    <row r="169" spans="1:6">
      <c r="A169" t="s">
        <v>354</v>
      </c>
      <c r="B169" t="s">
        <v>355</v>
      </c>
      <c r="C169" t="s">
        <v>349</v>
      </c>
      <c r="D169" t="s">
        <v>280</v>
      </c>
      <c r="E169" t="str" cm="1">
        <f t="array" ref="E169">IF(COUNTA(Sheet1!U3:INDEX(Sheet1!U:U,$C$1+2))=0,"INCONCLUSIVE - no dates",IF(SUMPRODUCT(--(Sheet1!U3:INDEX(Sheet1!U:U,$C$1+2)&lt;&gt;""),--ISNUMBER(Sheet1!U3:INDEX(Sheet1!U:U,$C$1+2)),--ISNUMBER(Sheet1!F3:INDEX(Sheet1!F:F,$C$1+2)),--(Sheet1!U3:INDEX(Sheet1!U:U,$C$1+2)&gt;=Sheet1!F3:INDEX(Sheet1!F:F,$C$1+2)),--(Sheet1!U3:INDEX(Sheet1!U:U,$C$1+2)&lt;=Sheet1!F3:INDEX(Sheet1!F:F,$C$1+2)+91))=COUNTA(Sheet1!U3:INDEX(Sheet1!U:U,$C$1+2)),"PASS","FAIL - one or more dates are non-numeric or outside the required window"))</f>
        <v>INCONCLUSIVE - no dates</v>
      </c>
      <c r="F169" t="b">
        <f t="shared" si="5"/>
        <v>0</v>
      </c>
    </row>
    <row r="171" spans="1:6">
      <c r="A171" t="s">
        <v>363</v>
      </c>
      <c r="B171" t="s">
        <v>301</v>
      </c>
      <c r="C171" t="s">
        <v>16</v>
      </c>
      <c r="D171" t="s">
        <v>280</v>
      </c>
      <c r="E171" t="str">
        <f>IF(COUNTA(Sheet1!V3:INDEX(Sheet1!V:V,$C$1+2))=0,"INCONCLUSIVE - no values",IF(COUNTIF(Sheet1!V3:INDEX(Sheet1!V:V,$C$1+2),"&gt;0")=COUNTA(Sheet1!V3:INDEX(Sheet1!V:V,$C$1+2)),"PASS","FAIL - one or more populated values are not positive numbers"))</f>
        <v>INCONCLUSIVE - no values</v>
      </c>
      <c r="F171" t="b">
        <f t="shared" ref="F171:F175" si="6">E171=D171</f>
        <v>0</v>
      </c>
    </row>
    <row r="172" spans="1:6">
      <c r="A172" t="s">
        <v>364</v>
      </c>
      <c r="B172" t="s">
        <v>345</v>
      </c>
      <c r="C172" t="s">
        <v>356</v>
      </c>
      <c r="D172" t="s">
        <v>280</v>
      </c>
      <c r="E172" t="str" cm="1">
        <f t="array" ref="E172">IF(COUNTA(Sheet1!W3:INDEX(Sheet1!W:W,$C$1+2))=0,"INCONCLUSIVE - no UoM values",IF(SUM(COUNTIF(Sheet1!W3:INDEX(Sheet1!W:W,$C$1+2),{"kg","kgs","*kilogram*","*kilogramme*","g","gm","gms","gram","grams","gramme","grammes","st","stone","stones","lb","lbs","pound","pounds","oz","ounce","ounces"}))&gt;0,"PASS","FAIL - UoM values are present but none are recognised as reasonable"))</f>
        <v>INCONCLUSIVE - no UoM values</v>
      </c>
      <c r="F172" t="b">
        <f t="shared" si="6"/>
        <v>0</v>
      </c>
    </row>
    <row r="173" spans="1:6">
      <c r="A173" t="s">
        <v>365</v>
      </c>
      <c r="B173" t="s">
        <v>357</v>
      </c>
      <c r="C173" t="s">
        <v>358</v>
      </c>
      <c r="D173" t="s">
        <v>280</v>
      </c>
      <c r="E173" t="str" cm="1">
        <f t="array" ref="E173">IF(COUNTA(Sheet1!V3:INDEX(Sheet1!V:V,$C$1+2))=0,"INCONCLUSIVE - no values",IF(SUMPRODUCT(--(Sheet1!V3:INDEX(Sheet1!V:V,$C$1+2)&lt;&gt;""),--(Sheet1!X3:INDEX(Sheet1!X:X,$C$1+2)&lt;&gt;""))=COUNTA(Sheet1!V3:INDEX(Sheet1!V:V,$C$1+2)),"PASS","FAIL - one or more values have no corresponding date"))</f>
        <v>INCONCLUSIVE - no values</v>
      </c>
      <c r="F173" t="b">
        <f t="shared" si="6"/>
        <v>0</v>
      </c>
    </row>
    <row r="174" spans="1:6">
      <c r="A174" t="s">
        <v>365</v>
      </c>
      <c r="B174" t="s">
        <v>359</v>
      </c>
      <c r="C174" t="s">
        <v>360</v>
      </c>
      <c r="D174" t="s">
        <v>280</v>
      </c>
      <c r="E174" t="str" cm="1">
        <f t="array" ref="E174">IF(COUNTA(Sheet1!X3:INDEX(Sheet1!X:X,$C$1+2))=0,"INCONCLUSIVE - no dates",IF(SUMPRODUCT(--(Sheet1!X3:INDEX(Sheet1!X:X,$C$1+2)&lt;&gt;""),--(Sheet1!V3:INDEX(Sheet1!V:V,$C$1+2)&lt;&gt;""))=COUNTA(Sheet1!X3:INDEX(Sheet1!X:X,$C$1+2)),"PASS","FAIL - one or more dates have no corresponding value"))</f>
        <v>INCONCLUSIVE - no dates</v>
      </c>
      <c r="F174" t="b">
        <f t="shared" si="6"/>
        <v>0</v>
      </c>
    </row>
    <row r="175" spans="1:6">
      <c r="A175" t="s">
        <v>365</v>
      </c>
      <c r="B175" t="s">
        <v>361</v>
      </c>
      <c r="C175" t="s">
        <v>362</v>
      </c>
      <c r="D175" t="s">
        <v>280</v>
      </c>
      <c r="E175" t="str" cm="1">
        <f t="array" ref="E175">IF(COUNTA(Sheet1!X3:INDEX(Sheet1!X:X,$C$1+2))=0,"INCONCLUSIVE - no dates",IF(SUMPRODUCT(--(Sheet1!X3:INDEX(Sheet1!X:X,$C$1+2)&lt;&gt;""),--ISNUMBER(Sheet1!X3:INDEX(Sheet1!X:X,$C$1+2)),--ISNUMBER(Sheet1!F3:INDEX(Sheet1!F:F,$C$1+2)),--(Sheet1!X3:INDEX(Sheet1!X:X,$C$1+2)&gt;=Sheet1!F3:INDEX(Sheet1!F:F,$C$1+2)-91),--(Sheet1!X3:INDEX(Sheet1!X:X,$C$1+2)&lt;=Sheet1!F3:INDEX(Sheet1!F:F,$C$1+2)-1))=COUNTA(Sheet1!X3:INDEX(Sheet1!X:X,$C$1+2)),"PASS","FAIL - one or more dates are non-numeric or outside the required window"))</f>
        <v>INCONCLUSIVE - no dates</v>
      </c>
      <c r="F175" t="b">
        <f t="shared" si="6"/>
        <v>0</v>
      </c>
    </row>
    <row r="177" spans="1:6">
      <c r="A177" t="s">
        <v>384</v>
      </c>
      <c r="B177" t="s">
        <v>301</v>
      </c>
      <c r="C177" t="s">
        <v>17</v>
      </c>
      <c r="D177" t="s">
        <v>280</v>
      </c>
      <c r="E177" t="str">
        <f>IF(COUNTA(Sheet1!Y3:INDEX(Sheet1!Y:Y,$C$1+2))=0,"INCONCLUSIVE - no values",IF(COUNTIF(Sheet1!Y3:INDEX(Sheet1!Y:Y,$C$1+2),"&gt;0")=COUNTA(Sheet1!Y3:INDEX(Sheet1!Y:Y,$C$1+2)),"PASS","FAIL - one or more populated values are not positive numbers"))</f>
        <v>INCONCLUSIVE - no values</v>
      </c>
      <c r="F177" t="b">
        <f t="shared" ref="F177:F181" si="7">E177=D177</f>
        <v>0</v>
      </c>
    </row>
    <row r="178" spans="1:6">
      <c r="A178" t="s">
        <v>385</v>
      </c>
      <c r="B178" t="s">
        <v>345</v>
      </c>
      <c r="C178" t="s">
        <v>18</v>
      </c>
      <c r="D178" t="s">
        <v>280</v>
      </c>
      <c r="E178" t="str" cm="1">
        <f t="array" ref="E178">IF(COUNTA(Sheet1!Z3:INDEX(Sheet1!Z:Z,$C$1+2))=0,"INCONCLUSIVE - no UoM values",IF(SUM(COUNTIF(Sheet1!Z3:INDEX(Sheet1!Z:Z,$C$1+2),{"kg","kgs","*kilogram*","*kilogramme*","g","gm","gms","gram","grams","gramme","grammes","st","stone","stones","lb","lbs","pound","pounds","oz","ounce","ounces"}))&gt;0,"PASS","FAIL - UoM values are present but none are recognised as reasonable"))</f>
        <v>INCONCLUSIVE - no UoM values</v>
      </c>
      <c r="F178" t="b">
        <f t="shared" si="7"/>
        <v>0</v>
      </c>
    </row>
    <row r="179" spans="1:6">
      <c r="A179" t="s">
        <v>386</v>
      </c>
      <c r="B179" t="s">
        <v>366</v>
      </c>
      <c r="C179" t="s">
        <v>367</v>
      </c>
      <c r="D179" t="s">
        <v>280</v>
      </c>
      <c r="E179" t="str" cm="1">
        <f t="array" ref="E179">IF(COUNTA(Sheet1!Y3:INDEX(Sheet1!Y:Y,$C$1+2))=0,"INCONCLUSIVE - no values",IF(SUMPRODUCT(--(Sheet1!Y3:INDEX(Sheet1!Y:Y,$C$1+2)&lt;&gt;""),--(Sheet1!AA3:INDEX(Sheet1!AA:AA,$C$1+2)&lt;&gt;""))=COUNTA(Sheet1!Y3:INDEX(Sheet1!Y:Y,$C$1+2)),"PASS","FAIL - one or more values have no corresponding date"))</f>
        <v>INCONCLUSIVE - no values</v>
      </c>
      <c r="F179" t="b">
        <f t="shared" si="7"/>
        <v>0</v>
      </c>
    </row>
    <row r="180" spans="1:6">
      <c r="A180" t="s">
        <v>386</v>
      </c>
      <c r="B180" t="s">
        <v>368</v>
      </c>
      <c r="C180" t="s">
        <v>369</v>
      </c>
      <c r="D180" t="s">
        <v>280</v>
      </c>
      <c r="E180" t="str" cm="1">
        <f t="array" ref="E180">IF(COUNTA(Sheet1!AA3:INDEX(Sheet1!AA:AA,$C$1+2))=0,"INCONCLUSIVE - no dates",IF(SUMPRODUCT(--(Sheet1!AA3:INDEX(Sheet1!AA:AA,$C$1+2)&lt;&gt;""),--(Sheet1!Y3:INDEX(Sheet1!Y:Y,$C$1+2)&lt;&gt;""))=COUNTA(Sheet1!AA3:INDEX(Sheet1!AA:AA,$C$1+2)),"PASS","FAIL - one or more dates have no corresponding value"))</f>
        <v>INCONCLUSIVE - no dates</v>
      </c>
      <c r="F180" t="b">
        <f t="shared" si="7"/>
        <v>0</v>
      </c>
    </row>
    <row r="181" spans="1:6">
      <c r="A181" t="s">
        <v>386</v>
      </c>
      <c r="B181" t="s">
        <v>370</v>
      </c>
      <c r="C181" t="s">
        <v>371</v>
      </c>
      <c r="D181" t="s">
        <v>280</v>
      </c>
      <c r="E181" t="str" cm="1">
        <f t="array" ref="E181">IF(COUNTA(Sheet1!AA3:INDEX(Sheet1!AA:AA,$C$1+2))=0,"INCONCLUSIVE - no dates",IF(SUMPRODUCT(--(Sheet1!AA3:INDEX(Sheet1!AA:AA,$C$1+2)&lt;&gt;""),--ISNUMBER(Sheet1!AA3:INDEX(Sheet1!AA:AA,$C$1+2)),--ISNUMBER(Sheet1!F3:INDEX(Sheet1!F:F,$C$1+2)),--(Sheet1!AA3:INDEX(Sheet1!AA:AA,$C$1+2)&gt;=Sheet1!F3:INDEX(Sheet1!F:F,$C$1+2)-364),--(Sheet1!AA3:INDEX(Sheet1!AA:AA,$C$1+2)&lt;=Sheet1!F3:INDEX(Sheet1!F:F,$C$1+2)-274))=COUNTA(Sheet1!AA3:INDEX(Sheet1!AA:AA,$C$1+2)),"PASS","FAIL - one or more dates are non-numeric or outside the required window"))</f>
        <v>INCONCLUSIVE - no dates</v>
      </c>
      <c r="F181" t="b">
        <f t="shared" si="7"/>
        <v>0</v>
      </c>
    </row>
    <row r="183" spans="1:6">
      <c r="A183" t="s">
        <v>387</v>
      </c>
      <c r="B183" t="s">
        <v>301</v>
      </c>
      <c r="C183" t="s">
        <v>19</v>
      </c>
      <c r="D183" t="s">
        <v>280</v>
      </c>
      <c r="E183" t="str">
        <f>IF(COUNTA(Sheet1!AB3:INDEX(Sheet1!AB:AB,$C$1+2))=0,"INCONCLUSIVE - no values",IF(COUNTIF(Sheet1!AB3:INDEX(Sheet1!AB:AB,$C$1+2),"&gt;0")=COUNTA(Sheet1!AB3:INDEX(Sheet1!AB:AB,$C$1+2)),"PASS","FAIL - one or more populated values are not positive numbers"))</f>
        <v>INCONCLUSIVE - no values</v>
      </c>
      <c r="F183" t="b">
        <f t="shared" ref="F183:F187" si="8">E183=D183</f>
        <v>0</v>
      </c>
    </row>
    <row r="184" spans="1:6">
      <c r="A184" t="s">
        <v>388</v>
      </c>
      <c r="B184" t="s">
        <v>345</v>
      </c>
      <c r="C184" t="s">
        <v>20</v>
      </c>
      <c r="D184" t="s">
        <v>280</v>
      </c>
      <c r="E184" t="str" cm="1">
        <f t="array" ref="E184">IF(COUNTA(Sheet1!AC3:INDEX(Sheet1!AC:AC,$C$1+2))=0,"INCONCLUSIVE - no UoM values",IF(SUM(COUNTIF(Sheet1!AC3:INDEX(Sheet1!AC:AC,$C$1+2),{"kg","kgs","*kilogram*","*kilogramme*","g","gm","gms","gram","grams","gramme","grammes","st","stone","stones","lb","lbs","pound","pounds","oz","ounce","ounces"}))&gt;0,"PASS","FAIL - UoM values are present but none are recognised as reasonable"))</f>
        <v>INCONCLUSIVE - no UoM values</v>
      </c>
      <c r="F184" t="b">
        <f t="shared" si="8"/>
        <v>0</v>
      </c>
    </row>
    <row r="185" spans="1:6">
      <c r="A185" t="s">
        <v>389</v>
      </c>
      <c r="B185" t="s">
        <v>390</v>
      </c>
      <c r="C185" t="s">
        <v>372</v>
      </c>
      <c r="D185" t="s">
        <v>280</v>
      </c>
      <c r="E185" t="str" cm="1">
        <f t="array" ref="E185">IF(COUNTA(Sheet1!AB3:INDEX(Sheet1!AB:AB,$C$1+2))=0,"INCONCLUSIVE - no values",IF(SUMPRODUCT(--(Sheet1!AB3:INDEX(Sheet1!AB:AB,$C$1+2)&lt;&gt;""),--(Sheet1!AD3:INDEX(Sheet1!AD:AD,$C$1+2)&lt;&gt;""))=COUNTA(Sheet1!AB3:INDEX(Sheet1!AB:AB,$C$1+2)),"PASS","FAIL - one or more values have no corresponding date"))</f>
        <v>INCONCLUSIVE - no values</v>
      </c>
      <c r="F185" t="b">
        <f t="shared" si="8"/>
        <v>0</v>
      </c>
    </row>
    <row r="186" spans="1:6">
      <c r="A186" t="s">
        <v>389</v>
      </c>
      <c r="B186" t="s">
        <v>391</v>
      </c>
      <c r="C186" t="s">
        <v>373</v>
      </c>
      <c r="D186" t="s">
        <v>280</v>
      </c>
      <c r="E186" t="str" cm="1">
        <f t="array" ref="E186">IF(COUNTA(Sheet1!AD3:INDEX(Sheet1!AD:AD,$C$1+2))=0,"INCONCLUSIVE - no dates",IF(SUMPRODUCT(--(Sheet1!AD3:INDEX(Sheet1!AD:AD,$C$1+2)&lt;&gt;""),--(Sheet1!AB3:INDEX(Sheet1!AB:AB,$C$1+2)&lt;&gt;""))=COUNTA(Sheet1!AD3:INDEX(Sheet1!AD:AD,$C$1+2)),"PASS","FAIL - one or more dates have no corresponding value"))</f>
        <v>INCONCLUSIVE - no dates</v>
      </c>
      <c r="F186" t="b">
        <f t="shared" si="8"/>
        <v>0</v>
      </c>
    </row>
    <row r="187" spans="1:6">
      <c r="A187" t="s">
        <v>389</v>
      </c>
      <c r="B187" t="s">
        <v>392</v>
      </c>
      <c r="C187" t="s">
        <v>374</v>
      </c>
      <c r="D187" t="s">
        <v>280</v>
      </c>
      <c r="E187" t="str" cm="1">
        <f t="array" ref="E187">IF(COUNTA(Sheet1!AD3:INDEX(Sheet1!AD:AD,$C$1+2))=0,"INCONCLUSIVE - no dates",IF(SUMPRODUCT(--(Sheet1!AD3:INDEX(Sheet1!AD:AD,$C$1+2)&lt;&gt;""),--ISNUMBER(Sheet1!AD3:INDEX(Sheet1!AD:AD,$C$1+2)),--ISNUMBER(Sheet1!F3:INDEX(Sheet1!F:F,$C$1+2)),--(Sheet1!AD3:INDEX(Sheet1!AD:AD,$C$1+2)&gt;=Sheet1!F3:INDEX(Sheet1!F:F,$C$1+2)-455),--(Sheet1!AD3:INDEX(Sheet1!AD:AD,$C$1+2)&lt;=Sheet1!F3:INDEX(Sheet1!F:F,$C$1+2)-365))=COUNTA(Sheet1!AD3:INDEX(Sheet1!AD:AD,$C$1+2)),"PASS","FAIL - one or more dates are non-numeric or outside the required window"))</f>
        <v>INCONCLUSIVE - no dates</v>
      </c>
      <c r="F187" t="b">
        <f t="shared" si="8"/>
        <v>0</v>
      </c>
    </row>
    <row r="189" spans="1:6">
      <c r="A189" t="s">
        <v>395</v>
      </c>
      <c r="B189" t="s">
        <v>301</v>
      </c>
      <c r="C189" t="s">
        <v>21</v>
      </c>
      <c r="D189" t="s">
        <v>280</v>
      </c>
      <c r="E189" t="str">
        <f>IF(COUNTA(Sheet1!AE3:INDEX(Sheet1!AE:AE,$C$1+2))=0,"INCONCLUSIVE - no values",IF(COUNTIF(Sheet1!AE3:INDEX(Sheet1!AE:AE,$C$1+2),"&gt;0")=COUNTA(Sheet1!AE3:INDEX(Sheet1!AE:AE,$C$1+2)),"PASS","FAIL - one or more populated values are not positive numbers"))</f>
        <v>INCONCLUSIVE - no values</v>
      </c>
      <c r="F189" t="b">
        <f t="shared" ref="F189:F193" si="9">E189=D189</f>
        <v>0</v>
      </c>
    </row>
    <row r="190" spans="1:6">
      <c r="A190" t="s">
        <v>396</v>
      </c>
      <c r="B190" t="s">
        <v>345</v>
      </c>
      <c r="C190" t="s">
        <v>22</v>
      </c>
      <c r="D190" t="s">
        <v>280</v>
      </c>
      <c r="E190" t="str" cm="1">
        <f t="array" ref="E190">IF(COUNTA(Sheet1!AF3:INDEX(Sheet1!AF:AF,$C$1+2))=0,"INCONCLUSIVE - no UoM values",IF(SUM(COUNTIF(Sheet1!AF3:INDEX(Sheet1!AF:AF,$C$1+2),{"kg","kgs","*kilogram*","*kilogramme*","g","gm","gms","gram","grams","gramme","grammes","st","stone","stones","lb","lbs","pound","pounds","oz","ounce","ounces"}))&gt;0,"PASS","FAIL - UoM values are present but none are recognised as reasonable"))</f>
        <v>INCONCLUSIVE - no UoM values</v>
      </c>
      <c r="F190" t="b">
        <f t="shared" si="9"/>
        <v>0</v>
      </c>
    </row>
    <row r="191" spans="1:6">
      <c r="A191" t="s">
        <v>397</v>
      </c>
      <c r="B191" t="s">
        <v>393</v>
      </c>
      <c r="C191" t="s">
        <v>375</v>
      </c>
      <c r="D191" t="s">
        <v>280</v>
      </c>
      <c r="E191" t="str" cm="1">
        <f t="array" ref="E191">IF(COUNTA(Sheet1!AE3:INDEX(Sheet1!AE:AE,$C$1+2))=0,"INCONCLUSIVE - no values",IF(SUMPRODUCT(--(Sheet1!AE3:INDEX(Sheet1!AE:AE,$C$1+2)&lt;&gt;""),--(Sheet1!AG3:INDEX(Sheet1!AG:AG,$C$1+2)&lt;&gt;""))=COUNTA(Sheet1!AE3:INDEX(Sheet1!AE:AE,$C$1+2)),"PASS","FAIL - one or more values have no corresponding date"))</f>
        <v>INCONCLUSIVE - no values</v>
      </c>
      <c r="F191" t="b">
        <f t="shared" si="9"/>
        <v>0</v>
      </c>
    </row>
    <row r="192" spans="1:6">
      <c r="A192" t="s">
        <v>397</v>
      </c>
      <c r="B192" t="s">
        <v>394</v>
      </c>
      <c r="C192" t="s">
        <v>376</v>
      </c>
      <c r="D192" t="s">
        <v>280</v>
      </c>
      <c r="E192" t="str" cm="1">
        <f t="array" ref="E192">IF(COUNTA(Sheet1!AG3:INDEX(Sheet1!AG:AG,$C$1+2))=0,"INCONCLUSIVE - no dates",IF(SUMPRODUCT(--(Sheet1!AG3:INDEX(Sheet1!AG:AG,$C$1+2)&lt;&gt;""),--(Sheet1!AE3:INDEX(Sheet1!AE:AE,$C$1+2)&lt;&gt;""))=COUNTA(Sheet1!AG3:INDEX(Sheet1!AG:AG,$C$1+2)),"PASS","FAIL - one or more dates have no corresponding value"))</f>
        <v>INCONCLUSIVE - no dates</v>
      </c>
      <c r="F192" t="b">
        <f t="shared" si="9"/>
        <v>0</v>
      </c>
    </row>
    <row r="193" spans="1:6">
      <c r="A193" t="s">
        <v>397</v>
      </c>
      <c r="B193" t="s">
        <v>319</v>
      </c>
      <c r="C193" t="s">
        <v>377</v>
      </c>
      <c r="D193" t="s">
        <v>280</v>
      </c>
      <c r="E193" t="str" cm="1">
        <f t="array" ref="E193">IF(COUNTA(Sheet1!AG3:INDEX(Sheet1!AG:AG,$C$1+2))=0,"INCONCLUSIVE - no dates",IF(SUMPRODUCT(--(Sheet1!AG3:INDEX(Sheet1!AG:AG,$C$1+2)&lt;&gt;""),--ISNUMBER(Sheet1!AG3:INDEX(Sheet1!AG:AG,$C$1+2)),--ISNUMBER(Sheet1!F3:INDEX(Sheet1!F:F,$C$1+2)),--(Sheet1!AG3:INDEX(Sheet1!AG:AG,$C$1+2)&gt;=Sheet1!F3:INDEX(Sheet1!F:F,$C$1+2)-546),--(Sheet1!AG3:INDEX(Sheet1!AG:AG,$C$1+2)&lt;=Sheet1!F3:INDEX(Sheet1!F:F,$C$1+2)-456))=COUNTA(Sheet1!AG3:INDEX(Sheet1!AG:AG,$C$1+2)),"PASS","FAIL - one or more dates are non-numeric or outside the required window"))</f>
        <v>INCONCLUSIVE - no dates</v>
      </c>
      <c r="F193" t="b">
        <f t="shared" si="9"/>
        <v>0</v>
      </c>
    </row>
    <row r="195" spans="1:6">
      <c r="A195" t="s">
        <v>401</v>
      </c>
      <c r="B195" t="s">
        <v>301</v>
      </c>
      <c r="C195" t="s">
        <v>23</v>
      </c>
      <c r="D195" t="s">
        <v>280</v>
      </c>
      <c r="E195" t="str">
        <f>IF(COUNTA(Sheet1!AH3:INDEX(Sheet1!AH:AH,$C$1+2))=0,"INCONCLUSIVE - no values",IF(COUNTIF(Sheet1!AH3:INDEX(Sheet1!AH:AH,$C$1+2),"&gt;0")=COUNTA(Sheet1!AH3:INDEX(Sheet1!AH:AH,$C$1+2)),"PASS","FAIL - one or more populated values are not positive numbers"))</f>
        <v>INCONCLUSIVE - no values</v>
      </c>
      <c r="F195" t="b">
        <f t="shared" ref="F195:F199" si="10">E195=D195</f>
        <v>0</v>
      </c>
    </row>
    <row r="196" spans="1:6">
      <c r="A196" t="s">
        <v>402</v>
      </c>
      <c r="B196" t="s">
        <v>345</v>
      </c>
      <c r="C196" t="s">
        <v>24</v>
      </c>
      <c r="D196" t="s">
        <v>280</v>
      </c>
      <c r="E196" t="str" cm="1">
        <f t="array" ref="E196">IF(COUNTA(Sheet1!AI3:INDEX(Sheet1!AI:AI,$C$1+2))=0,"INCONCLUSIVE - no UoM values",IF(SUM(COUNTIF(Sheet1!AI3:INDEX(Sheet1!AI:AI,$C$1+2),{"kg","kgs","*kilogram*","*kilogramme*","g","gm","gms","gram","grams","gramme","grammes","st","stone","stones","lb","lbs","pound","pounds","oz","ounce","ounces"}))&gt;0,"PASS","FAIL - UoM values are present but none are recognised as reasonable"))</f>
        <v>INCONCLUSIVE - no UoM values</v>
      </c>
      <c r="F196" t="b">
        <f t="shared" si="10"/>
        <v>0</v>
      </c>
    </row>
    <row r="197" spans="1:6">
      <c r="A197" t="s">
        <v>403</v>
      </c>
      <c r="B197" t="s">
        <v>398</v>
      </c>
      <c r="C197" t="s">
        <v>378</v>
      </c>
      <c r="D197" t="s">
        <v>280</v>
      </c>
      <c r="E197" t="str" cm="1">
        <f t="array" ref="E197">IF(COUNTA(Sheet1!AH3:INDEX(Sheet1!AH:AH,$C$1+2))=0,"INCONCLUSIVE - no values",IF(SUMPRODUCT(--(Sheet1!AH3:INDEX(Sheet1!AH:AH,$C$1+2)&lt;&gt;""),--(Sheet1!AJ3:INDEX(Sheet1!AJ:AJ,$C$1+2)&lt;&gt;""))=COUNTA(Sheet1!AH3:INDEX(Sheet1!AH:AH,$C$1+2)),"PASS","FAIL - one or more values have no corresponding date"))</f>
        <v>INCONCLUSIVE - no values</v>
      </c>
      <c r="F197" t="b">
        <f t="shared" si="10"/>
        <v>0</v>
      </c>
    </row>
    <row r="198" spans="1:6">
      <c r="A198" t="s">
        <v>403</v>
      </c>
      <c r="B198" t="s">
        <v>399</v>
      </c>
      <c r="C198" t="s">
        <v>379</v>
      </c>
      <c r="D198" t="s">
        <v>280</v>
      </c>
      <c r="E198" t="str" cm="1">
        <f t="array" ref="E198">IF(COUNTA(Sheet1!AJ3:INDEX(Sheet1!AJ:AJ,$C$1+2))=0,"INCONCLUSIVE - no dates",IF(SUMPRODUCT(--(Sheet1!AJ3:INDEX(Sheet1!AJ:AJ,$C$1+2)&lt;&gt;""),--(Sheet1!AH3:INDEX(Sheet1!AH:AH,$C$1+2)&lt;&gt;""))=COUNTA(Sheet1!AJ3:INDEX(Sheet1!AJ:AJ,$C$1+2)),"PASS","FAIL - one or more dates have no corresponding value"))</f>
        <v>INCONCLUSIVE - no dates</v>
      </c>
      <c r="F198" t="b">
        <f t="shared" si="10"/>
        <v>0</v>
      </c>
    </row>
    <row r="199" spans="1:6">
      <c r="A199" t="s">
        <v>403</v>
      </c>
      <c r="B199" t="s">
        <v>400</v>
      </c>
      <c r="C199" t="s">
        <v>380</v>
      </c>
      <c r="D199" t="s">
        <v>280</v>
      </c>
      <c r="E199" t="str" cm="1">
        <f t="array" ref="E199">IF(COUNTA(Sheet1!AJ3:INDEX(Sheet1!AJ:AJ,$C$1+2))=0,"INCONCLUSIVE - no dates",IF(SUMPRODUCT(--(Sheet1!AJ3:INDEX(Sheet1!AJ:AJ,$C$1+2)&lt;&gt;""),--ISNUMBER(Sheet1!AJ3:INDEX(Sheet1!AJ:AJ,$C$1+2)),--ISNUMBER(Sheet1!F3:INDEX(Sheet1!F:F,$C$1+2)),--(Sheet1!AJ3:INDEX(Sheet1!AJ:AJ,$C$1+2)&gt;=Sheet1!F3:INDEX(Sheet1!F:F,$C$1+2)-273),--(Sheet1!AJ3:INDEX(Sheet1!AJ:AJ,$C$1+2)&lt;=Sheet1!F3:INDEX(Sheet1!F:F,$C$1+2)-92))=COUNTA(Sheet1!AJ3:INDEX(Sheet1!AJ:AJ,$C$1+2)),"PASS","FAIL - one or more dates are non-numeric or outside the required window"))</f>
        <v>INCONCLUSIVE - no dates</v>
      </c>
      <c r="F199" t="b">
        <f t="shared" si="10"/>
        <v>0</v>
      </c>
    </row>
    <row r="201" spans="1:6">
      <c r="A201" t="s">
        <v>407</v>
      </c>
      <c r="B201" t="s">
        <v>301</v>
      </c>
      <c r="C201" t="s">
        <v>25</v>
      </c>
      <c r="D201" t="s">
        <v>280</v>
      </c>
      <c r="E201" t="str">
        <f>IF(COUNTA(Sheet1!AK3:INDEX(Sheet1!AK:AK,$C$1+2))=0,"INCONCLUSIVE - no values",IF(COUNTIF(Sheet1!AK3:INDEX(Sheet1!AK:AK,$C$1+2),"&gt;0")=COUNTA(Sheet1!AK3:INDEX(Sheet1!AK:AK,$C$1+2)),"PASS","FAIL - one or more populated values are not positive numbers"))</f>
        <v>INCONCLUSIVE - no values</v>
      </c>
      <c r="F201" t="b">
        <f t="shared" ref="F201:F205" si="11">E201=D201</f>
        <v>0</v>
      </c>
    </row>
    <row r="202" spans="1:6">
      <c r="A202" t="s">
        <v>408</v>
      </c>
      <c r="B202" t="s">
        <v>345</v>
      </c>
      <c r="C202" t="s">
        <v>26</v>
      </c>
      <c r="D202" t="s">
        <v>280</v>
      </c>
      <c r="E202" t="str" cm="1">
        <f t="array" ref="E202">IF(COUNTA(Sheet1!AL3:INDEX(Sheet1!AL:AL,$C$1+2))=0,"INCONCLUSIVE - no UoM values",IF(SUM(COUNTIF(Sheet1!AL3:INDEX(Sheet1!AL:AL,$C$1+2),{"kg","kgs","*kilogram*","*kilogramme*","g","gm","gms","gram","grams","gramme","grammes","st","stone","stones","lb","lbs","pound","pounds","oz","ounce","ounces"}))&gt;0,"PASS","FAIL - UoM values are present but none are recognised as reasonable"))</f>
        <v>INCONCLUSIVE - no UoM values</v>
      </c>
      <c r="F202" t="b">
        <f t="shared" si="11"/>
        <v>0</v>
      </c>
    </row>
    <row r="203" spans="1:6">
      <c r="A203" t="s">
        <v>409</v>
      </c>
      <c r="B203" t="s">
        <v>404</v>
      </c>
      <c r="C203" t="s">
        <v>381</v>
      </c>
      <c r="D203" t="s">
        <v>280</v>
      </c>
      <c r="E203" t="str" cm="1">
        <f t="array" ref="E203">IF(COUNTA(Sheet1!AK3:INDEX(Sheet1!AK:AK,$C$1+2))=0,"INCONCLUSIVE - no values",IF(SUMPRODUCT(--(Sheet1!AK3:INDEX(Sheet1!AK:AK,$C$1+2)&lt;&gt;""),--(Sheet1!AM3:INDEX(Sheet1!AM:AM,$C$1+2)&lt;&gt;""))=COUNTA(Sheet1!AK3:INDEX(Sheet1!AK:AK,$C$1+2)),"PASS","FAIL - one or more values have no corresponding date"))</f>
        <v>INCONCLUSIVE - no values</v>
      </c>
      <c r="F203" t="b">
        <f t="shared" si="11"/>
        <v>0</v>
      </c>
    </row>
    <row r="204" spans="1:6">
      <c r="A204" t="s">
        <v>409</v>
      </c>
      <c r="B204" t="s">
        <v>405</v>
      </c>
      <c r="C204" t="s">
        <v>382</v>
      </c>
      <c r="D204" t="s">
        <v>280</v>
      </c>
      <c r="E204" t="str" cm="1">
        <f t="array" ref="E204">IF(COUNTA(Sheet1!AM3:INDEX(Sheet1!AM:AM,$C$1+2))=0,"INCONCLUSIVE - no dates",IF(SUMPRODUCT(--(Sheet1!AM3:INDEX(Sheet1!AM:AM,$C$1+2)&lt;&gt;""),--(Sheet1!AK3:INDEX(Sheet1!AK:AK,$C$1+2)&lt;&gt;""))=COUNTA(Sheet1!AM3:INDEX(Sheet1!AM:AM,$C$1+2)),"PASS","FAIL - one or more dates have no corresponding value"))</f>
        <v>INCONCLUSIVE - no dates</v>
      </c>
      <c r="F204" t="b">
        <f t="shared" si="11"/>
        <v>0</v>
      </c>
    </row>
    <row r="205" spans="1:6">
      <c r="A205" t="s">
        <v>409</v>
      </c>
      <c r="B205" t="s">
        <v>406</v>
      </c>
      <c r="C205" t="s">
        <v>383</v>
      </c>
      <c r="D205" t="s">
        <v>280</v>
      </c>
      <c r="E205" t="str" cm="1">
        <f t="array" ref="E205">IF(COUNTA(Sheet1!AM3:INDEX(Sheet1!AM:AM,$C$1+2))=0,"INCONCLUSIVE - no dates",IF(SUMPRODUCT(--(Sheet1!AM3:INDEX(Sheet1!AM:AM,$C$1+2)&lt;&gt;""),--ISNUMBER(Sheet1!AM3:INDEX(Sheet1!AM:AM,$C$1+2)),--ISNUMBER(Sheet1!F3:INDEX(Sheet1!F:F,$C$1+2)),--(Sheet1!AM3:INDEX(Sheet1!AM:AM,$C$1+2)&gt;=Sheet1!F3:INDEX(Sheet1!F:F,$C$1+2)-3652),--(Sheet1!AM3:INDEX(Sheet1!AM:AM,$C$1+2)&lt;=Sheet1!F3:INDEX(Sheet1!F:F,$C$1+2)-547))=COUNTA(Sheet1!AM3:INDEX(Sheet1!AM:AM,$C$1+2)),"PASS","FAIL - one or more dates are non-numeric or outside the required window"))</f>
        <v>INCONCLUSIVE - no dates</v>
      </c>
      <c r="F205" t="b">
        <f t="shared" si="11"/>
        <v>0</v>
      </c>
    </row>
    <row r="207" spans="1:6">
      <c r="A207" t="s">
        <v>437</v>
      </c>
      <c r="B207" t="s">
        <v>301</v>
      </c>
      <c r="C207" t="s">
        <v>27</v>
      </c>
      <c r="D207" t="s">
        <v>280</v>
      </c>
      <c r="E207" t="str">
        <f>IF(COUNTA(Sheet1!AN3:INDEX(Sheet1!AN:AN,$C$1+2))=0,"INCONCLUSIVE - no values",IF(COUNTIF(Sheet1!AN3:INDEX(Sheet1!AN:AN,$C$1+2),"&gt;0")=COUNTA(Sheet1!AN3:INDEX(Sheet1!AN:AN,$C$1+2)),"PASS","FAIL - one or more populated values are not positive numbers"))</f>
        <v>INCONCLUSIVE - no values</v>
      </c>
      <c r="F207" t="b">
        <f t="shared" ref="F207:F210" si="12">E207=D207</f>
        <v>0</v>
      </c>
    </row>
    <row r="208" spans="1:6">
      <c r="A208" t="s">
        <v>438</v>
      </c>
      <c r="B208" t="s">
        <v>413</v>
      </c>
      <c r="C208" t="s">
        <v>410</v>
      </c>
      <c r="D208" t="s">
        <v>280</v>
      </c>
      <c r="E208" t="str" cm="1">
        <f t="array" ref="E208">IF(COUNTA(Sheet1!AN3:INDEX(Sheet1!AN:AN,$C$1+2))=0,"INCONCLUSIVE - no values",IF(SUMPRODUCT(--(Sheet1!AN3:INDEX(Sheet1!AN:AN,$C$1+2)&lt;&gt;""),--(Sheet1!AO3:INDEX(Sheet1!AO:AO,$C$1+2)&lt;&gt;""))=COUNTA(Sheet1!AN3:INDEX(Sheet1!AN:AN,$C$1+2)),"PASS","FAIL - one or more values have no corresponding date"))</f>
        <v>INCONCLUSIVE - no values</v>
      </c>
      <c r="F208" t="b">
        <f t="shared" si="12"/>
        <v>0</v>
      </c>
    </row>
    <row r="209" spans="1:6">
      <c r="A209" t="s">
        <v>438</v>
      </c>
      <c r="B209" t="s">
        <v>414</v>
      </c>
      <c r="C209" t="s">
        <v>411</v>
      </c>
      <c r="D209" t="s">
        <v>280</v>
      </c>
      <c r="E209" t="str" cm="1">
        <f t="array" ref="E209">IF(COUNTA(Sheet1!AO3:INDEX(Sheet1!AO:AO,$C$1+2))=0,"INCONCLUSIVE - no dates",IF(SUMPRODUCT(--(Sheet1!AO3:INDEX(Sheet1!AO:AO,$C$1+2)&lt;&gt;""),--(Sheet1!AN3:INDEX(Sheet1!AN:AN,$C$1+2)&lt;&gt;""))=COUNTA(Sheet1!AO3:INDEX(Sheet1!AO:AO,$C$1+2)),"PASS","FAIL - one or more dates have no corresponding value"))</f>
        <v>INCONCLUSIVE - no dates</v>
      </c>
      <c r="F209" t="b">
        <f t="shared" si="12"/>
        <v>0</v>
      </c>
    </row>
    <row r="210" spans="1:6">
      <c r="A210" t="s">
        <v>438</v>
      </c>
      <c r="B210" t="s">
        <v>415</v>
      </c>
      <c r="C210" t="s">
        <v>412</v>
      </c>
      <c r="D210" t="s">
        <v>280</v>
      </c>
      <c r="E210" t="str" cm="1">
        <f t="array" ref="E210">IF(COUNTA(Sheet1!AO3:INDEX(Sheet1!AO:AO,$C$1+2))=0,"INCONCLUSIVE - no dates",IF(SUMPRODUCT(--(Sheet1!AO3:INDEX(Sheet1!AO:AO,$C$1+2)&lt;&gt;""),--ISNUMBER(Sheet1!AO3:INDEX(Sheet1!AO:AO,$C$1+2)),--ISNUMBER(Sheet1!F3:INDEX(Sheet1!F:F,$C$1+2)),--(Sheet1!AO3:INDEX(Sheet1!AO:AO,$C$1+2)&gt;=Sheet1!F3:INDEX(Sheet1!F:F,$C$1+2)),--(Sheet1!AO3:INDEX(Sheet1!AO:AO,$C$1+2)&lt;=Sheet1!F3:INDEX(Sheet1!F:F,$C$1+2)+91))=COUNTA(Sheet1!AO3:INDEX(Sheet1!AO:AO,$C$1+2)),"PASS","FAIL - one or more dates are non-numeric or outside the required window"))</f>
        <v>INCONCLUSIVE - no dates</v>
      </c>
      <c r="F210" t="b">
        <f t="shared" si="12"/>
        <v>0</v>
      </c>
    </row>
    <row r="212" spans="1:6">
      <c r="A212" t="s">
        <v>439</v>
      </c>
      <c r="B212" t="s">
        <v>301</v>
      </c>
      <c r="C212" t="s">
        <v>28</v>
      </c>
      <c r="D212" t="s">
        <v>280</v>
      </c>
      <c r="E212" t="str">
        <f>IF(COUNTA(Sheet1!AP3:INDEX(Sheet1!AP:AP,$C$1+2))=0,"INCONCLUSIVE - no values",IF(COUNTIF(Sheet1!AP3:INDEX(Sheet1!AP:AP,$C$1+2),"&gt;0")=COUNTA(Sheet1!AP3:INDEX(Sheet1!AP:AP,$C$1+2)),"PASS","FAIL - one or more populated values are not positive numbers"))</f>
        <v>INCONCLUSIVE - no values</v>
      </c>
      <c r="F212" t="b">
        <f t="shared" ref="F212:F215" si="13">E212=D212</f>
        <v>0</v>
      </c>
    </row>
    <row r="213" spans="1:6">
      <c r="A213" t="s">
        <v>440</v>
      </c>
      <c r="B213" t="s">
        <v>434</v>
      </c>
      <c r="C213" t="s">
        <v>416</v>
      </c>
      <c r="D213" t="s">
        <v>280</v>
      </c>
      <c r="E213" t="str" cm="1">
        <f t="array" ref="E213">IF(COUNTA(Sheet1!AP3:INDEX(Sheet1!AP:AP,$C$1+2))=0,"INCONCLUSIVE - no values",IF(SUMPRODUCT(--(Sheet1!AP3:INDEX(Sheet1!AP:AP,$C$1+2)&lt;&gt;""),--(Sheet1!AQ3:INDEX(Sheet1!AQ:AQ,$C$1+2)&lt;&gt;""))=COUNTA(Sheet1!AP3:INDEX(Sheet1!AP:AP,$C$1+2)),"PASS","FAIL - one or more values have no corresponding date"))</f>
        <v>INCONCLUSIVE - no values</v>
      </c>
      <c r="F213" t="b">
        <f t="shared" si="13"/>
        <v>0</v>
      </c>
    </row>
    <row r="214" spans="1:6">
      <c r="A214" t="s">
        <v>440</v>
      </c>
      <c r="B214" t="s">
        <v>435</v>
      </c>
      <c r="C214" t="s">
        <v>417</v>
      </c>
      <c r="D214" t="s">
        <v>280</v>
      </c>
      <c r="E214" t="str" cm="1">
        <f t="array" ref="E214">IF(COUNTA(Sheet1!AQ3:INDEX(Sheet1!AQ:AQ,$C$1+2))=0,"INCONCLUSIVE - no dates",IF(SUMPRODUCT(--(Sheet1!AQ3:INDEX(Sheet1!AQ:AQ,$C$1+2)&lt;&gt;""),--(Sheet1!AP3:INDEX(Sheet1!AP:AP,$C$1+2)&lt;&gt;""))=COUNTA(Sheet1!AQ3:INDEX(Sheet1!AQ:AQ,$C$1+2)),"PASS","FAIL - one or more dates have no corresponding value"))</f>
        <v>INCONCLUSIVE - no dates</v>
      </c>
      <c r="F214" t="b">
        <f t="shared" si="13"/>
        <v>0</v>
      </c>
    </row>
    <row r="215" spans="1:6">
      <c r="A215" t="s">
        <v>440</v>
      </c>
      <c r="B215" t="s">
        <v>436</v>
      </c>
      <c r="C215" t="s">
        <v>418</v>
      </c>
      <c r="D215" t="s">
        <v>280</v>
      </c>
      <c r="E215" t="str" cm="1">
        <f t="array" ref="E215">IF(COUNTA(Sheet1!AQ3:INDEX(Sheet1!AQ:AQ,$C$1+2))=0,"INCONCLUSIVE - no dates",IF(SUMPRODUCT(--(Sheet1!AQ3:INDEX(Sheet1!AQ:AQ,$C$1+2)&lt;&gt;""),--ISNUMBER(Sheet1!AQ3:INDEX(Sheet1!AQ:AQ,$C$1+2)),--ISNUMBER(Sheet1!F3:INDEX(Sheet1!F:F,$C$1+2)),--(Sheet1!AQ3:INDEX(Sheet1!AQ:AQ,$C$1+2)&gt;=Sheet1!F3:INDEX(Sheet1!F:F,$C$1+2)-91),--(Sheet1!AQ3:INDEX(Sheet1!AQ:AQ,$C$1+2)&lt;=Sheet1!F3:INDEX(Sheet1!F:F,$C$1+2)-1))=COUNTA(Sheet1!AQ3:INDEX(Sheet1!AQ:AQ,$C$1+2)),"PASS","FAIL - one or more dates are non-numeric or outside the required window"))</f>
        <v>INCONCLUSIVE - no dates</v>
      </c>
      <c r="F215" t="b">
        <f t="shared" si="13"/>
        <v>0</v>
      </c>
    </row>
    <row r="217" spans="1:6">
      <c r="A217" t="s">
        <v>441</v>
      </c>
      <c r="B217" t="s">
        <v>301</v>
      </c>
      <c r="C217" t="s">
        <v>29</v>
      </c>
      <c r="D217" t="s">
        <v>280</v>
      </c>
      <c r="E217" t="str">
        <f>IF(COUNTA(Sheet1!AR3:INDEX(Sheet1!AR:AR,$C$1+2))=0,"INCONCLUSIVE - no values",IF(COUNTIF(Sheet1!AR3:INDEX(Sheet1!AR:AR,$C$1+2),"&gt;0")=COUNTA(Sheet1!AR3:INDEX(Sheet1!AR:AR,$C$1+2)),"PASS","FAIL - one or more populated values are not positive numbers"))</f>
        <v>INCONCLUSIVE - no values</v>
      </c>
      <c r="F217" t="b">
        <f t="shared" ref="F217:F220" si="14">E217=D217</f>
        <v>0</v>
      </c>
    </row>
    <row r="218" spans="1:6">
      <c r="A218" t="s">
        <v>442</v>
      </c>
      <c r="B218" t="s">
        <v>445</v>
      </c>
      <c r="C218" t="s">
        <v>419</v>
      </c>
      <c r="D218" t="s">
        <v>280</v>
      </c>
      <c r="E218" t="str" cm="1">
        <f t="array" ref="E218">IF(COUNTA(Sheet1!AR3:INDEX(Sheet1!AR:AR,$C$1+2))=0,"INCONCLUSIVE - no values",IF(SUMPRODUCT(--(Sheet1!AR3:INDEX(Sheet1!AR:AR,$C$1+2)&lt;&gt;""),--(Sheet1!AS3:INDEX(Sheet1!AS:AS,$C$1+2)&lt;&gt;""))=COUNTA(Sheet1!AR3:INDEX(Sheet1!AR:AR,$C$1+2)),"PASS","FAIL - one or more values have no corresponding date"))</f>
        <v>INCONCLUSIVE - no values</v>
      </c>
      <c r="F218" t="b">
        <f t="shared" si="14"/>
        <v>0</v>
      </c>
    </row>
    <row r="219" spans="1:6">
      <c r="A219" t="s">
        <v>442</v>
      </c>
      <c r="B219" t="s">
        <v>446</v>
      </c>
      <c r="C219" t="s">
        <v>420</v>
      </c>
      <c r="D219" t="s">
        <v>280</v>
      </c>
      <c r="E219" t="str" cm="1">
        <f t="array" ref="E219">IF(COUNTA(Sheet1!AS3:INDEX(Sheet1!AS:AS,$C$1+2))=0,"INCONCLUSIVE - no dates",IF(SUMPRODUCT(--(Sheet1!AS3:INDEX(Sheet1!AS:AS,$C$1+2)&lt;&gt;""),--(Sheet1!AR3:INDEX(Sheet1!AR:AR,$C$1+2)&lt;&gt;""))=COUNTA(Sheet1!AS3:INDEX(Sheet1!AS:AS,$C$1+2)),"PASS","FAIL - one or more dates have no corresponding value"))</f>
        <v>INCONCLUSIVE - no dates</v>
      </c>
      <c r="F219" t="b">
        <f t="shared" si="14"/>
        <v>0</v>
      </c>
    </row>
    <row r="220" spans="1:6">
      <c r="A220" t="s">
        <v>442</v>
      </c>
      <c r="B220" t="s">
        <v>447</v>
      </c>
      <c r="C220" t="s">
        <v>421</v>
      </c>
      <c r="D220" t="s">
        <v>280</v>
      </c>
      <c r="E220" t="str" cm="1">
        <f t="array" ref="E220">IF(COUNTA(Sheet1!AS3:INDEX(Sheet1!AS:AS,$C$1+2))=0,"INCONCLUSIVE - no dates",IF(SUMPRODUCT(--(Sheet1!AS3:INDEX(Sheet1!AS:AS,$C$1+2)&lt;&gt;""),--ISNUMBER(Sheet1!AS3:INDEX(Sheet1!AS:AS,$C$1+2)),--ISNUMBER(Sheet1!F3:INDEX(Sheet1!F:F,$C$1+2)),--(Sheet1!AS3:INDEX(Sheet1!AS:AS,$C$1+2)&gt;=Sheet1!F3:INDEX(Sheet1!F:F,$C$1+2)-364),--(Sheet1!AS3:INDEX(Sheet1!AS:AS,$C$1+2)&lt;=Sheet1!F3:INDEX(Sheet1!F:F,$C$1+2)-274))=COUNTA(Sheet1!AS3:INDEX(Sheet1!AS:AS,$C$1+2)),"PASS","FAIL - one or more dates are non-numeric or outside the required window"))</f>
        <v>INCONCLUSIVE - no dates</v>
      </c>
      <c r="F220" t="b">
        <f t="shared" si="14"/>
        <v>0</v>
      </c>
    </row>
    <row r="222" spans="1:6">
      <c r="A222" t="s">
        <v>443</v>
      </c>
      <c r="B222" t="s">
        <v>301</v>
      </c>
      <c r="C222" t="s">
        <v>30</v>
      </c>
      <c r="D222" t="s">
        <v>280</v>
      </c>
      <c r="E222" t="str">
        <f>IF(COUNTA(Sheet1!AT3:INDEX(Sheet1!AT:AT,$C$1+2))=0,"INCONCLUSIVE - no values",IF(COUNTIF(Sheet1!AT3:INDEX(Sheet1!AT:AT,$C$1+2),"&gt;0")=COUNTA(Sheet1!AT3:INDEX(Sheet1!AT:AT,$C$1+2)),"PASS","FAIL - one or more populated values are not positive numbers"))</f>
        <v>INCONCLUSIVE - no values</v>
      </c>
      <c r="F222" t="b">
        <f t="shared" ref="F222:F225" si="15">E222=D222</f>
        <v>0</v>
      </c>
    </row>
    <row r="223" spans="1:6">
      <c r="A223" t="s">
        <v>444</v>
      </c>
      <c r="B223" t="s">
        <v>448</v>
      </c>
      <c r="C223" t="s">
        <v>422</v>
      </c>
      <c r="D223" t="s">
        <v>280</v>
      </c>
      <c r="E223" t="str" cm="1">
        <f t="array" ref="E223">IF(COUNTA(Sheet1!AT3:INDEX(Sheet1!AT:AT,$C$1+2))=0,"INCONCLUSIVE - no values",IF(SUMPRODUCT(--(Sheet1!AT3:INDEX(Sheet1!AT:AT,$C$1+2)&lt;&gt;""),--(Sheet1!AU3:INDEX(Sheet1!AU:AU,$C$1+2)&lt;&gt;""))=COUNTA(Sheet1!AT3:INDEX(Sheet1!AT:AT,$C$1+2)),"PASS","FAIL - one or more values have no corresponding date"))</f>
        <v>INCONCLUSIVE - no values</v>
      </c>
      <c r="F223" t="b">
        <f t="shared" si="15"/>
        <v>0</v>
      </c>
    </row>
    <row r="224" spans="1:6">
      <c r="A224" t="s">
        <v>444</v>
      </c>
      <c r="B224" t="s">
        <v>449</v>
      </c>
      <c r="C224" t="s">
        <v>423</v>
      </c>
      <c r="D224" t="s">
        <v>280</v>
      </c>
      <c r="E224" t="str" cm="1">
        <f t="array" ref="E224">IF(COUNTA(Sheet1!AU3:INDEX(Sheet1!AU:AU,$C$1+2))=0,"INCONCLUSIVE - no dates",IF(SUMPRODUCT(--(Sheet1!AU3:INDEX(Sheet1!AU:AU,$C$1+2)&lt;&gt;""),--(Sheet1!AT3:INDEX(Sheet1!AT:AT,$C$1+2)&lt;&gt;""))=COUNTA(Sheet1!AU3:INDEX(Sheet1!AU:AU,$C$1+2)),"PASS","FAIL - one or more dates have no corresponding value"))</f>
        <v>INCONCLUSIVE - no dates</v>
      </c>
      <c r="F224" t="b">
        <f t="shared" si="15"/>
        <v>0</v>
      </c>
    </row>
    <row r="225" spans="1:6">
      <c r="A225" t="s">
        <v>444</v>
      </c>
      <c r="B225" t="s">
        <v>450</v>
      </c>
      <c r="C225" t="s">
        <v>424</v>
      </c>
      <c r="D225" t="s">
        <v>280</v>
      </c>
      <c r="E225" t="str" cm="1">
        <f t="array" ref="E225">IF(COUNTA(Sheet1!AU3:INDEX(Sheet1!AU:AU,$C$1+2))=0,"INCONCLUSIVE - no dates",IF(SUMPRODUCT(--(Sheet1!AU3:INDEX(Sheet1!AU:AU,$C$1+2)&lt;&gt;""),--ISNUMBER(Sheet1!AU3:INDEX(Sheet1!AU:AU,$C$1+2)),--ISNUMBER(Sheet1!F3:INDEX(Sheet1!F:F,$C$1+2)),--(Sheet1!AU3:INDEX(Sheet1!AU:AU,$C$1+2)&gt;=Sheet1!F3:INDEX(Sheet1!F:F,$C$1+2)-455),--(Sheet1!AU3:INDEX(Sheet1!AU:AU,$C$1+2)&lt;=Sheet1!F3:INDEX(Sheet1!F:F,$C$1+2)-365))=COUNTA(Sheet1!AU3:INDEX(Sheet1!AU:AU,$C$1+2)),"PASS","FAIL - one or more dates are non-numeric or outside the required window"))</f>
        <v>INCONCLUSIVE - no dates</v>
      </c>
      <c r="F225" t="b">
        <f t="shared" si="15"/>
        <v>0</v>
      </c>
    </row>
    <row r="227" spans="1:6">
      <c r="A227" t="s">
        <v>454</v>
      </c>
      <c r="B227" t="s">
        <v>301</v>
      </c>
      <c r="C227" t="s">
        <v>31</v>
      </c>
      <c r="D227" t="s">
        <v>280</v>
      </c>
      <c r="E227" t="str">
        <f>IF(COUNTA(Sheet1!AV3:INDEX(Sheet1!AV:AV,$C$1+2))=0,"INCONCLUSIVE - no values",IF(COUNTIF(Sheet1!AV3:INDEX(Sheet1!AV:AV,$C$1+2),"&gt;0")=COUNTA(Sheet1!AV3:INDEX(Sheet1!AV:AV,$C$1+2)),"PASS","FAIL - one or more populated values are not positive numbers"))</f>
        <v>INCONCLUSIVE - no values</v>
      </c>
      <c r="F227" t="b">
        <f t="shared" ref="F227:F230" si="16">E227=D227</f>
        <v>0</v>
      </c>
    </row>
    <row r="228" spans="1:6">
      <c r="A228" t="s">
        <v>455</v>
      </c>
      <c r="B228" t="s">
        <v>451</v>
      </c>
      <c r="C228" t="s">
        <v>425</v>
      </c>
      <c r="D228" t="s">
        <v>280</v>
      </c>
      <c r="E228" t="str" cm="1">
        <f t="array" ref="E228">IF(COUNTA(Sheet1!AV3:INDEX(Sheet1!AV:AV,$C$1+2))=0,"INCONCLUSIVE - no values",IF(SUMPRODUCT(--(Sheet1!AV3:INDEX(Sheet1!AV:AV,$C$1+2)&lt;&gt;""),--(Sheet1!AW3:INDEX(Sheet1!AW:AW,$C$1+2)&lt;&gt;""))=COUNTA(Sheet1!AV3:INDEX(Sheet1!AV:AV,$C$1+2)),"PASS","FAIL - one or more values have no corresponding date"))</f>
        <v>INCONCLUSIVE - no values</v>
      </c>
      <c r="F228" t="b">
        <f t="shared" si="16"/>
        <v>0</v>
      </c>
    </row>
    <row r="229" spans="1:6">
      <c r="A229" t="s">
        <v>455</v>
      </c>
      <c r="B229" t="s">
        <v>452</v>
      </c>
      <c r="C229" t="s">
        <v>426</v>
      </c>
      <c r="D229" t="s">
        <v>280</v>
      </c>
      <c r="E229" t="str" cm="1">
        <f t="array" ref="E229">IF(COUNTA(Sheet1!AW3:INDEX(Sheet1!AW:AW,$C$1+2))=0,"INCONCLUSIVE - no dates",IF(SUMPRODUCT(--(Sheet1!AW3:INDEX(Sheet1!AW:AW,$C$1+2)&lt;&gt;""),--(Sheet1!AV3:INDEX(Sheet1!AV:AV,$C$1+2)&lt;&gt;""))=COUNTA(Sheet1!AW3:INDEX(Sheet1!AW:AW,$C$1+2)),"PASS","FAIL - one or more dates have no corresponding value"))</f>
        <v>INCONCLUSIVE - no dates</v>
      </c>
      <c r="F229" t="b">
        <f t="shared" si="16"/>
        <v>0</v>
      </c>
    </row>
    <row r="230" spans="1:6">
      <c r="A230" t="s">
        <v>455</v>
      </c>
      <c r="B230" t="s">
        <v>453</v>
      </c>
      <c r="C230" t="s">
        <v>427</v>
      </c>
      <c r="D230" t="s">
        <v>280</v>
      </c>
      <c r="E230" t="str" cm="1">
        <f t="array" ref="E230">IF(COUNTA(Sheet1!AW3:INDEX(Sheet1!AW:AW,$C$1+2))=0,"INCONCLUSIVE - no dates",IF(SUMPRODUCT(--(Sheet1!AW3:INDEX(Sheet1!AW:AW,$C$1+2)&lt;&gt;""),--ISNUMBER(Sheet1!AW3:INDEX(Sheet1!AW:AW,$C$1+2)),--ISNUMBER(Sheet1!F3:INDEX(Sheet1!F:F,$C$1+2)),--(Sheet1!AW3:INDEX(Sheet1!AW:AW,$C$1+2)&gt;=Sheet1!F3:INDEX(Sheet1!F:F,$C$1+2)-546),--(Sheet1!AW3:INDEX(Sheet1!AW:AW,$C$1+2)&lt;=Sheet1!F3:INDEX(Sheet1!F:F,$C$1+2)-456))=COUNTA(Sheet1!AW3:INDEX(Sheet1!AW:AW,$C$1+2)),"PASS","FAIL - one or more dates are non-numeric or outside the required window"))</f>
        <v>INCONCLUSIVE - no dates</v>
      </c>
      <c r="F230" t="b">
        <f t="shared" si="16"/>
        <v>0</v>
      </c>
    </row>
    <row r="232" spans="1:6">
      <c r="A232" t="s">
        <v>462</v>
      </c>
      <c r="B232" t="s">
        <v>301</v>
      </c>
      <c r="C232" t="s">
        <v>32</v>
      </c>
      <c r="D232" t="s">
        <v>280</v>
      </c>
      <c r="E232" t="str">
        <f>IF(COUNTA(Sheet1!AX3:INDEX(Sheet1!AX:AX,$C$1+2))=0,"INCONCLUSIVE - no values",IF(COUNTIF(Sheet1!AX3:INDEX(Sheet1!AX:AX,$C$1+2),"&gt;0")=COUNTA(Sheet1!AX3:INDEX(Sheet1!AX:AX,$C$1+2)),"PASS","FAIL - one or more populated values are not positive numbers"))</f>
        <v>INCONCLUSIVE - no values</v>
      </c>
      <c r="F232" t="b">
        <f t="shared" ref="F232:F235" si="17">E232=D232</f>
        <v>0</v>
      </c>
    </row>
    <row r="233" spans="1:6">
      <c r="A233" t="s">
        <v>463</v>
      </c>
      <c r="B233" t="s">
        <v>456</v>
      </c>
      <c r="C233" t="s">
        <v>428</v>
      </c>
      <c r="D233" t="s">
        <v>280</v>
      </c>
      <c r="E233" t="str" cm="1">
        <f t="array" ref="E233">IF(COUNTA(Sheet1!AX3:INDEX(Sheet1!AX:AX,$C$1+2))=0,"INCONCLUSIVE - no values",IF(SUMPRODUCT(--(Sheet1!AX3:INDEX(Sheet1!AX:AX,$C$1+2)&lt;&gt;""),--(Sheet1!AY3:INDEX(Sheet1!AY:AY,$C$1+2)&lt;&gt;""))=COUNTA(Sheet1!AX3:INDEX(Sheet1!AX:AX,$C$1+2)),"PASS","FAIL - one or more values have no corresponding date"))</f>
        <v>INCONCLUSIVE - no values</v>
      </c>
      <c r="F233" t="b">
        <f t="shared" si="17"/>
        <v>0</v>
      </c>
    </row>
    <row r="234" spans="1:6">
      <c r="A234" t="s">
        <v>463</v>
      </c>
      <c r="B234" t="s">
        <v>457</v>
      </c>
      <c r="C234" t="s">
        <v>429</v>
      </c>
      <c r="D234" t="s">
        <v>280</v>
      </c>
      <c r="E234" t="str" cm="1">
        <f t="array" ref="E234">IF(COUNTA(Sheet1!AY3:INDEX(Sheet1!AY:AY,$C$1+2))=0,"INCONCLUSIVE - no dates",IF(SUMPRODUCT(--(Sheet1!AY3:INDEX(Sheet1!AY:AY,$C$1+2)&lt;&gt;""),--(Sheet1!AX3:INDEX(Sheet1!AX:AX,$C$1+2)&lt;&gt;""))=COUNTA(Sheet1!AY3:INDEX(Sheet1!AY:AY,$C$1+2)),"PASS","FAIL - one or more dates have no corresponding value"))</f>
        <v>INCONCLUSIVE - no dates</v>
      </c>
      <c r="F234" t="b">
        <f t="shared" si="17"/>
        <v>0</v>
      </c>
    </row>
    <row r="235" spans="1:6">
      <c r="A235" t="s">
        <v>463</v>
      </c>
      <c r="B235" t="s">
        <v>458</v>
      </c>
      <c r="C235" t="s">
        <v>430</v>
      </c>
      <c r="D235" t="s">
        <v>280</v>
      </c>
      <c r="E235" t="str" cm="1">
        <f t="array" ref="E235">IF(COUNTA(Sheet1!AY3:INDEX(Sheet1!AY:AY,$C$1+2))=0,"INCONCLUSIVE - no dates",IF(SUMPRODUCT(--(Sheet1!AY3:INDEX(Sheet1!AY:AY,$C$1+2)&lt;&gt;""),--ISNUMBER(Sheet1!AY3:INDEX(Sheet1!AY:AY,$C$1+2)),--ISNUMBER(Sheet1!F3:INDEX(Sheet1!F:F,$C$1+2)),--(Sheet1!AY3:INDEX(Sheet1!AY:AY,$C$1+2)&gt;=Sheet1!F3:INDEX(Sheet1!F:F,$C$1+2)-273),--(Sheet1!AY3:INDEX(Sheet1!AY:AY,$C$1+2)&lt;=Sheet1!F3:INDEX(Sheet1!F:F,$C$1+2)-92))=COUNTA(Sheet1!AY3:INDEX(Sheet1!AY:AY,$C$1+2)),"PASS","FAIL - one or more dates are non-numeric or outside the required window"))</f>
        <v>INCONCLUSIVE - no dates</v>
      </c>
      <c r="F235" t="b">
        <f t="shared" si="17"/>
        <v>0</v>
      </c>
    </row>
    <row r="237" spans="1:6">
      <c r="A237" t="s">
        <v>464</v>
      </c>
      <c r="B237" t="s">
        <v>301</v>
      </c>
      <c r="C237" t="s">
        <v>33</v>
      </c>
      <c r="D237" t="s">
        <v>280</v>
      </c>
      <c r="E237" t="str">
        <f>IF(COUNTA(Sheet1!AZ3:INDEX(Sheet1!AZ:AZ,$C$1+2))=0,"INCONCLUSIVE - no values",IF(COUNTIF(Sheet1!AZ3:INDEX(Sheet1!AZ:AZ,$C$1+2),"&gt;0")=COUNTA(Sheet1!AZ3:INDEX(Sheet1!AZ:AZ,$C$1+2)),"PASS","FAIL - one or more populated values are not positive numbers"))</f>
        <v>INCONCLUSIVE - no values</v>
      </c>
      <c r="F237" t="b">
        <f t="shared" ref="F237:F240" si="18">E237=D237</f>
        <v>0</v>
      </c>
    </row>
    <row r="238" spans="1:6">
      <c r="A238" t="s">
        <v>465</v>
      </c>
      <c r="B238" t="s">
        <v>459</v>
      </c>
      <c r="C238" t="s">
        <v>431</v>
      </c>
      <c r="D238" t="s">
        <v>280</v>
      </c>
      <c r="E238" t="str" cm="1">
        <f t="array" ref="E238">IF(COUNTA(Sheet1!AZ3:INDEX(Sheet1!AZ:AZ,$C$1+2))=0,"INCONCLUSIVE - no values",IF(SUMPRODUCT(--(Sheet1!AZ3:INDEX(Sheet1!AZ:AZ,$C$1+2)&lt;&gt;""),--(Sheet1!BA3:INDEX(Sheet1!BA:BA,$C$1+2)&lt;&gt;""))=COUNTA(Sheet1!AZ3:INDEX(Sheet1!AZ:AZ,$C$1+2)),"PASS","FAIL - one or more values have no corresponding date"))</f>
        <v>INCONCLUSIVE - no values</v>
      </c>
      <c r="F238" t="b">
        <f t="shared" si="18"/>
        <v>0</v>
      </c>
    </row>
    <row r="239" spans="1:6">
      <c r="A239" t="s">
        <v>465</v>
      </c>
      <c r="B239" t="s">
        <v>460</v>
      </c>
      <c r="C239" t="s">
        <v>432</v>
      </c>
      <c r="D239" t="s">
        <v>280</v>
      </c>
      <c r="E239" t="str" cm="1">
        <f t="array" ref="E239">IF(COUNTA(Sheet1!BA3:INDEX(Sheet1!BA:BA,$C$1+2))=0,"INCONCLUSIVE - no dates",IF(SUMPRODUCT(--(Sheet1!BA3:INDEX(Sheet1!BA:BA,$C$1+2)&lt;&gt;""),--(Sheet1!AZ3:INDEX(Sheet1!AZ:AZ,$C$1+2)&lt;&gt;""))=COUNTA(Sheet1!BA3:INDEX(Sheet1!BA:BA,$C$1+2)),"PASS","FAIL - one or more dates have no corresponding value"))</f>
        <v>INCONCLUSIVE - no dates</v>
      </c>
      <c r="F239" t="b">
        <f t="shared" si="18"/>
        <v>0</v>
      </c>
    </row>
    <row r="240" spans="1:6">
      <c r="A240" t="s">
        <v>465</v>
      </c>
      <c r="B240" t="s">
        <v>461</v>
      </c>
      <c r="C240" t="s">
        <v>433</v>
      </c>
      <c r="D240" t="s">
        <v>280</v>
      </c>
      <c r="E240" t="str" cm="1">
        <f t="array" ref="E240">IF(COUNTA(Sheet1!BA3:INDEX(Sheet1!BA:BA,$C$1+2))=0,"INCONCLUSIVE - no dates",IF(SUMPRODUCT(--(Sheet1!BA3:INDEX(Sheet1!BA:BA,$C$1+2)&lt;&gt;""),--ISNUMBER(Sheet1!BA3:INDEX(Sheet1!BA:BA,$C$1+2)),--ISNUMBER(Sheet1!F3:INDEX(Sheet1!F:F,$C$1+2)),--(Sheet1!BA3:INDEX(Sheet1!BA:BA,$C$1+2)&gt;=Sheet1!F3:INDEX(Sheet1!F:F,$C$1+2)-3652),--(Sheet1!BA3:INDEX(Sheet1!BA:BA,$C$1+2)&lt;=Sheet1!F3:INDEX(Sheet1!F:F,$C$1+2)-547))=COUNTA(Sheet1!BA3:INDEX(Sheet1!BA:BA,$C$1+2)),"PASS","FAIL - one or more dates are non-numeric or outside the required window"))</f>
        <v>INCONCLUSIVE - no dates</v>
      </c>
      <c r="F240" t="b">
        <f t="shared" si="18"/>
        <v>0</v>
      </c>
    </row>
    <row r="242" spans="1:6">
      <c r="A242" t="s">
        <v>487</v>
      </c>
      <c r="B242" t="s">
        <v>490</v>
      </c>
      <c r="C242" t="s">
        <v>34</v>
      </c>
      <c r="D242" t="s">
        <v>280</v>
      </c>
      <c r="E242" t="str">
        <f>IF(COUNTA(Sheet1!BB3:INDEX(Sheet1!BB:BB,$C$1+2))=0,"INCONCLUSIVE - no values",IF(COUNTIF(Sheet1!BB3:INDEX(Sheet1!BB:BB,$C$1+2),"&gt;0")=COUNTA(Sheet1!BB3:INDEX(Sheet1!BB:BB,$C$1+2)),"PASS","FAIL - one or more populated values are not positive numbers"))</f>
        <v>INCONCLUSIVE - no values</v>
      </c>
      <c r="F242" t="b">
        <f t="shared" ref="F242:F246" si="19">E242=D242</f>
        <v>0</v>
      </c>
    </row>
    <row r="243" spans="1:6">
      <c r="A243" t="s">
        <v>488</v>
      </c>
      <c r="B243" t="s">
        <v>538</v>
      </c>
      <c r="C243" t="s">
        <v>35</v>
      </c>
      <c r="D243" t="s">
        <v>280</v>
      </c>
      <c r="E243" t="str" cm="1">
        <f t="array" ref="E243">IF(COUNTA(Sheet1!BC3:INDEX(Sheet1!BC:BC,$C$1+2))=0,"INCONCLUSIVE - no UoM values",IF(SUM(COUNTIF(Sheet1!BC3:INDEX(Sheet1!BC:BC,$C$1+2),{"cm","cms","*centimetre*","*centimeter*","m","*metre*","*meter*","mm","*millimetre*","*millimeter*","ft","foot","feet","in","inch","inches"}))&gt;0,"PASS","FAIL - UoM values are present but none are recognised as reasonable"))</f>
        <v>INCONCLUSIVE - no UoM values</v>
      </c>
      <c r="F243" t="b">
        <f t="shared" si="19"/>
        <v>0</v>
      </c>
    </row>
    <row r="244" spans="1:6">
      <c r="A244" t="s">
        <v>489</v>
      </c>
      <c r="B244" t="s">
        <v>491</v>
      </c>
      <c r="C244" t="s">
        <v>466</v>
      </c>
      <c r="D244" t="s">
        <v>280</v>
      </c>
      <c r="E244" t="str" cm="1">
        <f t="array" ref="E244">IF(COUNTA(Sheet1!BB3:INDEX(Sheet1!BB:BB,$C$1+2))=0,"INCONCLUSIVE - no values",IF(SUMPRODUCT(--(Sheet1!BB3:INDEX(Sheet1!BB:BB,$C$1+2)&lt;&gt;""),--(Sheet1!BD3:INDEX(Sheet1!BD:BD,$C$1+2)&lt;&gt;""))=COUNTA(Sheet1!BB3:INDEX(Sheet1!BB:BB,$C$1+2)),"PASS","FAIL - one or more values have no corresponding date"))</f>
        <v>INCONCLUSIVE - no values</v>
      </c>
      <c r="F244" t="b">
        <f t="shared" si="19"/>
        <v>0</v>
      </c>
    </row>
    <row r="245" spans="1:6">
      <c r="A245" t="s">
        <v>489</v>
      </c>
      <c r="B245" t="s">
        <v>492</v>
      </c>
      <c r="C245" t="s">
        <v>467</v>
      </c>
      <c r="D245" t="s">
        <v>280</v>
      </c>
      <c r="E245" t="str" cm="1">
        <f t="array" ref="E245">IF(COUNTA(Sheet1!BD3:INDEX(Sheet1!BD:BD,$C$1+2))=0,"INCONCLUSIVE - no dates",IF(SUMPRODUCT(--(Sheet1!BD3:INDEX(Sheet1!BD:BD,$C$1+2)&lt;&gt;""),--(Sheet1!BB3:INDEX(Sheet1!BB:BB,$C$1+2)&lt;&gt;""))=COUNTA(Sheet1!BD3:INDEX(Sheet1!BD:BD,$C$1+2)),"PASS","FAIL - one or more dates have no corresponding value"))</f>
        <v>INCONCLUSIVE - no dates</v>
      </c>
      <c r="F245" t="b">
        <f t="shared" si="19"/>
        <v>0</v>
      </c>
    </row>
    <row r="246" spans="1:6">
      <c r="A246" t="s">
        <v>489</v>
      </c>
      <c r="B246" t="s">
        <v>415</v>
      </c>
      <c r="C246" t="s">
        <v>468</v>
      </c>
      <c r="D246" t="s">
        <v>280</v>
      </c>
      <c r="E246" t="str" cm="1">
        <f t="array" ref="E246">IF(COUNTA(Sheet1!BD3:INDEX(Sheet1!BD:BD,$C$1+2))=0,"INCONCLUSIVE - no dates",IF(SUMPRODUCT(--(Sheet1!BD3:INDEX(Sheet1!BD:BD,$C$1+2)&lt;&gt;""),--ISNUMBER(Sheet1!BD3:INDEX(Sheet1!BD:BD,$C$1+2)),--ISNUMBER(Sheet1!F3:INDEX(Sheet1!F:F,$C$1+2)),--(Sheet1!BD3:INDEX(Sheet1!BD:BD,$C$1+2)&gt;=Sheet1!F3:INDEX(Sheet1!F:F,$C$1+2)),--(Sheet1!BD3:INDEX(Sheet1!BD:BD,$C$1+2)&lt;=Sheet1!F3:INDEX(Sheet1!F:F,$C$1+2)+91))=COUNTA(Sheet1!BD3:INDEX(Sheet1!BD:BD,$C$1+2)),"PASS","FAIL - one or more dates are non-numeric or outside the required window"))</f>
        <v>INCONCLUSIVE - no dates</v>
      </c>
      <c r="F246" t="b">
        <f t="shared" si="19"/>
        <v>0</v>
      </c>
    </row>
    <row r="248" spans="1:6">
      <c r="A248" t="s">
        <v>495</v>
      </c>
      <c r="B248" t="s">
        <v>490</v>
      </c>
      <c r="C248" t="s">
        <v>36</v>
      </c>
      <c r="D248" t="s">
        <v>280</v>
      </c>
      <c r="E248" t="str">
        <f>IF(COUNTA(Sheet1!BE3:INDEX(Sheet1!BE:BE,$C$1+2))=0,"INCONCLUSIVE - no values",IF(COUNTIF(Sheet1!BE3:INDEX(Sheet1!BE:BE,$C$1+2),"&gt;0")=COUNTA(Sheet1!BE3:INDEX(Sheet1!BE:BE,$C$1+2)),"PASS","FAIL - one or more populated values are not positive numbers"))</f>
        <v>INCONCLUSIVE - no values</v>
      </c>
      <c r="F248" t="b">
        <f t="shared" ref="F248:F252" si="20">E248=D248</f>
        <v>0</v>
      </c>
    </row>
    <row r="249" spans="1:6">
      <c r="A249" t="s">
        <v>496</v>
      </c>
      <c r="B249" t="s">
        <v>538</v>
      </c>
      <c r="C249" t="s">
        <v>37</v>
      </c>
      <c r="D249" t="s">
        <v>280</v>
      </c>
      <c r="E249" t="str" cm="1">
        <f t="array" ref="E249">IF(COUNTA(Sheet1!BF3:INDEX(Sheet1!BF:BF,$C$1+2))=0,"INCONCLUSIVE - no UoM values",IF(SUM(COUNTIF(Sheet1!BF3:INDEX(Sheet1!BF:BF,$C$1+2),{"cm","cms","*centimetre*","*centimeter*","m","*metre*","*meter*","mm","*millimetre*","*millimeter*","ft","foot","feet","in","inch","inches"}))&gt;0,"PASS","FAIL - UoM values are present but none are recognised as reasonable"))</f>
        <v>INCONCLUSIVE - no UoM values</v>
      </c>
      <c r="F249" t="b">
        <f t="shared" si="20"/>
        <v>0</v>
      </c>
    </row>
    <row r="250" spans="1:6">
      <c r="A250" t="s">
        <v>497</v>
      </c>
      <c r="B250" t="s">
        <v>493</v>
      </c>
      <c r="C250" t="s">
        <v>469</v>
      </c>
      <c r="D250" t="s">
        <v>280</v>
      </c>
      <c r="E250" t="str" cm="1">
        <f t="array" ref="E250">IF(COUNTA(Sheet1!BE3:INDEX(Sheet1!BE:BE,$C$1+2))=0,"INCONCLUSIVE - no values",IF(SUMPRODUCT(--(Sheet1!BE3:INDEX(Sheet1!BE:BE,$C$1+2)&lt;&gt;""),--(Sheet1!BG3:INDEX(Sheet1!BG:BG,$C$1+2)&lt;&gt;""))=COUNTA(Sheet1!BE3:INDEX(Sheet1!BE:BE,$C$1+2)),"PASS","FAIL - one or more values have no corresponding date"))</f>
        <v>INCONCLUSIVE - no values</v>
      </c>
      <c r="F250" t="b">
        <f t="shared" si="20"/>
        <v>0</v>
      </c>
    </row>
    <row r="251" spans="1:6">
      <c r="A251" t="s">
        <v>497</v>
      </c>
      <c r="B251" t="s">
        <v>494</v>
      </c>
      <c r="C251" t="s">
        <v>470</v>
      </c>
      <c r="D251" t="s">
        <v>280</v>
      </c>
      <c r="E251" t="str" cm="1">
        <f t="array" ref="E251">IF(COUNTA(Sheet1!BG3:INDEX(Sheet1!BG:BG,$C$1+2))=0,"INCONCLUSIVE - no dates",IF(SUMPRODUCT(--(Sheet1!BG3:INDEX(Sheet1!BG:BG,$C$1+2)&lt;&gt;""),--(Sheet1!BE3:INDEX(Sheet1!BE:BE,$C$1+2)&lt;&gt;""))=COUNTA(Sheet1!BG3:INDEX(Sheet1!BG:BG,$C$1+2)),"PASS","FAIL - one or more dates have no corresponding value"))</f>
        <v>INCONCLUSIVE - no dates</v>
      </c>
      <c r="F251" t="b">
        <f t="shared" si="20"/>
        <v>0</v>
      </c>
    </row>
    <row r="252" spans="1:6">
      <c r="A252" t="s">
        <v>497</v>
      </c>
      <c r="B252" t="s">
        <v>436</v>
      </c>
      <c r="C252" t="s">
        <v>471</v>
      </c>
      <c r="D252" t="s">
        <v>280</v>
      </c>
      <c r="E252" t="str" cm="1">
        <f t="array" ref="E252">IF(COUNTA(Sheet1!BG3:INDEX(Sheet1!BG:BG,$C$1+2))=0,"INCONCLUSIVE - no dates",IF(SUMPRODUCT(--(Sheet1!BG3:INDEX(Sheet1!BG:BG,$C$1+2)&lt;&gt;""),--ISNUMBER(Sheet1!BG3:INDEX(Sheet1!BG:BG,$C$1+2)),--ISNUMBER(Sheet1!F3:INDEX(Sheet1!F:F,$C$1+2)),--(Sheet1!BG3:INDEX(Sheet1!BG:BG,$C$1+2)&gt;=Sheet1!F3:INDEX(Sheet1!F:F,$C$1+2)-91),--(Sheet1!BG3:INDEX(Sheet1!BG:BG,$C$1+2)&lt;=Sheet1!F3:INDEX(Sheet1!F:F,$C$1+2)-1))=COUNTA(Sheet1!BG3:INDEX(Sheet1!BG:BG,$C$1+2)),"PASS","FAIL - one or more dates are non-numeric or outside the required window"))</f>
        <v>INCONCLUSIVE - no dates</v>
      </c>
      <c r="F252" t="b">
        <f t="shared" si="20"/>
        <v>0</v>
      </c>
    </row>
    <row r="254" spans="1:6">
      <c r="A254" t="s">
        <v>500</v>
      </c>
      <c r="B254" t="s">
        <v>490</v>
      </c>
      <c r="C254" t="s">
        <v>38</v>
      </c>
      <c r="D254" t="s">
        <v>280</v>
      </c>
      <c r="E254" t="str">
        <f>IF(COUNTA(Sheet1!BH3:INDEX(Sheet1!BH:BH,$C$1+2))=0,"INCONCLUSIVE - no values",IF(COUNTIF(Sheet1!BH3:INDEX(Sheet1!BH:BH,$C$1+2),"&gt;0")=COUNTA(Sheet1!BH3:INDEX(Sheet1!BH:BH,$C$1+2)),"PASS","FAIL - one or more populated values are not positive numbers"))</f>
        <v>INCONCLUSIVE - no values</v>
      </c>
      <c r="F254" t="b">
        <f t="shared" ref="F254:F258" si="21">E254=D254</f>
        <v>0</v>
      </c>
    </row>
    <row r="255" spans="1:6">
      <c r="A255" t="s">
        <v>501</v>
      </c>
      <c r="B255" t="s">
        <v>538</v>
      </c>
      <c r="C255" t="s">
        <v>39</v>
      </c>
      <c r="D255" t="s">
        <v>280</v>
      </c>
      <c r="E255" t="str" cm="1">
        <f t="array" ref="E255">IF(COUNTA(Sheet1!BI3:INDEX(Sheet1!BI:BI,$C$1+2))=0,"INCONCLUSIVE - no UoM values",IF(SUM(COUNTIF(Sheet1!BI3:INDEX(Sheet1!BI:BI,$C$1+2),{"cm","cms","*centimetre*","*centimeter*","m","*metre*","*meter*","mm","*millimetre*","*millimeter*","ft","foot","feet","in","inch","inches"}))&gt;0,"PASS","FAIL - UoM values are present but none are recognised as reasonable"))</f>
        <v>INCONCLUSIVE - no UoM values</v>
      </c>
      <c r="F255" t="b">
        <f t="shared" si="21"/>
        <v>0</v>
      </c>
    </row>
    <row r="256" spans="1:6">
      <c r="A256" t="s">
        <v>502</v>
      </c>
      <c r="B256" t="s">
        <v>498</v>
      </c>
      <c r="C256" t="s">
        <v>472</v>
      </c>
      <c r="D256" t="s">
        <v>280</v>
      </c>
      <c r="E256" t="str" cm="1">
        <f t="array" ref="E256">IF(COUNTA(Sheet1!BH3:INDEX(Sheet1!BH:BH,$C$1+2))=0,"INCONCLUSIVE - no values",IF(SUMPRODUCT(--(Sheet1!BH3:INDEX(Sheet1!BH:BH,$C$1+2)&lt;&gt;""),--(Sheet1!BJ3:INDEX(Sheet1!BJ:BJ,$C$1+2)&lt;&gt;""))=COUNTA(Sheet1!BH3:INDEX(Sheet1!BH:BH,$C$1+2)),"PASS","FAIL - one or more values have no corresponding date"))</f>
        <v>INCONCLUSIVE - no values</v>
      </c>
      <c r="F256" t="b">
        <f t="shared" si="21"/>
        <v>0</v>
      </c>
    </row>
    <row r="257" spans="1:6">
      <c r="A257" t="s">
        <v>502</v>
      </c>
      <c r="B257" t="s">
        <v>499</v>
      </c>
      <c r="C257" t="s">
        <v>473</v>
      </c>
      <c r="D257" t="s">
        <v>280</v>
      </c>
      <c r="E257" t="str" cm="1">
        <f t="array" ref="E257">IF(COUNTA(Sheet1!BJ3:INDEX(Sheet1!BJ:BJ,$C$1+2))=0,"INCONCLUSIVE - no dates",IF(SUMPRODUCT(--(Sheet1!BJ3:INDEX(Sheet1!BJ:BJ,$C$1+2)&lt;&gt;""),--(Sheet1!BH3:INDEX(Sheet1!BH:BH,$C$1+2)&lt;&gt;""))=COUNTA(Sheet1!BJ3:INDEX(Sheet1!BJ:BJ,$C$1+2)),"PASS","FAIL - one or more dates have no corresponding value"))</f>
        <v>INCONCLUSIVE - no dates</v>
      </c>
      <c r="F257" t="b">
        <f t="shared" si="21"/>
        <v>0</v>
      </c>
    </row>
    <row r="258" spans="1:6">
      <c r="A258" t="s">
        <v>502</v>
      </c>
      <c r="B258" t="s">
        <v>447</v>
      </c>
      <c r="C258" t="s">
        <v>474</v>
      </c>
      <c r="D258" t="s">
        <v>280</v>
      </c>
      <c r="E258" t="str" cm="1">
        <f t="array" ref="E258">IF(COUNTA(Sheet1!BJ3:INDEX(Sheet1!BJ:BJ,$C$1+2))=0,"INCONCLUSIVE - no dates",IF(SUMPRODUCT(--(Sheet1!BJ3:INDEX(Sheet1!BJ:BJ,$C$1+2)&lt;&gt;""),--ISNUMBER(Sheet1!BJ3:INDEX(Sheet1!BJ:BJ,$C$1+2)),--ISNUMBER(Sheet1!F3:INDEX(Sheet1!F:F,$C$1+2)),--(Sheet1!BJ3:INDEX(Sheet1!BJ:BJ,$C$1+2)&gt;=Sheet1!F3:INDEX(Sheet1!F:F,$C$1+2)-364),--(Sheet1!BJ3:INDEX(Sheet1!BJ:BJ,$C$1+2)&lt;=Sheet1!F3:INDEX(Sheet1!F:F,$C$1+2)-274))=COUNTA(Sheet1!BJ3:INDEX(Sheet1!BJ:BJ,$C$1+2)),"PASS","FAIL - one or more dates are non-numeric or outside the required window"))</f>
        <v>INCONCLUSIVE - no dates</v>
      </c>
      <c r="F258" t="b">
        <f t="shared" si="21"/>
        <v>0</v>
      </c>
    </row>
    <row r="260" spans="1:6">
      <c r="A260" t="s">
        <v>505</v>
      </c>
      <c r="B260" t="s">
        <v>490</v>
      </c>
      <c r="C260" t="s">
        <v>40</v>
      </c>
      <c r="D260" t="s">
        <v>280</v>
      </c>
      <c r="E260" t="str">
        <f>IF(COUNTA(Sheet1!BK3:INDEX(Sheet1!BK:BK,$C$1+2))=0,"INCONCLUSIVE - no values",IF(COUNTIF(Sheet1!BK3:INDEX(Sheet1!BK:BK,$C$1+2),"&gt;0")=COUNTA(Sheet1!BK3:INDEX(Sheet1!BK:BK,$C$1+2)),"PASS","FAIL - one or more populated values are not positive numbers"))</f>
        <v>INCONCLUSIVE - no values</v>
      </c>
      <c r="F260" t="b">
        <f t="shared" ref="F260:F264" si="22">E260=D260</f>
        <v>0</v>
      </c>
    </row>
    <row r="261" spans="1:6">
      <c r="A261" t="s">
        <v>506</v>
      </c>
      <c r="B261" t="s">
        <v>538</v>
      </c>
      <c r="C261" t="s">
        <v>41</v>
      </c>
      <c r="D261" t="s">
        <v>280</v>
      </c>
      <c r="E261" t="str" cm="1">
        <f t="array" ref="E261">IF(COUNTA(Sheet1!BL3:INDEX(Sheet1!BL:BL,$C$1+2))=0,"INCONCLUSIVE - no UoM values",IF(SUM(COUNTIF(Sheet1!BL3:INDEX(Sheet1!BL:BL,$C$1+2),{"cm","cms","*centimetre*","*centimeter*","m","*metre*","*meter*","mm","*millimetre*","*millimeter*","ft","foot","feet","in","inch","inches"}))&gt;0,"PASS","FAIL - UoM values are present but none are recognised as reasonable"))</f>
        <v>INCONCLUSIVE - no UoM values</v>
      </c>
      <c r="F261" t="b">
        <f t="shared" si="22"/>
        <v>0</v>
      </c>
    </row>
    <row r="262" spans="1:6">
      <c r="A262" t="s">
        <v>507</v>
      </c>
      <c r="B262" t="s">
        <v>503</v>
      </c>
      <c r="C262" t="s">
        <v>475</v>
      </c>
      <c r="D262" t="s">
        <v>280</v>
      </c>
      <c r="E262" t="str" cm="1">
        <f t="array" ref="E262">IF(COUNTA(Sheet1!BK3:INDEX(Sheet1!BK:BK,$C$1+2))=0,"INCONCLUSIVE - no values",IF(SUMPRODUCT(--(Sheet1!BK3:INDEX(Sheet1!BK:BK,$C$1+2)&lt;&gt;""),--(Sheet1!BM3:INDEX(Sheet1!BM:BM,$C$1+2)&lt;&gt;""))=COUNTA(Sheet1!BK3:INDEX(Sheet1!BK:BK,$C$1+2)),"PASS","FAIL - one or more values have no corresponding date"))</f>
        <v>INCONCLUSIVE - no values</v>
      </c>
      <c r="F262" t="b">
        <f t="shared" si="22"/>
        <v>0</v>
      </c>
    </row>
    <row r="263" spans="1:6">
      <c r="A263" t="s">
        <v>507</v>
      </c>
      <c r="B263" t="s">
        <v>504</v>
      </c>
      <c r="C263" t="s">
        <v>476</v>
      </c>
      <c r="D263" t="s">
        <v>280</v>
      </c>
      <c r="E263" t="str" cm="1">
        <f t="array" ref="E263">IF(COUNTA(Sheet1!BM3:INDEX(Sheet1!BM:BM,$C$1+2))=0,"INCONCLUSIVE - no dates",IF(SUMPRODUCT(--(Sheet1!BM3:INDEX(Sheet1!BM:BM,$C$1+2)&lt;&gt;""),--(Sheet1!BK3:INDEX(Sheet1!BK:BK,$C$1+2)&lt;&gt;""))=COUNTA(Sheet1!BM3:INDEX(Sheet1!BM:BM,$C$1+2)),"PASS","FAIL - one or more dates have no corresponding value"))</f>
        <v>INCONCLUSIVE - no dates</v>
      </c>
      <c r="F263" t="b">
        <f t="shared" si="22"/>
        <v>0</v>
      </c>
    </row>
    <row r="264" spans="1:6">
      <c r="A264" t="s">
        <v>507</v>
      </c>
      <c r="B264" t="s">
        <v>450</v>
      </c>
      <c r="C264" t="s">
        <v>477</v>
      </c>
      <c r="D264" t="s">
        <v>280</v>
      </c>
      <c r="E264" t="str" cm="1">
        <f t="array" ref="E264">IF(COUNTA(Sheet1!BM3:INDEX(Sheet1!BM:BM,$C$1+2))=0,"INCONCLUSIVE - no dates",IF(SUMPRODUCT(--(Sheet1!BM3:INDEX(Sheet1!BM:BM,$C$1+2)&lt;&gt;""),--ISNUMBER(Sheet1!BM3:INDEX(Sheet1!BM:BM,$C$1+2)),--ISNUMBER(Sheet1!F3:INDEX(Sheet1!F:F,$C$1+2)),--(Sheet1!BM3:INDEX(Sheet1!BM:BM,$C$1+2)&gt;=Sheet1!F3:INDEX(Sheet1!F:F,$C$1+2)-455),--(Sheet1!BM3:INDEX(Sheet1!BM:BM,$C$1+2)&lt;=Sheet1!F3:INDEX(Sheet1!F:F,$C$1+2)-365))=COUNTA(Sheet1!BM3:INDEX(Sheet1!BM:BM,$C$1+2)),"PASS","FAIL - one or more dates are non-numeric or outside the required window"))</f>
        <v>INCONCLUSIVE - no dates</v>
      </c>
      <c r="F264" t="b">
        <f t="shared" si="22"/>
        <v>0</v>
      </c>
    </row>
    <row r="266" spans="1:6">
      <c r="A266" t="s">
        <v>510</v>
      </c>
      <c r="B266" t="s">
        <v>490</v>
      </c>
      <c r="C266" t="s">
        <v>42</v>
      </c>
      <c r="D266" t="s">
        <v>280</v>
      </c>
      <c r="E266" t="str">
        <f>IF(COUNTA(Sheet1!BN3:INDEX(Sheet1!BN:BN,$C$1+2))=0,"INCONCLUSIVE - no values",IF(COUNTIF(Sheet1!BN3:INDEX(Sheet1!BN:BN,$C$1+2),"&gt;0")=COUNTA(Sheet1!BN3:INDEX(Sheet1!BN:BN,$C$1+2)),"PASS","FAIL - one or more populated values are not positive numbers"))</f>
        <v>INCONCLUSIVE - no values</v>
      </c>
      <c r="F266" t="b">
        <f t="shared" ref="F266:F270" si="23">E266=D266</f>
        <v>0</v>
      </c>
    </row>
    <row r="267" spans="1:6">
      <c r="A267" t="s">
        <v>511</v>
      </c>
      <c r="B267" t="s">
        <v>538</v>
      </c>
      <c r="C267" t="s">
        <v>43</v>
      </c>
      <c r="D267" t="s">
        <v>280</v>
      </c>
      <c r="E267" t="str" cm="1">
        <f t="array" ref="E267">IF(COUNTA(Sheet1!BO3:INDEX(Sheet1!BO:BO,$C$1+2))=0,"INCONCLUSIVE - no UoM values",IF(SUM(COUNTIF(Sheet1!BO3:INDEX(Sheet1!BO:BO,$C$1+2),{"cm","cms","*centimetre*","*centimeter*","m","*metre*","*meter*","mm","*millimetre*","*millimeter*","ft","foot","feet","in","inch","inches"}))&gt;0,"PASS","FAIL - UoM values are present but none are recognised as reasonable"))</f>
        <v>INCONCLUSIVE - no UoM values</v>
      </c>
      <c r="F267" t="b">
        <f t="shared" si="23"/>
        <v>0</v>
      </c>
    </row>
    <row r="268" spans="1:6">
      <c r="A268" t="s">
        <v>512</v>
      </c>
      <c r="B268" t="s">
        <v>508</v>
      </c>
      <c r="C268" t="s">
        <v>478</v>
      </c>
      <c r="D268" t="s">
        <v>280</v>
      </c>
      <c r="E268" t="str" cm="1">
        <f t="array" ref="E268">IF(COUNTA(Sheet1!BN3:INDEX(Sheet1!BN:BN,$C$1+2))=0,"INCONCLUSIVE - no values",IF(SUMPRODUCT(--(Sheet1!BN3:INDEX(Sheet1!BN:BN,$C$1+2)&lt;&gt;""),--(Sheet1!BP3:INDEX(Sheet1!BP:BP,$C$1+2)&lt;&gt;""))=COUNTA(Sheet1!BN3:INDEX(Sheet1!BN:BN,$C$1+2)),"PASS","FAIL - one or more values have no corresponding date"))</f>
        <v>INCONCLUSIVE - no values</v>
      </c>
      <c r="F268" t="b">
        <f t="shared" si="23"/>
        <v>0</v>
      </c>
    </row>
    <row r="269" spans="1:6">
      <c r="A269" t="s">
        <v>512</v>
      </c>
      <c r="B269" t="s">
        <v>509</v>
      </c>
      <c r="C269" t="s">
        <v>479</v>
      </c>
      <c r="D269" t="s">
        <v>280</v>
      </c>
      <c r="E269" t="str" cm="1">
        <f t="array" ref="E269">IF(COUNTA(Sheet1!BP3:INDEX(Sheet1!BP:BP,$C$1+2))=0,"INCONCLUSIVE - no dates",IF(SUMPRODUCT(--(Sheet1!BP3:INDEX(Sheet1!BP:BP,$C$1+2)&lt;&gt;""),--(Sheet1!BN3:INDEX(Sheet1!BN:BN,$C$1+2)&lt;&gt;""))=COUNTA(Sheet1!BP3:INDEX(Sheet1!BP:BP,$C$1+2)),"PASS","FAIL - one or more dates have no corresponding value"))</f>
        <v>INCONCLUSIVE - no dates</v>
      </c>
      <c r="F269" t="b">
        <f t="shared" si="23"/>
        <v>0</v>
      </c>
    </row>
    <row r="270" spans="1:6">
      <c r="A270" t="s">
        <v>512</v>
      </c>
      <c r="B270" t="s">
        <v>453</v>
      </c>
      <c r="C270" t="s">
        <v>480</v>
      </c>
      <c r="D270" t="s">
        <v>280</v>
      </c>
      <c r="E270" t="str" cm="1">
        <f t="array" ref="E270">IF(COUNTA(Sheet1!BP3:INDEX(Sheet1!BP:BP,$C$1+2))=0,"INCONCLUSIVE - no dates",IF(SUMPRODUCT(--(Sheet1!BP3:INDEX(Sheet1!BP:BP,$C$1+2)&lt;&gt;""),--ISNUMBER(Sheet1!BP3:INDEX(Sheet1!BP:BP,$C$1+2)),--ISNUMBER(Sheet1!F3:INDEX(Sheet1!F:F,$C$1+2)),--(Sheet1!BP3:INDEX(Sheet1!BP:BP,$C$1+2)&gt;=Sheet1!F3:INDEX(Sheet1!F:F,$C$1+2)-546),--(Sheet1!BP3:INDEX(Sheet1!BP:BP,$C$1+2)&lt;=Sheet1!F3:INDEX(Sheet1!F:F,$C$1+2)-456))=COUNTA(Sheet1!BP3:INDEX(Sheet1!BP:BP,$C$1+2)),"PASS","FAIL - one or more dates are non-numeric or outside the required window"))</f>
        <v>INCONCLUSIVE - no dates</v>
      </c>
      <c r="F270" t="b">
        <f t="shared" si="23"/>
        <v>0</v>
      </c>
    </row>
    <row r="272" spans="1:6">
      <c r="A272" t="s">
        <v>515</v>
      </c>
      <c r="B272" t="s">
        <v>490</v>
      </c>
      <c r="C272" t="s">
        <v>44</v>
      </c>
      <c r="D272" t="s">
        <v>280</v>
      </c>
      <c r="E272" t="str">
        <f>IF(COUNTA(Sheet1!BQ3:INDEX(Sheet1!BQ:BQ,$C$1+2))=0,"INCONCLUSIVE - no values",IF(COUNTIF(Sheet1!BQ3:INDEX(Sheet1!BQ:BQ,$C$1+2),"&gt;0")=COUNTA(Sheet1!BQ3:INDEX(Sheet1!BQ:BQ,$C$1+2)),"PASS","FAIL - one or more populated values are not positive numbers"))</f>
        <v>INCONCLUSIVE - no values</v>
      </c>
      <c r="F272" t="b">
        <f t="shared" ref="F272:F276" si="24">E272=D272</f>
        <v>0</v>
      </c>
    </row>
    <row r="273" spans="1:6">
      <c r="A273" t="s">
        <v>516</v>
      </c>
      <c r="B273" t="s">
        <v>538</v>
      </c>
      <c r="C273" t="s">
        <v>45</v>
      </c>
      <c r="D273" t="s">
        <v>280</v>
      </c>
      <c r="E273" t="str" cm="1">
        <f t="array" ref="E273">IF(COUNTA(Sheet1!BR3:INDEX(Sheet1!BR:BR,$C$1+2))=0,"INCONCLUSIVE - no UoM values",IF(SUM(COUNTIF(Sheet1!BR3:INDEX(Sheet1!BR:BR,$C$1+2),{"cm","cms","*centimetre*","*centimeter*","m","*metre*","*meter*","mm","*millimetre*","*millimeter*","ft","foot","feet","in","inch","inches"}))&gt;0,"PASS","FAIL - UoM values are present but none are recognised as reasonable"))</f>
        <v>INCONCLUSIVE - no UoM values</v>
      </c>
      <c r="F273" t="b">
        <f t="shared" si="24"/>
        <v>0</v>
      </c>
    </row>
    <row r="274" spans="1:6">
      <c r="A274" t="s">
        <v>517</v>
      </c>
      <c r="B274" t="s">
        <v>513</v>
      </c>
      <c r="C274" t="s">
        <v>481</v>
      </c>
      <c r="D274" t="s">
        <v>280</v>
      </c>
      <c r="E274" t="str" cm="1">
        <f t="array" ref="E274">IF(COUNTA(Sheet1!BQ3:INDEX(Sheet1!BQ:BQ,$C$1+2))=0,"INCONCLUSIVE - no values",IF(SUMPRODUCT(--(Sheet1!BQ3:INDEX(Sheet1!BQ:BQ,$C$1+2)&lt;&gt;""),--(Sheet1!BS3:INDEX(Sheet1!BS:BS,$C$1+2)&lt;&gt;""))=COUNTA(Sheet1!BQ3:INDEX(Sheet1!BQ:BQ,$C$1+2)),"PASS","FAIL - one or more values have no corresponding date"))</f>
        <v>INCONCLUSIVE - no values</v>
      </c>
      <c r="F274" t="b">
        <f t="shared" si="24"/>
        <v>0</v>
      </c>
    </row>
    <row r="275" spans="1:6">
      <c r="A275" t="s">
        <v>517</v>
      </c>
      <c r="B275" t="s">
        <v>514</v>
      </c>
      <c r="C275" t="s">
        <v>482</v>
      </c>
      <c r="D275" t="s">
        <v>280</v>
      </c>
      <c r="E275" t="str" cm="1">
        <f t="array" ref="E275">IF(COUNTA(Sheet1!BS3:INDEX(Sheet1!BS:BS,$C$1+2))=0,"INCONCLUSIVE - no dates",IF(SUMPRODUCT(--(Sheet1!BS3:INDEX(Sheet1!BS:BS,$C$1+2)&lt;&gt;""),--(Sheet1!BQ3:INDEX(Sheet1!BQ:BQ,$C$1+2)&lt;&gt;""))=COUNTA(Sheet1!BS3:INDEX(Sheet1!BS:BS,$C$1+2)),"PASS","FAIL - one or more dates have no corresponding value"))</f>
        <v>INCONCLUSIVE - no dates</v>
      </c>
      <c r="F275" t="b">
        <f t="shared" si="24"/>
        <v>0</v>
      </c>
    </row>
    <row r="276" spans="1:6">
      <c r="A276" t="s">
        <v>517</v>
      </c>
      <c r="B276" t="s">
        <v>458</v>
      </c>
      <c r="C276" t="s">
        <v>483</v>
      </c>
      <c r="D276" t="s">
        <v>280</v>
      </c>
      <c r="E276" t="str" cm="1">
        <f t="array" ref="E276">IF(COUNTA(Sheet1!BS3:INDEX(Sheet1!BS:BS,$C$1+2))=0,"INCONCLUSIVE - no dates",IF(SUMPRODUCT(--(Sheet1!BS3:INDEX(Sheet1!BS:BS,$C$1+2)&lt;&gt;""),--ISNUMBER(Sheet1!BS3:INDEX(Sheet1!BS:BS,$C$1+2)),--ISNUMBER(Sheet1!F3:INDEX(Sheet1!F:F,$C$1+2)),--(Sheet1!BS3:INDEX(Sheet1!BS:BS,$C$1+2)&gt;=Sheet1!F3:INDEX(Sheet1!F:F,$C$1+2)-273),--(Sheet1!BS3:INDEX(Sheet1!BS:BS,$C$1+2)&lt;=Sheet1!F3:INDEX(Sheet1!F:F,$C$1+2)-92))=COUNTA(Sheet1!BS3:INDEX(Sheet1!BS:BS,$C$1+2)),"PASS","FAIL - one or more dates are non-numeric or outside the required window"))</f>
        <v>INCONCLUSIVE - no dates</v>
      </c>
      <c r="F276" t="b">
        <f t="shared" si="24"/>
        <v>0</v>
      </c>
    </row>
    <row r="278" spans="1:6">
      <c r="A278" t="s">
        <v>518</v>
      </c>
      <c r="B278" t="s">
        <v>490</v>
      </c>
      <c r="C278" t="s">
        <v>46</v>
      </c>
      <c r="D278" t="s">
        <v>280</v>
      </c>
      <c r="E278" t="str">
        <f>IF(COUNTA(Sheet1!BT3:INDEX(Sheet1!BT:BT,$C$1+2))=0,"INCONCLUSIVE - no values",IF(COUNTIF(Sheet1!BT3:INDEX(Sheet1!BT:BT,$C$1+2),"&gt;0")=COUNTA(Sheet1!BT3:INDEX(Sheet1!BT:BT,$C$1+2)),"PASS","FAIL - one or more populated values are not positive numbers"))</f>
        <v>INCONCLUSIVE - no values</v>
      </c>
      <c r="F278" t="b">
        <f t="shared" ref="F278:F282" si="25">E278=D278</f>
        <v>0</v>
      </c>
    </row>
    <row r="279" spans="1:6">
      <c r="A279" t="s">
        <v>519</v>
      </c>
      <c r="B279" t="s">
        <v>538</v>
      </c>
      <c r="C279" t="s">
        <v>47</v>
      </c>
      <c r="D279" t="s">
        <v>280</v>
      </c>
      <c r="E279" t="str" cm="1">
        <f t="array" ref="E279">IF(COUNTA(Sheet1!BU3:INDEX(Sheet1!BU:BU,$C$1+2))=0,"INCONCLUSIVE - no UoM values",IF(SUM(COUNTIF(Sheet1!BU3:INDEX(Sheet1!BU:BU,$C$1+2),{"cm","cms","*centimetre*","*centimeter*","m","*metre*","*meter*","mm","*millimetre*","*millimeter*","ft","foot","feet","in","inch","inches"}))&gt;0,"PASS","FAIL - UoM values are present but none are recognised as reasonable"))</f>
        <v>INCONCLUSIVE - no UoM values</v>
      </c>
      <c r="F279" t="b">
        <f t="shared" si="25"/>
        <v>0</v>
      </c>
    </row>
    <row r="280" spans="1:6">
      <c r="A280" t="s">
        <v>520</v>
      </c>
      <c r="B280" t="s">
        <v>521</v>
      </c>
      <c r="C280" t="s">
        <v>484</v>
      </c>
      <c r="D280" t="s">
        <v>280</v>
      </c>
      <c r="E280" t="str" cm="1">
        <f t="array" ref="E280">IF(COUNTA(Sheet1!BT3:INDEX(Sheet1!BT:BT,$C$1+2))=0,"INCONCLUSIVE - no values",IF(SUMPRODUCT(--(Sheet1!BT3:INDEX(Sheet1!BT:BT,$C$1+2)&lt;&gt;""),--(Sheet1!BV3:INDEX(Sheet1!BV:BV,$C$1+2)&lt;&gt;""))=COUNTA(Sheet1!BT3:INDEX(Sheet1!BT:BT,$C$1+2)),"PASS","FAIL - one or more values have no corresponding date"))</f>
        <v>INCONCLUSIVE - no values</v>
      </c>
      <c r="F280" t="b">
        <f t="shared" si="25"/>
        <v>0</v>
      </c>
    </row>
    <row r="281" spans="1:6">
      <c r="A281" t="s">
        <v>520</v>
      </c>
      <c r="B281" t="s">
        <v>522</v>
      </c>
      <c r="C281" t="s">
        <v>485</v>
      </c>
      <c r="D281" t="s">
        <v>280</v>
      </c>
      <c r="E281" t="str" cm="1">
        <f t="array" ref="E281">IF(COUNTA(Sheet1!BV3:INDEX(Sheet1!BV:BV,$C$1+2))=0,"INCONCLUSIVE - no dates",IF(SUMPRODUCT(--(Sheet1!BV3:INDEX(Sheet1!BV:BV,$C$1+2)&lt;&gt;""),--(Sheet1!BT3:INDEX(Sheet1!BT:BT,$C$1+2)&lt;&gt;""))=COUNTA(Sheet1!BV3:INDEX(Sheet1!BV:BV,$C$1+2)),"PASS","FAIL - one or more dates have no corresponding value"))</f>
        <v>INCONCLUSIVE - no dates</v>
      </c>
      <c r="F281" t="b">
        <f t="shared" si="25"/>
        <v>0</v>
      </c>
    </row>
    <row r="282" spans="1:6">
      <c r="A282" t="s">
        <v>520</v>
      </c>
      <c r="B282" t="s">
        <v>461</v>
      </c>
      <c r="C282" t="s">
        <v>486</v>
      </c>
      <c r="D282" t="s">
        <v>280</v>
      </c>
      <c r="E282" t="str" cm="1">
        <f t="array" ref="E282">IF(COUNTA(Sheet1!BV3:INDEX(Sheet1!BV:BV,$C$1+2))=0,"INCONCLUSIVE - no dates",IF(SUMPRODUCT(--(Sheet1!BV3:INDEX(Sheet1!BV:BV,$C$1+2)&lt;&gt;""),--ISNUMBER(Sheet1!BV3:INDEX(Sheet1!BV:BV,$C$1+2)),--ISNUMBER(Sheet1!F3:INDEX(Sheet1!F:F,$C$1+2)),--(Sheet1!BV3:INDEX(Sheet1!BV:BV,$C$1+2)&gt;=Sheet1!F3:INDEX(Sheet1!F:F,$C$1+2)-3652),--(Sheet1!BV3:INDEX(Sheet1!BV:BV,$C$1+2)&lt;=Sheet1!F3:INDEX(Sheet1!F:F,$C$1+2)-547))=COUNTA(Sheet1!BV3:INDEX(Sheet1!BV:BV,$C$1+2)),"PASS","FAIL - one or more dates are non-numeric or outside the required window"))</f>
        <v>INCONCLUSIVE - no dates</v>
      </c>
      <c r="F282" t="b">
        <f t="shared" si="25"/>
        <v>0</v>
      </c>
    </row>
    <row r="284" spans="1:6">
      <c r="A284" t="s">
        <v>525</v>
      </c>
      <c r="B284" t="s">
        <v>527</v>
      </c>
      <c r="C284" t="s">
        <v>532</v>
      </c>
      <c r="D284" t="s">
        <v>280</v>
      </c>
      <c r="E284" t="str" cm="1">
        <f t="array" aca="1" ref="E284" ca="1">IF(COUNTA(Sheet1!BW3:INDEX(Sheet1!BW:BW,$C$1+2))=0,"INCONCLUSIVE - no dates",IF(SUMPRODUCT(--(Sheet1!BW3:INDEX(Sheet1!BW:BW,$C$1+2)&lt;&gt;""),--ISNUMBER(Sheet1!BW3:INDEX(Sheet1!BW:BW,$C$1+2)),--(Sheet1!BW3:INDEX(Sheet1!BW:BW,$C$1+2)&gt;=DATE(1900,1,1)),--(Sheet1!BW3:INDEX(Sheet1!BW:BW,$C$1+2)&lt;=TODAY()))=COUNTA(Sheet1!BW3:INDEX(Sheet1!BW:BW,$C$1+2)),"PASS","FAIL - one or more dates are non-numeric or outside 01/01/1900 to today"))</f>
        <v>INCONCLUSIVE - no dates</v>
      </c>
      <c r="F284" t="b">
        <f t="shared" ref="F284:F299" ca="1" si="26">E284=D284</f>
        <v>0</v>
      </c>
    </row>
    <row r="285" spans="1:6">
      <c r="A285" t="s">
        <v>525</v>
      </c>
      <c r="B285" t="s">
        <v>529</v>
      </c>
      <c r="C285" t="s">
        <v>523</v>
      </c>
      <c r="D285" t="s">
        <v>280</v>
      </c>
      <c r="E285" t="str" cm="1">
        <f t="array" ref="E285">IF(COUNTA(Sheet1!BW3:INDEX(Sheet1!BW:BW,$C$1+2))=0,"INCONCLUSIVE - no diagnosis dates",IF(SUMPRODUCT(--(Sheet1!BW3:INDEX(Sheet1!BW:BW,$C$1+2)&lt;&gt;""),--(Sheet1!BX3:INDEX(Sheet1!BX:BX,$C$1+2)&lt;&gt;""))=COUNTA(Sheet1!BW3:INDEX(Sheet1!BW:BW,$C$1+2)),"PASS","FAIL - one or more diagnosis dates have no corresponding age"))</f>
        <v>INCONCLUSIVE - no diagnosis dates</v>
      </c>
      <c r="F285" t="b">
        <f t="shared" si="26"/>
        <v>0</v>
      </c>
    </row>
    <row r="286" spans="1:6">
      <c r="A286" t="s">
        <v>526</v>
      </c>
      <c r="B286" t="s">
        <v>528</v>
      </c>
      <c r="C286" t="s">
        <v>533</v>
      </c>
      <c r="D286" t="s">
        <v>280</v>
      </c>
      <c r="E286" t="str">
        <f>IF(COUNTA(Sheet1!BX3:INDEX(Sheet1!BX:BX,$C$1+2))=0,"INCONCLUSIVE - no ages",IF(COUNTIFS(Sheet1!BX3:INDEX(Sheet1!BX:BX,$C$1+2),"&gt;0",Sheet1!BX3:INDEX(Sheet1!BX:BX,$C$1+2),"&lt;=120")=COUNTA(Sheet1!BX3:INDEX(Sheet1!BX:BX,$C$1+2)),"PASS","FAIL - one or more populated ages are non-numeric or outside 1-120"))</f>
        <v>INCONCLUSIVE - no ages</v>
      </c>
      <c r="F286" t="b">
        <f t="shared" si="26"/>
        <v>0</v>
      </c>
    </row>
    <row r="287" spans="1:6">
      <c r="A287" t="s">
        <v>526</v>
      </c>
      <c r="B287" t="s">
        <v>530</v>
      </c>
      <c r="C287" t="s">
        <v>524</v>
      </c>
      <c r="D287" t="s">
        <v>280</v>
      </c>
      <c r="E287" t="str" cm="1">
        <f t="array" ref="E287">IF(COUNTA(Sheet1!BX3:INDEX(Sheet1!BX:BX,$C$1+2))=0,"INCONCLUSIVE - no diagnosis ages",IF(SUMPRODUCT(--(Sheet1!BX3:INDEX(Sheet1!BX:BX,$C$1+2)&lt;&gt;""),--(Sheet1!BW3:INDEX(Sheet1!BW:BW,$C$1+2)&lt;&gt;""))=COUNTA(Sheet1!BX3:INDEX(Sheet1!BX:BX,$C$1+2)),"PASS","FAIL - one or more diagnosis ages have no corresponding date"))</f>
        <v>INCONCLUSIVE - no diagnosis ages</v>
      </c>
      <c r="F287" t="b">
        <f t="shared" si="26"/>
        <v>0</v>
      </c>
    </row>
    <row r="289" spans="1:6">
      <c r="A289" t="s">
        <v>540</v>
      </c>
      <c r="B289" t="s">
        <v>536</v>
      </c>
      <c r="C289" t="s">
        <v>48</v>
      </c>
      <c r="D289" t="s">
        <v>280</v>
      </c>
      <c r="E289" t="str" cm="1">
        <f t="array" ref="E289">IF(COUNTA(Sheet1!BY3:INDEX(Sheet1!BY:BY,$C$1+2))=0,"INCONCLUSIVE - no values",IF(SUMPRODUCT(--(Sheet1!BY3:INDEX(Sheet1!BY:BY,$C$1+2)&lt;&gt;""),--(IFERROR(1*TRIM(SUBSTITUTE(SUBSTITUTE(SUBSTITUTE(SUBSTITUTE(SUBSTITUTE(SUBSTITUTE(TRIM(Sheet1!BY3:INDEX(Sheet1!BY:BY,$C$1+2)),"&gt;=",""),"&lt;=",""),"≥",""),"≤",""),"&gt;",""),"&lt;","")),0)&gt;0),--((ISNUMBER(Sheet1!BY3:INDEX(Sheet1!BY:BY,$C$1+2)))+(LEFT(TRIM(Sheet1!BY3:INDEX(Sheet1!BY:BY,$C$1+2)),2)="&gt;=")+(LEFT(TRIM(Sheet1!BY3:INDEX(Sheet1!BY:BY,$C$1+2)),2)="&lt;=")+(LEFT(TRIM(Sheet1!BY3:INDEX(Sheet1!BY:BY,$C$1+2)),1)="≥")+(LEFT(TRIM(Sheet1!BY3:INDEX(Sheet1!BY:BY,$C$1+2)),1)="≤")+(LEFT(TRIM(Sheet1!BY3:INDEX(Sheet1!BY:BY,$C$1+2)),1)="&gt;")+(LEFT(TRIM(Sheet1!BY3:INDEX(Sheet1!BY:BY,$C$1+2)),1)="&lt;")&gt;0))=COUNTA(Sheet1!BY3:INDEX(Sheet1!BY:BY,$C$1+2)),"PASS","FAIL - one or more populated values are not valid positive numbers or comparator values"))</f>
        <v>INCONCLUSIVE - no values</v>
      </c>
      <c r="F289" t="b">
        <f t="shared" si="26"/>
        <v>0</v>
      </c>
    </row>
    <row r="290" spans="1:6">
      <c r="A290" t="s">
        <v>545</v>
      </c>
      <c r="B290" t="s">
        <v>539</v>
      </c>
      <c r="C290" t="s">
        <v>49</v>
      </c>
      <c r="D290" t="s">
        <v>280</v>
      </c>
      <c r="E290" t="str" cm="1">
        <f t="array" ref="E290">IF(COUNTA(Sheet1!BZ3:INDEX(Sheet1!BZ:BZ,$C$1+2))=0,"INCONCLUSIVE - no UoM values",IF(SUM(COUNTIF(Sheet1!BZ3:INDEX(Sheet1!BZ:BZ,$C$1+2),{"u/ml","ku/l","iu/ml","iu/l","u/l","*unit*/ml*","*unit*/l*","*units*/ml*","*units*/l*"}))&gt;0,"PASS","FAIL - UoM values are present but none are recognised as reasonable"))</f>
        <v>INCONCLUSIVE - no UoM values</v>
      </c>
      <c r="F290" t="b">
        <f t="shared" si="26"/>
        <v>0</v>
      </c>
    </row>
    <row r="291" spans="1:6">
      <c r="A291" t="s">
        <v>544</v>
      </c>
      <c r="B291" t="s">
        <v>541</v>
      </c>
      <c r="C291" t="s">
        <v>531</v>
      </c>
      <c r="D291" t="s">
        <v>280</v>
      </c>
      <c r="E291" t="str" cm="1">
        <f t="array" ref="E291">IF(COUNTA(Sheet1!BY3:INDEX(Sheet1!BY:BY,$C$1+2))=0,"INCONCLUSIVE - no values",IF(SUMPRODUCT(--(Sheet1!BY3:INDEX(Sheet1!BY:BY,$C$1+2)&lt;&gt;""),--(Sheet1!CA3:INDEX(Sheet1!CA:CA,$C$1+2)&lt;&gt;""))=COUNTA(Sheet1!BY3:INDEX(Sheet1!BY:BY,$C$1+2)),"PASS","FAIL - one or more values have no corresponding date"))</f>
        <v>INCONCLUSIVE - no values</v>
      </c>
      <c r="F291" t="b">
        <f t="shared" si="26"/>
        <v>0</v>
      </c>
    </row>
    <row r="292" spans="1:6">
      <c r="A292" t="s">
        <v>544</v>
      </c>
      <c r="B292" t="s">
        <v>542</v>
      </c>
      <c r="C292" t="s">
        <v>534</v>
      </c>
      <c r="D292" t="s">
        <v>280</v>
      </c>
      <c r="E292" t="str" cm="1">
        <f t="array" ref="E292">IF(COUNTA(Sheet1!CA3:INDEX(Sheet1!CA:CA,$C$1+2))=0,"INCONCLUSIVE - no dates",IF(SUMPRODUCT(--(Sheet1!CA3:INDEX(Sheet1!CA:CA,$C$1+2)&lt;&gt;""),--(Sheet1!BY3:INDEX(Sheet1!BY:BY,$C$1+2)&lt;&gt;""))=COUNTA(Sheet1!CA3:INDEX(Sheet1!CA:CA,$C$1+2)),"PASS","FAIL - one or more dates have no corresponding value"))</f>
        <v>INCONCLUSIVE - no dates</v>
      </c>
      <c r="F292" t="b">
        <f t="shared" si="26"/>
        <v>0</v>
      </c>
    </row>
    <row r="293" spans="1:6">
      <c r="A293" t="s">
        <v>544</v>
      </c>
      <c r="B293" t="s">
        <v>543</v>
      </c>
      <c r="C293" t="s">
        <v>535</v>
      </c>
      <c r="D293" t="s">
        <v>280</v>
      </c>
      <c r="E293" t="str" cm="1">
        <f t="array" aca="1" ref="E293" ca="1">IF(COUNTA(Sheet1!CA3:INDEX(Sheet1!CA:CA,$C$1+2))=0,"INCONCLUSIVE - no dates",IF(SUMPRODUCT(--(Sheet1!CA3:INDEX(Sheet1!CA:CA,$C$1+2)&lt;&gt;""),--ISNUMBER(Sheet1!CA3:INDEX(Sheet1!CA:CA,$C$1+2)),--(Sheet1!CA3:INDEX(Sheet1!CA:CA,$C$1+2)&gt;=DATE(1900,1,1)),--(Sheet1!CA3:INDEX(Sheet1!CA:CA,$C$1+2)&lt;=TODAY()))=COUNTA(Sheet1!CA3:INDEX(Sheet1!CA:CA,$C$1+2)),"PASS","FAIL - one or more dates are non-numeric or outside 01/01/1900 to today"))</f>
        <v>INCONCLUSIVE - no dates</v>
      </c>
      <c r="F293" t="b">
        <f t="shared" ca="1" si="26"/>
        <v>0</v>
      </c>
    </row>
    <row r="295" spans="1:6">
      <c r="A295" t="s">
        <v>546</v>
      </c>
      <c r="B295" t="s">
        <v>536</v>
      </c>
      <c r="C295" t="s">
        <v>50</v>
      </c>
      <c r="D295" t="s">
        <v>280</v>
      </c>
      <c r="E295" t="str" cm="1">
        <f t="array" ref="E295">IF(COUNTA(Sheet1!CB3:INDEX(Sheet1!CB:CB,$C$1+2))=0,"INCONCLUSIVE - no values",IF(SUMPRODUCT(--(Sheet1!CB3:INDEX(Sheet1!CB:CB,$C$1+2)&lt;&gt;""),--(IFERROR(1*TRIM(SUBSTITUTE(SUBSTITUTE(SUBSTITUTE(SUBSTITUTE(SUBSTITUTE(SUBSTITUTE(TRIM(Sheet1!CB3:INDEX(Sheet1!CB:CB,$C$1+2)),"&gt;=",""),"&lt;=",""),"≥",""),"≤",""),"&gt;",""),"&lt;","")),0)&gt;0),--((ISNUMBER(Sheet1!CB3:INDEX(Sheet1!CB:CB,$C$1+2)))+(LEFT(TRIM(Sheet1!CB3:INDEX(Sheet1!CB:CB,$C$1+2)),2)="&gt;=")+(LEFT(TRIM(Sheet1!CB3:INDEX(Sheet1!CB:CB,$C$1+2)),2)="&lt;=")+(LEFT(TRIM(Sheet1!CB3:INDEX(Sheet1!CB:CB,$C$1+2)),1)="≥")+(LEFT(TRIM(Sheet1!CB3:INDEX(Sheet1!CB:CB,$C$1+2)),1)="≤")+(LEFT(TRIM(Sheet1!CB3:INDEX(Sheet1!CB:CB,$C$1+2)),1)="&gt;")+(LEFT(TRIM(Sheet1!CB3:INDEX(Sheet1!CB:CB,$C$1+2)),1)="&lt;")&gt;0))=COUNTA(Sheet1!CB3:INDEX(Sheet1!CB:CB,$C$1+2)),"PASS","FAIL - one or more populated values are not valid positive numbers or comparator values"))</f>
        <v>INCONCLUSIVE - no values</v>
      </c>
      <c r="F295" t="b">
        <f t="shared" si="26"/>
        <v>0</v>
      </c>
    </row>
    <row r="296" spans="1:6">
      <c r="A296" t="s">
        <v>488</v>
      </c>
      <c r="B296" t="s">
        <v>551</v>
      </c>
      <c r="C296" t="s">
        <v>51</v>
      </c>
      <c r="D296" t="s">
        <v>280</v>
      </c>
      <c r="E296" t="str" cm="1">
        <f t="array" ref="E296">IF(COUNTA(Sheet1!CC3:INDEX(Sheet1!CC:CC,$C$1+2))=0,"INCONCLUSIVE - no UoM values",IF(SUM(COUNTIF(Sheet1!CC3:INDEX(Sheet1!CC:CC,$C$1+2),{"ng/ml","ug/l","µg/l","μg/l","mcg/l","ng/l","mg/l","*nanogram*","*microgram*"}))&gt;0,"PASS","FAIL - UoM values are present but none are recognised as reasonable"))</f>
        <v>INCONCLUSIVE - no UoM values</v>
      </c>
      <c r="F296" t="b">
        <f t="shared" si="26"/>
        <v>0</v>
      </c>
    </row>
    <row r="297" spans="1:6">
      <c r="A297" t="s">
        <v>547</v>
      </c>
      <c r="B297" t="s">
        <v>553</v>
      </c>
      <c r="C297" t="s">
        <v>548</v>
      </c>
      <c r="D297" t="s">
        <v>280</v>
      </c>
      <c r="E297" t="str" cm="1">
        <f t="array" ref="E297">IF(COUNTA(Sheet1!CB3:INDEX(Sheet1!CB:CB,$C$1+2))=0,"INCONCLUSIVE - no values",IF(SUMPRODUCT(--(Sheet1!CB3:INDEX(Sheet1!CB:CB,$C$1+2)&lt;&gt;""),--(Sheet1!CD3:INDEX(Sheet1!CD:CD,$C$1+2)&lt;&gt;""))=COUNTA(Sheet1!CB3:INDEX(Sheet1!CB:CB,$C$1+2)),"PASS","FAIL - one or more values have no corresponding date"))</f>
        <v>INCONCLUSIVE - no values</v>
      </c>
      <c r="F297" t="b">
        <f t="shared" si="26"/>
        <v>0</v>
      </c>
    </row>
    <row r="298" spans="1:6">
      <c r="A298" t="s">
        <v>547</v>
      </c>
      <c r="B298" t="s">
        <v>552</v>
      </c>
      <c r="C298" t="s">
        <v>549</v>
      </c>
      <c r="D298" t="s">
        <v>280</v>
      </c>
      <c r="E298" t="str" cm="1">
        <f t="array" ref="E298">IF(COUNTA(Sheet1!CD3:INDEX(Sheet1!CD:CD,$C$1+2))=0,"INCONCLUSIVE - no dates",IF(SUMPRODUCT(--(Sheet1!CD3:INDEX(Sheet1!CD:CD,$C$1+2)&lt;&gt;""),--(Sheet1!CB3:INDEX(Sheet1!CB:CB,$C$1+2)&lt;&gt;""))=COUNTA(Sheet1!CD3:INDEX(Sheet1!CD:CD,$C$1+2)),"PASS","FAIL - one or more dates have no corresponding value"))</f>
        <v>INCONCLUSIVE - no dates</v>
      </c>
      <c r="F298" t="b">
        <f t="shared" si="26"/>
        <v>0</v>
      </c>
    </row>
    <row r="299" spans="1:6">
      <c r="A299" t="s">
        <v>547</v>
      </c>
      <c r="B299" t="s">
        <v>543</v>
      </c>
      <c r="C299" t="s">
        <v>550</v>
      </c>
      <c r="D299" t="s">
        <v>280</v>
      </c>
      <c r="E299" t="str" cm="1">
        <f t="array" aca="1" ref="E299" ca="1">IF(COUNTA(Sheet1!CD3:INDEX(Sheet1!CD:CD,$C$1+2))=0,"INCONCLUSIVE - no dates",IF(SUMPRODUCT(--(Sheet1!CD3:INDEX(Sheet1!CD:CD,$C$1+2)&lt;&gt;""),--ISNUMBER(Sheet1!CD3:INDEX(Sheet1!CD:CD,$C$1+2)),--(Sheet1!CD3:INDEX(Sheet1!CD:CD,$C$1+2)&gt;=DATE(1900,1,1)),--(Sheet1!CD3:INDEX(Sheet1!CD:CD,$C$1+2)&lt;=TODAY()))=COUNTA(Sheet1!CD3:INDEX(Sheet1!CD:CD,$C$1+2)),"PASS","FAIL - one or more dates are non-numeric or outside 01/01/1900 to today"))</f>
        <v>INCONCLUSIVE - no dates</v>
      </c>
      <c r="F299" t="b">
        <f t="shared" ca="1" si="26"/>
        <v>0</v>
      </c>
    </row>
  </sheetData>
  <conditionalFormatting sqref="F5:F1048576">
    <cfRule type="cellIs" dxfId="3" priority="7" operator="equal">
      <formula>TRUE</formula>
    </cfRule>
  </conditionalFormatting>
  <conditionalFormatting sqref="G6:G299">
    <cfRule type="expression" dxfId="2" priority="222">
      <formula>COUNTIF($F$6:$F$4204,FALSE)=0</formula>
    </cfRule>
    <cfRule type="expression" dxfId="1" priority="223">
      <formula>COUNTIF($F$6:$F$4204,FALSE)&gt;0</formula>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6" operator="containsText" id="{66DF2202-B509-44F3-9B6F-3150618F408E}">
            <xm:f>NOT(ISERROR(SEARCH(FALSE,F5)))</xm:f>
            <xm:f>FALSE</xm:f>
            <x14:dxf>
              <font>
                <color rgb="FF9C0006"/>
              </font>
              <fill>
                <patternFill>
                  <bgColor rgb="FFFFC7CE"/>
                </patternFill>
              </fill>
            </x14:dxf>
          </x14:cfRule>
          <xm:sqref>F5:F1048576</xm:sqref>
        </x14:conditionalFormatting>
      </x14:conditionalFormattings>
    </ext>
  </extLst>
</worksheet>
</file>

<file path=docMetadata/LabelInfo.xml><?xml version="1.0" encoding="utf-8"?>
<clbl:labelList xmlns:clbl="http://schemas.microsoft.com/office/2020/mipLabelMetadata">
  <clbl:label id="{6b902693-1074-40aa-9e21-d89446a2ebb5}" enabled="0" method="" siteId="{6b902693-1074-40aa-9e21-d89446a2ebb5}"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Dummy XML test data</vt:lpstr>
      <vt:lpstr>EMIS XML Test 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Claridge, Hugh (PG/R - Sch of Health Sci)</dc:creator>
  <cp:lastModifiedBy>Claridge, Hugh (PG/R - Sch Health Sciences)</cp:lastModifiedBy>
  <dcterms:created xsi:type="dcterms:W3CDTF">2025-06-16T11:09:36Z</dcterms:created>
  <dcterms:modified xsi:type="dcterms:W3CDTF">2026-10-30T18:41:33Z</dcterms:modified>
</cp:coreProperties>
</file>