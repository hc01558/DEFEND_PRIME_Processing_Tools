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surreyac-my.sharepoint.com/personal/hc01558_surrey_ac_uk/Documents/Documents/Clinical Intervention/Data extract/DEFEND_PRIME_Processing_Tools/EMIS Web/Validation_Workbooks/Processing_Validation/"/>
    </mc:Choice>
  </mc:AlternateContent>
  <xr:revisionPtr revIDLastSave="28563" documentId="8_{19B9EA06-3649-43FE-A828-A43E28B19EC0}" xr6:coauthVersionLast="47" xr6:coauthVersionMax="47" xr10:uidLastSave="{F9F84926-3588-4213-BAE3-DCF7E9CB8DEF}"/>
  <bookViews>
    <workbookView xWindow="-19650" yWindow="3690" windowWidth="19020" windowHeight="15345" activeTab="2" xr2:uid="{27B27CE6-89BB-46A2-9A4F-2B7869A4A504}"/>
  </bookViews>
  <sheets>
    <sheet name="Sheet1" sheetId="1" r:id="rId1"/>
    <sheet name="EMISdata copy paste to Sheet1" sheetId="8" r:id="rId2"/>
    <sheet name="EMIS Test Results" sheetId="7" r:id="rId3"/>
  </sheets>
  <definedNames>
    <definedName name="_xlnm._FilterDatabase" localSheetId="1" hidden="1">'EMISdata copy paste to Sheet1'!#REF!</definedName>
    <definedName name="_xlnm._FilterDatabase" localSheetId="0" hidden="1">Sheet1!$A$1:$CD$1</definedName>
    <definedName name="_xleta.INDIRECT" hidden="1" xlm="1">#NAME?</definedName>
    <definedName name="_xleta.N" hidden="1" xlm="1">#NAME?</definedName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D199" i="8" l="1"/>
  <c r="BW199" i="8"/>
  <c r="CA199" i="8"/>
  <c r="BV199" i="8"/>
  <c r="BS199" i="8"/>
  <c r="BP199" i="8"/>
  <c r="BM199" i="8"/>
  <c r="BJ199" i="8"/>
  <c r="BG199" i="8"/>
  <c r="BD199" i="8"/>
  <c r="BA199" i="8"/>
  <c r="AY199" i="8"/>
  <c r="AW199" i="8"/>
  <c r="AU199" i="8"/>
  <c r="AS199" i="8"/>
  <c r="AQ199" i="8"/>
  <c r="AO199" i="8"/>
  <c r="E1292" i="7"/>
  <c r="E1303" i="7"/>
  <c r="E1353" i="7"/>
  <c r="E1294" i="7"/>
  <c r="E1335" i="7"/>
  <c r="E1269" i="7"/>
  <c r="E1278" i="7"/>
  <c r="E1345" i="7"/>
  <c r="E1339" i="7"/>
  <c r="E1297" i="7"/>
  <c r="E1314" i="7"/>
  <c r="E1337" i="7"/>
  <c r="E1311" i="7"/>
  <c r="E1334" i="7"/>
  <c r="E1257" i="7"/>
  <c r="E1296" i="7"/>
  <c r="E1267" i="7"/>
  <c r="E1306" i="7"/>
  <c r="E1302" i="7"/>
  <c r="E1305" i="7"/>
  <c r="E1259" i="7"/>
  <c r="E1285" i="7"/>
  <c r="E1281" i="7"/>
  <c r="E1333" i="7"/>
  <c r="E1318" i="7"/>
  <c r="E1275" i="7"/>
  <c r="E1253" i="7"/>
  <c r="E1251" i="7"/>
  <c r="E1246" i="7"/>
  <c r="E1325" i="7"/>
  <c r="E1252" i="7"/>
  <c r="E1346" i="7"/>
  <c r="E1273" i="7"/>
  <c r="E1255" i="7"/>
  <c r="E1330" i="7"/>
  <c r="E1350" i="7"/>
  <c r="E1298" i="7"/>
  <c r="E1341" i="7"/>
  <c r="E1242" i="7"/>
  <c r="E1256" i="7"/>
  <c r="E1283" i="7"/>
  <c r="E1293" i="7"/>
  <c r="E1308" i="7"/>
  <c r="E1243" i="7"/>
  <c r="E1322" i="7"/>
  <c r="E1282" i="7"/>
  <c r="E1310" i="7"/>
  <c r="E1329" i="7"/>
  <c r="E1245" i="7"/>
  <c r="E1315" i="7"/>
  <c r="E1271" i="7"/>
  <c r="E1324" i="7"/>
  <c r="E1290" i="7"/>
  <c r="E1319" i="7"/>
  <c r="E1331" i="7"/>
  <c r="E1272" i="7"/>
  <c r="E1327" i="7"/>
  <c r="E1295" i="7"/>
  <c r="E1323" i="7"/>
  <c r="E1356" i="7"/>
  <c r="E1312" i="7"/>
  <c r="E1349" i="7"/>
  <c r="E1300" i="7"/>
  <c r="E1284" i="7"/>
  <c r="E1320" i="7"/>
  <c r="E1328" i="7"/>
  <c r="E1249" i="7"/>
  <c r="E1344" i="7"/>
  <c r="E1287" i="7"/>
  <c r="E1265" i="7"/>
  <c r="E1277" i="7"/>
  <c r="E1326" i="7"/>
  <c r="E1301" i="7"/>
  <c r="E1317" i="7"/>
  <c r="E1261" i="7"/>
  <c r="E1309" i="7"/>
  <c r="E1304" i="7"/>
  <c r="E1351" i="7"/>
  <c r="E1354" i="7"/>
  <c r="E1313" i="7"/>
  <c r="E1342" i="7"/>
  <c r="E1343" i="7"/>
  <c r="E1288" i="7"/>
  <c r="E1348" i="7"/>
  <c r="E1355" i="7"/>
  <c r="E1299" i="7"/>
  <c r="E1352" i="7"/>
  <c r="E1307" i="7"/>
  <c r="E1338" i="7"/>
  <c r="E1286" i="7"/>
  <c r="E1268" i="7"/>
  <c r="E1347" i="7"/>
  <c r="E1264" i="7"/>
  <c r="E1316" i="7"/>
  <c r="E1336" i="7"/>
  <c r="E1332" i="7"/>
  <c r="E1263" i="7"/>
  <c r="E1340" i="7"/>
  <c r="E1248" i="7"/>
  <c r="E1260" i="7"/>
  <c r="E1280" i="7"/>
  <c r="E1291" i="7"/>
  <c r="E1289" i="7"/>
  <c r="E1321" i="7"/>
  <c r="E1279" i="7"/>
  <c r="E1357" i="7"/>
  <c r="F1269" i="7" l="1"/>
  <c r="F1271" i="7"/>
  <c r="F1263" i="7"/>
  <c r="F1267" i="7"/>
  <c r="F1264" i="7"/>
  <c r="F1265" i="7"/>
  <c r="F1268" i="7"/>
  <c r="F1272" i="7"/>
  <c r="F1273" i="7"/>
  <c r="F1259" i="7"/>
  <c r="F1261" i="7"/>
  <c r="F1260" i="7"/>
  <c r="F1257" i="7"/>
  <c r="F1256" i="7"/>
  <c r="F1255" i="7"/>
  <c r="F1253" i="7"/>
  <c r="F1251" i="7"/>
  <c r="F1252" i="7"/>
  <c r="F1249" i="7"/>
  <c r="F1248" i="7"/>
  <c r="F1245" i="7"/>
  <c r="F1246" i="7"/>
  <c r="F1242" i="7"/>
  <c r="F1243" i="7"/>
  <c r="CD197" i="8"/>
  <c r="CD196" i="8"/>
  <c r="CD195" i="8"/>
  <c r="CA194" i="8"/>
  <c r="CA193" i="8"/>
  <c r="CA192" i="8"/>
  <c r="BW191" i="8"/>
  <c r="BW190" i="8"/>
  <c r="BW189" i="8"/>
  <c r="E1132" i="7"/>
  <c r="E942" i="7"/>
  <c r="E1120" i="7"/>
  <c r="E1016" i="7"/>
  <c r="E1220" i="7"/>
  <c r="E1032" i="7"/>
  <c r="E1165" i="7"/>
  <c r="E1030" i="7"/>
  <c r="E1229" i="7"/>
  <c r="E912" i="7"/>
  <c r="E899" i="7"/>
  <c r="E1206" i="7"/>
  <c r="E1063" i="7"/>
  <c r="E1006" i="7"/>
  <c r="E927" i="7"/>
  <c r="E1157" i="7"/>
  <c r="E1213" i="7"/>
  <c r="E1218" i="7"/>
  <c r="E963" i="7"/>
  <c r="E1205" i="7"/>
  <c r="E972" i="7"/>
  <c r="E1001" i="7"/>
  <c r="E1178" i="7"/>
  <c r="E1017" i="7"/>
  <c r="E1061" i="7"/>
  <c r="E1122" i="7"/>
  <c r="E1099" i="7"/>
  <c r="E997" i="7"/>
  <c r="E1111" i="7"/>
  <c r="E96" i="7"/>
  <c r="E95" i="7"/>
  <c r="E1139" i="7"/>
  <c r="E1199" i="7"/>
  <c r="E1134" i="7"/>
  <c r="E1116" i="7"/>
  <c r="E1159" i="7"/>
  <c r="E1072" i="7"/>
  <c r="E1144" i="7"/>
  <c r="E1203" i="7"/>
  <c r="E1153" i="7"/>
  <c r="E1184" i="7"/>
  <c r="E898" i="7"/>
  <c r="E1073" i="7"/>
  <c r="E907" i="7"/>
  <c r="E1207" i="7"/>
  <c r="E1070" i="7"/>
  <c r="E1170" i="7"/>
  <c r="E960" i="7"/>
  <c r="E1068" i="7"/>
  <c r="E987" i="7"/>
  <c r="E1202" i="7"/>
  <c r="E1197" i="7"/>
  <c r="E1182" i="7"/>
  <c r="E1236" i="7"/>
  <c r="E1059" i="7"/>
  <c r="E1201" i="7"/>
  <c r="E1085" i="7"/>
  <c r="E1227" i="7"/>
  <c r="E1114" i="7"/>
  <c r="E1091" i="7"/>
  <c r="E902" i="7"/>
  <c r="E1126" i="7"/>
  <c r="E992" i="7"/>
  <c r="E1037" i="7"/>
  <c r="E933" i="7"/>
  <c r="E94" i="7"/>
  <c r="E1034" i="7"/>
  <c r="E1106" i="7"/>
  <c r="E1064" i="7"/>
  <c r="E999" i="7"/>
  <c r="E968" i="7"/>
  <c r="E932" i="7"/>
  <c r="E1127" i="7"/>
  <c r="E1181" i="7"/>
  <c r="E1210" i="7"/>
  <c r="E1190" i="7"/>
  <c r="E1014" i="7"/>
  <c r="E979" i="7"/>
  <c r="E1140" i="7"/>
  <c r="E1105" i="7"/>
  <c r="E900" i="7"/>
  <c r="E945" i="7"/>
  <c r="E922" i="7"/>
  <c r="E1033" i="7"/>
  <c r="E1040" i="7"/>
  <c r="E1010" i="7"/>
  <c r="E1108" i="7"/>
  <c r="E1000" i="7"/>
  <c r="E1104" i="7"/>
  <c r="E964" i="7"/>
  <c r="E1054" i="7"/>
  <c r="E1151" i="7"/>
  <c r="E1048" i="7"/>
  <c r="E1232" i="7"/>
  <c r="E944" i="7"/>
  <c r="E1172" i="7"/>
  <c r="E1142" i="7"/>
  <c r="E1049" i="7"/>
  <c r="E998" i="7"/>
  <c r="E1163" i="7"/>
  <c r="E1223" i="7"/>
  <c r="E1155" i="7"/>
  <c r="E1186" i="7"/>
  <c r="E1124" i="7"/>
  <c r="E906" i="7"/>
  <c r="E1094" i="7"/>
  <c r="E924" i="7"/>
  <c r="E1196" i="7"/>
  <c r="E1192" i="7"/>
  <c r="E988" i="7"/>
  <c r="E916" i="7"/>
  <c r="E1179" i="7"/>
  <c r="E961" i="7"/>
  <c r="E1198" i="7"/>
  <c r="E918" i="7"/>
  <c r="E949" i="7"/>
  <c r="E1089" i="7"/>
  <c r="E926" i="7"/>
  <c r="E1149" i="7"/>
  <c r="E937" i="7"/>
  <c r="E1042" i="7"/>
  <c r="E914" i="7"/>
  <c r="E1188" i="7"/>
  <c r="E919" i="7"/>
  <c r="E956" i="7"/>
  <c r="E994" i="7"/>
  <c r="E931" i="7"/>
  <c r="E938" i="7"/>
  <c r="E910" i="7"/>
  <c r="E1219" i="7"/>
  <c r="E1194" i="7"/>
  <c r="E1086" i="7"/>
  <c r="E1208" i="7"/>
  <c r="E1028" i="7"/>
  <c r="E1018" i="7"/>
  <c r="E957" i="7"/>
  <c r="E1176" i="7"/>
  <c r="E984" i="7"/>
  <c r="E1087" i="7"/>
  <c r="E1119" i="7"/>
  <c r="E1078" i="7"/>
  <c r="E1056" i="7"/>
  <c r="E976" i="7"/>
  <c r="E1115" i="7"/>
  <c r="E1121" i="7"/>
  <c r="E1237" i="7"/>
  <c r="E1146" i="7"/>
  <c r="E1156" i="7"/>
  <c r="E1062" i="7"/>
  <c r="E1002" i="7"/>
  <c r="E959" i="7"/>
  <c r="E1147" i="7"/>
  <c r="E1226" i="7"/>
  <c r="E1224" i="7"/>
  <c r="E1128" i="7"/>
  <c r="E1131" i="7"/>
  <c r="E1187" i="7"/>
  <c r="E1066" i="7"/>
  <c r="E1230" i="7"/>
  <c r="E911" i="7"/>
  <c r="E1050" i="7"/>
  <c r="E1164" i="7"/>
  <c r="E1191" i="7"/>
  <c r="E1167" i="7"/>
  <c r="E952" i="7"/>
  <c r="E1216" i="7"/>
  <c r="E1168" i="7"/>
  <c r="E903" i="7"/>
  <c r="E985" i="7"/>
  <c r="E1133" i="7"/>
  <c r="E1055" i="7"/>
  <c r="E1060" i="7"/>
  <c r="E1135" i="7"/>
  <c r="E1021" i="7"/>
  <c r="E973" i="7"/>
  <c r="E981" i="7"/>
  <c r="E1038" i="7"/>
  <c r="E1158" i="7"/>
  <c r="E1233" i="7"/>
  <c r="E1148" i="7"/>
  <c r="E1160" i="7"/>
  <c r="E1020" i="7"/>
  <c r="E930" i="7"/>
  <c r="E940" i="7"/>
  <c r="E1118" i="7"/>
  <c r="E1222" i="7"/>
  <c r="E934" i="7"/>
  <c r="E1005" i="7"/>
  <c r="E1022" i="7"/>
  <c r="E947" i="7"/>
  <c r="E980" i="7"/>
  <c r="E1079" i="7"/>
  <c r="E939" i="7"/>
  <c r="E1046" i="7"/>
  <c r="E1088" i="7"/>
  <c r="E1238" i="7"/>
  <c r="E1024" i="7"/>
  <c r="E1239" i="7"/>
  <c r="E1234" i="7"/>
  <c r="E986" i="7"/>
  <c r="E1204" i="7"/>
  <c r="E1195" i="7"/>
  <c r="E915" i="7"/>
  <c r="E928" i="7"/>
  <c r="E904" i="7"/>
  <c r="E1110" i="7"/>
  <c r="E1189" i="7"/>
  <c r="E1093" i="7"/>
  <c r="E1083" i="7"/>
  <c r="E1013" i="7"/>
  <c r="E1098" i="7"/>
  <c r="E1175" i="7"/>
  <c r="E1012" i="7"/>
  <c r="E1150" i="7"/>
  <c r="E1025" i="7"/>
  <c r="E1107" i="7"/>
  <c r="E1057" i="7"/>
  <c r="E1029" i="7"/>
  <c r="E965" i="7"/>
  <c r="E1174" i="7"/>
  <c r="E93" i="7"/>
  <c r="E1169" i="7"/>
  <c r="E1143" i="7"/>
  <c r="E990" i="7"/>
  <c r="E1045" i="7"/>
  <c r="E993" i="7"/>
  <c r="E1185" i="7"/>
  <c r="E1053" i="7"/>
  <c r="E1092" i="7"/>
  <c r="E1071" i="7"/>
  <c r="E1008" i="7"/>
  <c r="E1166" i="7"/>
  <c r="E1112" i="7"/>
  <c r="E1125" i="7"/>
  <c r="E1221" i="7"/>
  <c r="E1235" i="7"/>
  <c r="E1102" i="7"/>
  <c r="E1109" i="7"/>
  <c r="E1065" i="7"/>
  <c r="E1096" i="7"/>
  <c r="E1076" i="7"/>
  <c r="E1009" i="7"/>
  <c r="E1152" i="7"/>
  <c r="E1214" i="7"/>
  <c r="E1082" i="7"/>
  <c r="E1095" i="7"/>
  <c r="E1075" i="7"/>
  <c r="E1212" i="7"/>
  <c r="E941" i="7"/>
  <c r="E991" i="7"/>
  <c r="E951" i="7"/>
  <c r="E923" i="7"/>
  <c r="E969" i="7"/>
  <c r="E975" i="7"/>
  <c r="E1052" i="7"/>
  <c r="E1041" i="7"/>
  <c r="E1123" i="7"/>
  <c r="E955" i="7"/>
  <c r="E1173" i="7"/>
  <c r="E1130" i="7"/>
  <c r="E1044" i="7"/>
  <c r="E946" i="7"/>
  <c r="E935" i="7"/>
  <c r="E1211" i="7"/>
  <c r="E1069" i="7"/>
  <c r="E1058" i="7"/>
  <c r="E1141" i="7"/>
  <c r="E1100" i="7"/>
  <c r="E977" i="7"/>
  <c r="E920" i="7"/>
  <c r="E967" i="7"/>
  <c r="E1136" i="7"/>
  <c r="E1084" i="7"/>
  <c r="E1138" i="7"/>
  <c r="E1004" i="7"/>
  <c r="E1101" i="7"/>
  <c r="E971" i="7"/>
  <c r="E1117" i="7"/>
  <c r="E1228" i="7"/>
  <c r="E1217" i="7"/>
  <c r="E1154" i="7"/>
  <c r="E1183" i="7"/>
  <c r="E1231" i="7"/>
  <c r="E1215" i="7"/>
  <c r="E948" i="7"/>
  <c r="E1200" i="7"/>
  <c r="E1036" i="7"/>
  <c r="E953" i="7"/>
  <c r="E1171" i="7"/>
  <c r="E1026" i="7"/>
  <c r="E1137" i="7"/>
  <c r="E1074" i="7"/>
  <c r="E995" i="7"/>
  <c r="E983" i="7"/>
  <c r="E1081" i="7"/>
  <c r="E1180" i="7"/>
  <c r="E1240" i="7"/>
  <c r="E1077" i="7"/>
  <c r="E1162" i="7"/>
  <c r="E1103" i="7"/>
  <c r="E908" i="7"/>
  <c r="F918" i="7" l="1"/>
  <c r="F971" i="7"/>
  <c r="F1000" i="7"/>
  <c r="F1055" i="7"/>
  <c r="F1101" i="7"/>
  <c r="F1126" i="7"/>
  <c r="F1133" i="7"/>
  <c r="F1139" i="7"/>
  <c r="F1146" i="7"/>
  <c r="F1152" i="7"/>
  <c r="F1158" i="7"/>
  <c r="F1165" i="7"/>
  <c r="F1171" i="7"/>
  <c r="F1178" i="7"/>
  <c r="F1184" i="7"/>
  <c r="F1190" i="7"/>
  <c r="F1197" i="7"/>
  <c r="F1203" i="7"/>
  <c r="F1210" i="7"/>
  <c r="F1216" i="7"/>
  <c r="F1222" i="7"/>
  <c r="F1229" i="7"/>
  <c r="F1235" i="7"/>
  <c r="F940" i="7"/>
  <c r="F1048" i="7"/>
  <c r="F1120" i="7"/>
  <c r="F941" i="7"/>
  <c r="F1009" i="7"/>
  <c r="F1062" i="7"/>
  <c r="F1115" i="7"/>
  <c r="F1172" i="7"/>
  <c r="F1236" i="7"/>
  <c r="F947" i="7"/>
  <c r="F1040" i="7"/>
  <c r="F1107" i="7"/>
  <c r="F980" i="7"/>
  <c r="F1041" i="7"/>
  <c r="F1069" i="7"/>
  <c r="F1108" i="7"/>
  <c r="F1134" i="7"/>
  <c r="F1147" i="7"/>
  <c r="F1191" i="7"/>
  <c r="F1230" i="7"/>
  <c r="F904" i="7"/>
  <c r="F920" i="7"/>
  <c r="F928" i="7"/>
  <c r="F935" i="7"/>
  <c r="F942" i="7"/>
  <c r="F949" i="7"/>
  <c r="F957" i="7"/>
  <c r="F965" i="7"/>
  <c r="F973" i="7"/>
  <c r="F981" i="7"/>
  <c r="F988" i="7"/>
  <c r="F995" i="7"/>
  <c r="F1002" i="7"/>
  <c r="F1010" i="7"/>
  <c r="F1018" i="7"/>
  <c r="F1026" i="7"/>
  <c r="F1034" i="7"/>
  <c r="F1042" i="7"/>
  <c r="F1050" i="7"/>
  <c r="F1057" i="7"/>
  <c r="F1063" i="7"/>
  <c r="F1070" i="7"/>
  <c r="F1076" i="7"/>
  <c r="F1083" i="7"/>
  <c r="F1089" i="7"/>
  <c r="F1096" i="7"/>
  <c r="F1103" i="7"/>
  <c r="F1109" i="7"/>
  <c r="F1116" i="7"/>
  <c r="F1122" i="7"/>
  <c r="F1128" i="7"/>
  <c r="F1135" i="7"/>
  <c r="F1141" i="7"/>
  <c r="F1148" i="7"/>
  <c r="F1154" i="7"/>
  <c r="F1160" i="7"/>
  <c r="F1167" i="7"/>
  <c r="F1173" i="7"/>
  <c r="F1180" i="7"/>
  <c r="F1186" i="7"/>
  <c r="F1192" i="7"/>
  <c r="F1199" i="7"/>
  <c r="F1205" i="7"/>
  <c r="F1212" i="7"/>
  <c r="F1218" i="7"/>
  <c r="F1224" i="7"/>
  <c r="F1231" i="7"/>
  <c r="F1237" i="7"/>
  <c r="F955" i="7"/>
  <c r="F1024" i="7"/>
  <c r="F1114" i="7"/>
  <c r="F911" i="7"/>
  <c r="F956" i="7"/>
  <c r="F1001" i="7"/>
  <c r="F1056" i="7"/>
  <c r="F1102" i="7"/>
  <c r="F1121" i="7"/>
  <c r="F1140" i="7"/>
  <c r="F1159" i="7"/>
  <c r="F1204" i="7"/>
  <c r="F1223" i="7"/>
  <c r="F912" i="7"/>
  <c r="F979" i="7"/>
  <c r="F1068" i="7"/>
  <c r="F948" i="7"/>
  <c r="F1025" i="7"/>
  <c r="F1082" i="7"/>
  <c r="F1127" i="7"/>
  <c r="F1153" i="7"/>
  <c r="F1217" i="7"/>
  <c r="F898" i="7"/>
  <c r="F906" i="7"/>
  <c r="F914" i="7"/>
  <c r="F922" i="7"/>
  <c r="F930" i="7"/>
  <c r="F937" i="7"/>
  <c r="F944" i="7"/>
  <c r="F951" i="7"/>
  <c r="F959" i="7"/>
  <c r="F967" i="7"/>
  <c r="F975" i="7"/>
  <c r="F983" i="7"/>
  <c r="F990" i="7"/>
  <c r="F997" i="7"/>
  <c r="F1004" i="7"/>
  <c r="F1012" i="7"/>
  <c r="F1020" i="7"/>
  <c r="F1028" i="7"/>
  <c r="F1036" i="7"/>
  <c r="F1044" i="7"/>
  <c r="F1052" i="7"/>
  <c r="F1058" i="7"/>
  <c r="F1064" i="7"/>
  <c r="F1071" i="7"/>
  <c r="F1077" i="7"/>
  <c r="F1084" i="7"/>
  <c r="F1091" i="7"/>
  <c r="F1098" i="7"/>
  <c r="F1104" i="7"/>
  <c r="F1110" i="7"/>
  <c r="F1117" i="7"/>
  <c r="F1123" i="7"/>
  <c r="F1130" i="7"/>
  <c r="F1136" i="7"/>
  <c r="F1142" i="7"/>
  <c r="F1149" i="7"/>
  <c r="F1155" i="7"/>
  <c r="F1162" i="7"/>
  <c r="F1168" i="7"/>
  <c r="F1174" i="7"/>
  <c r="F1181" i="7"/>
  <c r="F1187" i="7"/>
  <c r="F1194" i="7"/>
  <c r="F1200" i="7"/>
  <c r="F1206" i="7"/>
  <c r="F1213" i="7"/>
  <c r="F1219" i="7"/>
  <c r="F1226" i="7"/>
  <c r="F1232" i="7"/>
  <c r="F1238" i="7"/>
  <c r="F933" i="7"/>
  <c r="F1016" i="7"/>
  <c r="F1094" i="7"/>
  <c r="F934" i="7"/>
  <c r="F1033" i="7"/>
  <c r="F1166" i="7"/>
  <c r="F963" i="7"/>
  <c r="F1032" i="7"/>
  <c r="F1081" i="7"/>
  <c r="F919" i="7"/>
  <c r="F972" i="7"/>
  <c r="F1049" i="7"/>
  <c r="F1095" i="7"/>
  <c r="F1185" i="7"/>
  <c r="F899" i="7"/>
  <c r="F907" i="7"/>
  <c r="F915" i="7"/>
  <c r="F923" i="7"/>
  <c r="F931" i="7"/>
  <c r="F938" i="7"/>
  <c r="F945" i="7"/>
  <c r="F952" i="7"/>
  <c r="F960" i="7"/>
  <c r="F968" i="7"/>
  <c r="F976" i="7"/>
  <c r="F984" i="7"/>
  <c r="F991" i="7"/>
  <c r="F998" i="7"/>
  <c r="F1005" i="7"/>
  <c r="F1013" i="7"/>
  <c r="F1021" i="7"/>
  <c r="F1029" i="7"/>
  <c r="F1037" i="7"/>
  <c r="F1045" i="7"/>
  <c r="F1053" i="7"/>
  <c r="F1059" i="7"/>
  <c r="F1065" i="7"/>
  <c r="F1072" i="7"/>
  <c r="F1078" i="7"/>
  <c r="F1085" i="7"/>
  <c r="F1092" i="7"/>
  <c r="F1099" i="7"/>
  <c r="F1105" i="7"/>
  <c r="F1111" i="7"/>
  <c r="F1118" i="7"/>
  <c r="F1124" i="7"/>
  <c r="F1131" i="7"/>
  <c r="F1137" i="7"/>
  <c r="F1143" i="7"/>
  <c r="F1150" i="7"/>
  <c r="F1156" i="7"/>
  <c r="F1163" i="7"/>
  <c r="F1169" i="7"/>
  <c r="F1175" i="7"/>
  <c r="F1182" i="7"/>
  <c r="F1188" i="7"/>
  <c r="F1195" i="7"/>
  <c r="F1201" i="7"/>
  <c r="F1207" i="7"/>
  <c r="F1214" i="7"/>
  <c r="F1220" i="7"/>
  <c r="F1227" i="7"/>
  <c r="F1233" i="7"/>
  <c r="F1239" i="7"/>
  <c r="F926" i="7"/>
  <c r="F1008" i="7"/>
  <c r="F1087" i="7"/>
  <c r="F994" i="7"/>
  <c r="F1211" i="7"/>
  <c r="F902" i="7"/>
  <c r="F986" i="7"/>
  <c r="F1061" i="7"/>
  <c r="F903" i="7"/>
  <c r="F964" i="7"/>
  <c r="F1017" i="7"/>
  <c r="F1088" i="7"/>
  <c r="F1179" i="7"/>
  <c r="F900" i="7"/>
  <c r="F908" i="7"/>
  <c r="F916" i="7"/>
  <c r="F924" i="7"/>
  <c r="F932" i="7"/>
  <c r="F946" i="7"/>
  <c r="F953" i="7"/>
  <c r="F961" i="7"/>
  <c r="F969" i="7"/>
  <c r="F977" i="7"/>
  <c r="F985" i="7"/>
  <c r="F992" i="7"/>
  <c r="F999" i="7"/>
  <c r="F1006" i="7"/>
  <c r="F1014" i="7"/>
  <c r="F1022" i="7"/>
  <c r="F1030" i="7"/>
  <c r="F1038" i="7"/>
  <c r="F1046" i="7"/>
  <c r="F1054" i="7"/>
  <c r="F1060" i="7"/>
  <c r="F1066" i="7"/>
  <c r="F1073" i="7"/>
  <c r="F1079" i="7"/>
  <c r="F1086" i="7"/>
  <c r="F1093" i="7"/>
  <c r="F1100" i="7"/>
  <c r="F1106" i="7"/>
  <c r="F1112" i="7"/>
  <c r="F1119" i="7"/>
  <c r="F1125" i="7"/>
  <c r="F1132" i="7"/>
  <c r="F1138" i="7"/>
  <c r="F1144" i="7"/>
  <c r="F1151" i="7"/>
  <c r="F1157" i="7"/>
  <c r="F1164" i="7"/>
  <c r="F1170" i="7"/>
  <c r="F1176" i="7"/>
  <c r="F1183" i="7"/>
  <c r="F1189" i="7"/>
  <c r="F1196" i="7"/>
  <c r="F1202" i="7"/>
  <c r="F1208" i="7"/>
  <c r="F1215" i="7"/>
  <c r="F1221" i="7"/>
  <c r="F1228" i="7"/>
  <c r="F1234" i="7"/>
  <c r="F1240" i="7"/>
  <c r="F910" i="7"/>
  <c r="F993" i="7"/>
  <c r="F1074" i="7"/>
  <c r="F927" i="7"/>
  <c r="F987" i="7"/>
  <c r="F1075" i="7"/>
  <c r="F1198" i="7"/>
  <c r="F939" i="7"/>
  <c r="BV188" i="8"/>
  <c r="BS188" i="8"/>
  <c r="BP188" i="8"/>
  <c r="BM188" i="8"/>
  <c r="BJ188" i="8"/>
  <c r="BV187" i="8"/>
  <c r="BS187" i="8"/>
  <c r="BP187" i="8"/>
  <c r="BM187" i="8"/>
  <c r="BJ187" i="8"/>
  <c r="BV186" i="8"/>
  <c r="BS186" i="8"/>
  <c r="BP186" i="8"/>
  <c r="BM186" i="8"/>
  <c r="BJ186" i="8"/>
  <c r="BV185" i="8"/>
  <c r="BS185" i="8"/>
  <c r="BP185" i="8"/>
  <c r="BM185" i="8"/>
  <c r="BJ185" i="8"/>
  <c r="BV184" i="8"/>
  <c r="BS184" i="8"/>
  <c r="BP184" i="8"/>
  <c r="BM184" i="8"/>
  <c r="BJ184" i="8"/>
  <c r="BV183" i="8"/>
  <c r="BS183" i="8"/>
  <c r="BP183" i="8"/>
  <c r="BM183" i="8"/>
  <c r="BJ183" i="8"/>
  <c r="BV182" i="8"/>
  <c r="BS182" i="8"/>
  <c r="BP182" i="8"/>
  <c r="BM182" i="8"/>
  <c r="BJ182" i="8"/>
  <c r="BV181" i="8"/>
  <c r="BS181" i="8"/>
  <c r="BP181" i="8"/>
  <c r="BM181" i="8"/>
  <c r="BJ181" i="8"/>
  <c r="BV180" i="8"/>
  <c r="BS180" i="8"/>
  <c r="BP180" i="8"/>
  <c r="BM180" i="8"/>
  <c r="BJ180" i="8"/>
  <c r="BV179" i="8"/>
  <c r="BS179" i="8"/>
  <c r="BV178" i="8"/>
  <c r="BS178" i="8"/>
  <c r="BP178" i="8"/>
  <c r="BV177" i="8"/>
  <c r="BS177" i="8"/>
  <c r="BP177" i="8"/>
  <c r="BM177" i="8"/>
  <c r="BV176" i="8"/>
  <c r="BS176" i="8"/>
  <c r="BP176" i="8"/>
  <c r="BM176" i="8"/>
  <c r="BJ176" i="8"/>
  <c r="BV175" i="8"/>
  <c r="BV174" i="8"/>
  <c r="BV173" i="8"/>
  <c r="BV172" i="8"/>
  <c r="BS171" i="8"/>
  <c r="BS170" i="8"/>
  <c r="BS169" i="8"/>
  <c r="BS168" i="8"/>
  <c r="BP167" i="8"/>
  <c r="BP166" i="8"/>
  <c r="BP165" i="8"/>
  <c r="BP164" i="8"/>
  <c r="BM163" i="8"/>
  <c r="BJ163" i="8"/>
  <c r="BM162" i="8"/>
  <c r="BJ162" i="8"/>
  <c r="BM161" i="8"/>
  <c r="BJ161" i="8"/>
  <c r="BM160" i="8"/>
  <c r="BM159" i="8"/>
  <c r="BM158" i="8"/>
  <c r="BM157" i="8"/>
  <c r="BJ156" i="8"/>
  <c r="BJ155" i="8"/>
  <c r="BJ154" i="8"/>
  <c r="BJ153" i="8"/>
  <c r="BG152" i="8"/>
  <c r="BD152" i="8"/>
  <c r="BG151" i="8"/>
  <c r="BD151" i="8"/>
  <c r="BG150" i="8"/>
  <c r="BD150" i="8"/>
  <c r="BG149" i="8"/>
  <c r="BG148" i="8"/>
  <c r="BG147" i="8"/>
  <c r="BG146" i="8"/>
  <c r="BD145" i="8"/>
  <c r="BD144" i="8"/>
  <c r="BD143" i="8"/>
  <c r="BD142" i="8"/>
  <c r="E876" i="7"/>
  <c r="E717" i="7"/>
  <c r="E741" i="7"/>
  <c r="E718" i="7"/>
  <c r="E843" i="7"/>
  <c r="E861" i="7"/>
  <c r="E666" i="7"/>
  <c r="E726" i="7"/>
  <c r="E811" i="7"/>
  <c r="E836" i="7"/>
  <c r="E690" i="7"/>
  <c r="E791" i="7"/>
  <c r="E885" i="7"/>
  <c r="E776" i="7"/>
  <c r="E701" i="7"/>
  <c r="E814" i="7"/>
  <c r="E807" i="7"/>
  <c r="E822" i="7"/>
  <c r="E753" i="7"/>
  <c r="E873" i="7"/>
  <c r="E803" i="7"/>
  <c r="E871" i="7"/>
  <c r="E689" i="7"/>
  <c r="E693" i="7"/>
  <c r="E837" i="7"/>
  <c r="E817" i="7"/>
  <c r="E714" i="7"/>
  <c r="E845" i="7"/>
  <c r="E692" i="7"/>
  <c r="E868" i="7"/>
  <c r="E665" i="7"/>
  <c r="E771" i="7"/>
  <c r="E737" i="7"/>
  <c r="E830" i="7"/>
  <c r="E823" i="7"/>
  <c r="E769" i="7"/>
  <c r="E819" i="7"/>
  <c r="E893" i="7"/>
  <c r="E850" i="7"/>
  <c r="E782" i="7"/>
  <c r="E778" i="7"/>
  <c r="E833" i="7"/>
  <c r="E680" i="7"/>
  <c r="E847" i="7"/>
  <c r="E841" i="7"/>
  <c r="E770" i="7"/>
  <c r="E884" i="7"/>
  <c r="E818" i="7"/>
  <c r="E892" i="7"/>
  <c r="E707" i="7"/>
  <c r="E710" i="7"/>
  <c r="E787" i="7"/>
  <c r="E806" i="7"/>
  <c r="E767" i="7"/>
  <c r="E683" i="7"/>
  <c r="E890" i="7"/>
  <c r="E874" i="7"/>
  <c r="E678" i="7"/>
  <c r="E743" i="7"/>
  <c r="E878" i="7"/>
  <c r="E839" i="7"/>
  <c r="E705" i="7"/>
  <c r="E815" i="7"/>
  <c r="E732" i="7"/>
  <c r="E716" i="7"/>
  <c r="E882" i="7"/>
  <c r="E746" i="7"/>
  <c r="E838" i="7"/>
  <c r="E867" i="7"/>
  <c r="E696" i="7"/>
  <c r="E702" i="7"/>
  <c r="E759" i="7"/>
  <c r="E824" i="7"/>
  <c r="E805" i="7"/>
  <c r="E684" i="7"/>
  <c r="E675" i="7"/>
  <c r="E835" i="7"/>
  <c r="E688" i="7"/>
  <c r="E821" i="7"/>
  <c r="E852" i="7"/>
  <c r="E877" i="7"/>
  <c r="E698" i="7"/>
  <c r="E779" i="7"/>
  <c r="E801" i="7"/>
  <c r="E722" i="7"/>
  <c r="E795" i="7"/>
  <c r="E704" i="7"/>
  <c r="E775" i="7"/>
  <c r="E889" i="7"/>
  <c r="E783" i="7"/>
  <c r="E747" i="7"/>
  <c r="E855" i="7"/>
  <c r="E866" i="7"/>
  <c r="E827" i="7"/>
  <c r="E752" i="7"/>
  <c r="E654" i="7"/>
  <c r="E758" i="7"/>
  <c r="E792" i="7"/>
  <c r="E729" i="7"/>
  <c r="E723" i="7"/>
  <c r="E857" i="7"/>
  <c r="E888" i="7"/>
  <c r="E804" i="7"/>
  <c r="E674" i="7"/>
  <c r="E870" i="7"/>
  <c r="E772" i="7"/>
  <c r="E794" i="7"/>
  <c r="E785" i="7"/>
  <c r="E731" i="7"/>
  <c r="E685" i="7"/>
  <c r="E832" i="7"/>
  <c r="E816" i="7"/>
  <c r="E808" i="7"/>
  <c r="E774" i="7"/>
  <c r="E756" i="7"/>
  <c r="E789" i="7"/>
  <c r="E728" i="7"/>
  <c r="E800" i="7"/>
  <c r="E669" i="7"/>
  <c r="E891" i="7"/>
  <c r="E881" i="7"/>
  <c r="E657" i="7"/>
  <c r="E765" i="7"/>
  <c r="E848" i="7"/>
  <c r="E840" i="7"/>
  <c r="E894" i="7"/>
  <c r="E834" i="7"/>
  <c r="E863" i="7"/>
  <c r="E744" i="7"/>
  <c r="E788" i="7"/>
  <c r="E695" i="7"/>
  <c r="E887" i="7"/>
  <c r="E749" i="7"/>
  <c r="E724" i="7"/>
  <c r="E671" i="7"/>
  <c r="E865" i="7"/>
  <c r="E699" i="7"/>
  <c r="E781" i="7"/>
  <c r="E738" i="7"/>
  <c r="E735" i="7"/>
  <c r="E799" i="7"/>
  <c r="E813" i="7"/>
  <c r="E879" i="7"/>
  <c r="E721" i="7"/>
  <c r="E896" i="7"/>
  <c r="E768" i="7"/>
  <c r="E750" i="7"/>
  <c r="E810" i="7"/>
  <c r="E672" i="7"/>
  <c r="E711" i="7"/>
  <c r="E802" i="7"/>
  <c r="E851" i="7"/>
  <c r="E764" i="7"/>
  <c r="E883" i="7"/>
  <c r="E869" i="7"/>
  <c r="E790" i="7"/>
  <c r="E761" i="7"/>
  <c r="E856" i="7"/>
  <c r="E679" i="7"/>
  <c r="E849" i="7"/>
  <c r="E762" i="7"/>
  <c r="E734" i="7"/>
  <c r="E773" i="7"/>
  <c r="E740" i="7"/>
  <c r="E859" i="7"/>
  <c r="E668" i="7"/>
  <c r="E812" i="7"/>
  <c r="E780" i="7"/>
  <c r="E872" i="7"/>
  <c r="E727" i="7"/>
  <c r="E713" i="7"/>
  <c r="E854" i="7"/>
  <c r="E862" i="7"/>
  <c r="E784" i="7"/>
  <c r="E719" i="7"/>
  <c r="E846" i="7"/>
  <c r="E755" i="7"/>
  <c r="E829" i="7"/>
  <c r="E880" i="7"/>
  <c r="E858" i="7"/>
  <c r="E660" i="7"/>
  <c r="E796" i="7"/>
  <c r="E828" i="7"/>
  <c r="E663" i="7"/>
  <c r="E825" i="7"/>
  <c r="E708" i="7"/>
  <c r="E826" i="7"/>
  <c r="E860" i="7"/>
  <c r="E895" i="7"/>
  <c r="E797" i="7"/>
  <c r="E844" i="7"/>
  <c r="BA141" i="8" l="1"/>
  <c r="AY141" i="8"/>
  <c r="AW141" i="8"/>
  <c r="AU141" i="8"/>
  <c r="AS141" i="8"/>
  <c r="BA140" i="8"/>
  <c r="AY140" i="8"/>
  <c r="AW140" i="8"/>
  <c r="AU140" i="8"/>
  <c r="AS140" i="8"/>
  <c r="BA139" i="8"/>
  <c r="AY139" i="8"/>
  <c r="AW139" i="8"/>
  <c r="AU139" i="8"/>
  <c r="AS139" i="8"/>
  <c r="BA138" i="8"/>
  <c r="AY138" i="8"/>
  <c r="AW138" i="8"/>
  <c r="AU138" i="8"/>
  <c r="AS138" i="8"/>
  <c r="BA137" i="8"/>
  <c r="AY137" i="8"/>
  <c r="AW137" i="8"/>
  <c r="AU137" i="8"/>
  <c r="AS137" i="8"/>
  <c r="BA136" i="8"/>
  <c r="AY136" i="8"/>
  <c r="AW136" i="8"/>
  <c r="AU136" i="8"/>
  <c r="AS136" i="8"/>
  <c r="BA135" i="8"/>
  <c r="AY135" i="8"/>
  <c r="AW135" i="8"/>
  <c r="AU135" i="8"/>
  <c r="AS135" i="8"/>
  <c r="BA134" i="8"/>
  <c r="AY134" i="8"/>
  <c r="AW134" i="8"/>
  <c r="AU134" i="8"/>
  <c r="AS134" i="8"/>
  <c r="BA133" i="8"/>
  <c r="AY133" i="8"/>
  <c r="AW133" i="8"/>
  <c r="AU133" i="8"/>
  <c r="AS133" i="8"/>
  <c r="BA132" i="8"/>
  <c r="AY132" i="8"/>
  <c r="BA131" i="8"/>
  <c r="AY131" i="8"/>
  <c r="AW131" i="8"/>
  <c r="BA130" i="8"/>
  <c r="AY130" i="8"/>
  <c r="AW130" i="8"/>
  <c r="AU130" i="8"/>
  <c r="BA129" i="8"/>
  <c r="AY129" i="8"/>
  <c r="AW129" i="8"/>
  <c r="AU129" i="8"/>
  <c r="AS129" i="8"/>
  <c r="BA128" i="8"/>
  <c r="BA127" i="8"/>
  <c r="BA126" i="8"/>
  <c r="BA125" i="8"/>
  <c r="AY124" i="8"/>
  <c r="AY123" i="8"/>
  <c r="AY122" i="8"/>
  <c r="AY121" i="8"/>
  <c r="AW120" i="8"/>
  <c r="AW119" i="8"/>
  <c r="AW118" i="8"/>
  <c r="AW117" i="8"/>
  <c r="AU116" i="8"/>
  <c r="AS116" i="8"/>
  <c r="AU115" i="8"/>
  <c r="AS115" i="8"/>
  <c r="AU114" i="8"/>
  <c r="AS114" i="8"/>
  <c r="AU113" i="8"/>
  <c r="AU112" i="8"/>
  <c r="AU111" i="8"/>
  <c r="AU110" i="8"/>
  <c r="AS109" i="8"/>
  <c r="AS108" i="8"/>
  <c r="AS107" i="8"/>
  <c r="AS106" i="8"/>
  <c r="AQ105" i="8"/>
  <c r="AO105" i="8"/>
  <c r="AQ104" i="8"/>
  <c r="AO104" i="8"/>
  <c r="AQ103" i="8"/>
  <c r="AO103" i="8"/>
  <c r="AQ102" i="8"/>
  <c r="AQ101" i="8"/>
  <c r="AQ100" i="8"/>
  <c r="AQ99" i="8"/>
  <c r="AO98" i="8"/>
  <c r="AO97" i="8"/>
  <c r="AO96" i="8"/>
  <c r="AO95" i="8"/>
  <c r="AM94" i="8"/>
  <c r="AJ94" i="8"/>
  <c r="AG94" i="8"/>
  <c r="AD94" i="8"/>
  <c r="AM93" i="8"/>
  <c r="AJ93" i="8"/>
  <c r="AG93" i="8"/>
  <c r="AD93" i="8"/>
  <c r="AA93" i="8"/>
  <c r="AJ92" i="8"/>
  <c r="AG92" i="8"/>
  <c r="AD92" i="8"/>
  <c r="AA92" i="8"/>
  <c r="AM91" i="8"/>
  <c r="AJ91" i="8"/>
  <c r="AG91" i="8"/>
  <c r="AD91" i="8"/>
  <c r="AA91" i="8"/>
  <c r="E607" i="7"/>
  <c r="E633" i="7"/>
  <c r="E598" i="7"/>
  <c r="E647" i="7"/>
  <c r="E662" i="7"/>
  <c r="E653" i="7"/>
  <c r="E643" i="7"/>
  <c r="E602" i="7"/>
  <c r="E677" i="7"/>
  <c r="E611" i="7"/>
  <c r="E687" i="7"/>
  <c r="E610" i="7"/>
  <c r="E617" i="7"/>
  <c r="E589" i="7"/>
  <c r="E592" i="7"/>
  <c r="E609" i="7"/>
  <c r="E599" i="7"/>
  <c r="E639" i="7"/>
  <c r="E651" i="7"/>
  <c r="E682" i="7"/>
  <c r="E591" i="7"/>
  <c r="E640" i="7"/>
  <c r="E590" i="7"/>
  <c r="E621" i="7"/>
  <c r="E606" i="7"/>
  <c r="E594" i="7"/>
  <c r="E635" i="7"/>
  <c r="E659" i="7"/>
  <c r="E642" i="7"/>
  <c r="E597" i="7"/>
  <c r="E627" i="7"/>
  <c r="E644" i="7"/>
  <c r="E631" i="7"/>
  <c r="E623" i="7"/>
  <c r="E622" i="7"/>
  <c r="E646" i="7"/>
  <c r="E629" i="7"/>
  <c r="E619" i="7"/>
  <c r="E618" i="7"/>
  <c r="E632" i="7"/>
  <c r="E603" i="7"/>
  <c r="E615" i="7"/>
  <c r="E612" i="7"/>
  <c r="E595" i="7"/>
  <c r="E596" i="7"/>
  <c r="E650" i="7"/>
  <c r="E593" i="7"/>
  <c r="E601" i="7"/>
  <c r="E649" i="7"/>
  <c r="E628" i="7"/>
  <c r="E614" i="7"/>
  <c r="E616" i="7"/>
  <c r="E605" i="7"/>
  <c r="E656" i="7"/>
  <c r="E624" i="7"/>
  <c r="E600" i="7"/>
  <c r="E638" i="7"/>
  <c r="E630" i="7"/>
  <c r="E648" i="7"/>
  <c r="E626" i="7"/>
  <c r="E637" i="7"/>
  <c r="E608" i="7"/>
  <c r="E645" i="7"/>
  <c r="E641" i="7"/>
  <c r="E625" i="7"/>
  <c r="E634" i="7"/>
  <c r="E613" i="7"/>
  <c r="F776" i="7" l="1"/>
  <c r="F803" i="7"/>
  <c r="F817" i="7"/>
  <c r="F780" i="7"/>
  <c r="F851" i="7"/>
  <c r="F887" i="7"/>
  <c r="F705" i="7"/>
  <c r="F755" i="7"/>
  <c r="F672" i="7"/>
  <c r="F688" i="7"/>
  <c r="F726" i="7"/>
  <c r="F744" i="7"/>
  <c r="F789" i="7"/>
  <c r="F804" i="7"/>
  <c r="F665" i="7"/>
  <c r="F682" i="7"/>
  <c r="F698" i="7"/>
  <c r="F717" i="7"/>
  <c r="F767" i="7"/>
  <c r="F781" i="7"/>
  <c r="F821" i="7"/>
  <c r="F835" i="7"/>
  <c r="F844" i="7"/>
  <c r="F852" i="7"/>
  <c r="F861" i="7"/>
  <c r="F870" i="7"/>
  <c r="F879" i="7"/>
  <c r="F666" i="7"/>
  <c r="F761" i="7"/>
  <c r="F653" i="7"/>
  <c r="F795" i="7"/>
  <c r="F834" i="7"/>
  <c r="F869" i="7"/>
  <c r="F826" i="7"/>
  <c r="F737" i="7"/>
  <c r="F756" i="7"/>
  <c r="F799" i="7"/>
  <c r="F813" i="7"/>
  <c r="F659" i="7"/>
  <c r="F711" i="7"/>
  <c r="F671" i="7"/>
  <c r="F687" i="7"/>
  <c r="F743" i="7"/>
  <c r="F762" i="7"/>
  <c r="F716" i="7"/>
  <c r="F732" i="7"/>
  <c r="F843" i="7"/>
  <c r="F860" i="7"/>
  <c r="F878" i="7"/>
  <c r="F654" i="7"/>
  <c r="F772" i="7"/>
  <c r="F812" i="7"/>
  <c r="F710" i="7"/>
  <c r="F727" i="7"/>
  <c r="F775" i="7"/>
  <c r="F790" i="7"/>
  <c r="F829" i="7"/>
  <c r="F891" i="7"/>
  <c r="F683" i="7"/>
  <c r="F699" i="7"/>
  <c r="F749" i="7"/>
  <c r="F768" i="7"/>
  <c r="F807" i="7"/>
  <c r="F822" i="7"/>
  <c r="F838" i="7"/>
  <c r="F847" i="7"/>
  <c r="F856" i="7"/>
  <c r="F865" i="7"/>
  <c r="F873" i="7"/>
  <c r="F882" i="7"/>
  <c r="F677" i="7"/>
  <c r="F692" i="7"/>
  <c r="F721" i="7"/>
  <c r="F738" i="7"/>
  <c r="F784" i="7"/>
  <c r="F800" i="7"/>
  <c r="F816" i="7"/>
  <c r="F830" i="7"/>
  <c r="F895" i="7"/>
  <c r="F883" i="7"/>
  <c r="F731" i="7"/>
  <c r="F750" i="7"/>
  <c r="F794" i="7"/>
  <c r="F808" i="7"/>
  <c r="F839" i="7"/>
  <c r="F848" i="7"/>
  <c r="F857" i="7"/>
  <c r="F866" i="7"/>
  <c r="F874" i="7"/>
  <c r="F660" i="7"/>
  <c r="F678" i="7"/>
  <c r="F693" i="7"/>
  <c r="F704" i="7"/>
  <c r="F722" i="7"/>
  <c r="F771" i="7"/>
  <c r="F785" i="7"/>
  <c r="F825" i="7"/>
  <c r="F888" i="7"/>
  <c r="F892" i="7"/>
  <c r="F896" i="7"/>
  <c r="F656" i="7"/>
  <c r="F662" i="7"/>
  <c r="F668" i="7"/>
  <c r="F674" i="7"/>
  <c r="F679" i="7"/>
  <c r="F684" i="7"/>
  <c r="F689" i="7"/>
  <c r="F695" i="7"/>
  <c r="F701" i="7"/>
  <c r="F707" i="7"/>
  <c r="F713" i="7"/>
  <c r="F718" i="7"/>
  <c r="F723" i="7"/>
  <c r="F728" i="7"/>
  <c r="F734" i="7"/>
  <c r="F740" i="7"/>
  <c r="F746" i="7"/>
  <c r="F752" i="7"/>
  <c r="F758" i="7"/>
  <c r="F764" i="7"/>
  <c r="F769" i="7"/>
  <c r="F773" i="7"/>
  <c r="F778" i="7"/>
  <c r="F782" i="7"/>
  <c r="F787" i="7"/>
  <c r="F791" i="7"/>
  <c r="F796" i="7"/>
  <c r="F801" i="7"/>
  <c r="F805" i="7"/>
  <c r="F810" i="7"/>
  <c r="F814" i="7"/>
  <c r="F818" i="7"/>
  <c r="F823" i="7"/>
  <c r="F827" i="7"/>
  <c r="F832" i="7"/>
  <c r="F836" i="7"/>
  <c r="F840" i="7"/>
  <c r="F845" i="7"/>
  <c r="F849" i="7"/>
  <c r="F854" i="7"/>
  <c r="F858" i="7"/>
  <c r="F862" i="7"/>
  <c r="F867" i="7"/>
  <c r="F871" i="7"/>
  <c r="F876" i="7"/>
  <c r="F880" i="7"/>
  <c r="F884" i="7"/>
  <c r="F889" i="7"/>
  <c r="F893" i="7"/>
  <c r="F657" i="7"/>
  <c r="F663" i="7"/>
  <c r="F669" i="7"/>
  <c r="F675" i="7"/>
  <c r="F680" i="7"/>
  <c r="F685" i="7"/>
  <c r="F690" i="7"/>
  <c r="F696" i="7"/>
  <c r="F702" i="7"/>
  <c r="F708" i="7"/>
  <c r="F714" i="7"/>
  <c r="F719" i="7"/>
  <c r="F724" i="7"/>
  <c r="F729" i="7"/>
  <c r="F735" i="7"/>
  <c r="F741" i="7"/>
  <c r="F747" i="7"/>
  <c r="F753" i="7"/>
  <c r="F759" i="7"/>
  <c r="F765" i="7"/>
  <c r="F770" i="7"/>
  <c r="F774" i="7"/>
  <c r="F779" i="7"/>
  <c r="F783" i="7"/>
  <c r="F788" i="7"/>
  <c r="F792" i="7"/>
  <c r="F797" i="7"/>
  <c r="F802" i="7"/>
  <c r="F806" i="7"/>
  <c r="F811" i="7"/>
  <c r="F815" i="7"/>
  <c r="F819" i="7"/>
  <c r="F824" i="7"/>
  <c r="F828" i="7"/>
  <c r="F833" i="7"/>
  <c r="F837" i="7"/>
  <c r="F841" i="7"/>
  <c r="F846" i="7"/>
  <c r="F850" i="7"/>
  <c r="F855" i="7"/>
  <c r="F859" i="7"/>
  <c r="F863" i="7"/>
  <c r="F868" i="7"/>
  <c r="F872" i="7"/>
  <c r="F877" i="7"/>
  <c r="F881" i="7"/>
  <c r="F885" i="7"/>
  <c r="F890" i="7"/>
  <c r="F894" i="7"/>
  <c r="F648" i="7"/>
  <c r="F643" i="7"/>
  <c r="F646" i="7"/>
  <c r="F641" i="7"/>
  <c r="F642" i="7"/>
  <c r="F649" i="7"/>
  <c r="F638" i="7"/>
  <c r="F644" i="7"/>
  <c r="F639" i="7"/>
  <c r="F645" i="7"/>
  <c r="F651" i="7"/>
  <c r="F640" i="7"/>
  <c r="F647" i="7"/>
  <c r="F637" i="7"/>
  <c r="F650" i="7"/>
  <c r="F632" i="7"/>
  <c r="F625" i="7"/>
  <c r="F621" i="7"/>
  <c r="F627" i="7"/>
  <c r="F633" i="7"/>
  <c r="F624" i="7"/>
  <c r="F626" i="7"/>
  <c r="F634" i="7"/>
  <c r="F631" i="7"/>
  <c r="F622" i="7"/>
  <c r="F623" i="7"/>
  <c r="F629" i="7"/>
  <c r="F635" i="7"/>
  <c r="F630" i="7"/>
  <c r="F628" i="7"/>
  <c r="F610" i="7"/>
  <c r="F617" i="7"/>
  <c r="F606" i="7"/>
  <c r="F612" i="7"/>
  <c r="F607" i="7"/>
  <c r="F608" i="7"/>
  <c r="F614" i="7"/>
  <c r="F609" i="7"/>
  <c r="F615" i="7"/>
  <c r="F616" i="7"/>
  <c r="F605" i="7"/>
  <c r="F611" i="7"/>
  <c r="F618" i="7"/>
  <c r="F613" i="7"/>
  <c r="F619" i="7"/>
  <c r="F598" i="7"/>
  <c r="F600" i="7"/>
  <c r="F592" i="7"/>
  <c r="F589" i="7"/>
  <c r="F595" i="7"/>
  <c r="F601" i="7"/>
  <c r="F594" i="7"/>
  <c r="F593" i="7"/>
  <c r="F590" i="7"/>
  <c r="F596" i="7"/>
  <c r="F602" i="7"/>
  <c r="F599" i="7"/>
  <c r="F603" i="7"/>
  <c r="F591" i="7"/>
  <c r="F597" i="7"/>
  <c r="AM90" i="8"/>
  <c r="AJ89" i="8"/>
  <c r="AG88" i="8"/>
  <c r="AA94" i="8"/>
  <c r="AM92" i="8"/>
  <c r="AJ90" i="8"/>
  <c r="AG90" i="8"/>
  <c r="AD90" i="8"/>
  <c r="AA90" i="8"/>
  <c r="AM89" i="8"/>
  <c r="AG89" i="8"/>
  <c r="AD89" i="8"/>
  <c r="AA89" i="8"/>
  <c r="AM88" i="8"/>
  <c r="AJ88" i="8"/>
  <c r="AD88" i="8"/>
  <c r="AA88" i="8"/>
  <c r="AD87" i="8"/>
  <c r="AM87" i="8"/>
  <c r="AJ87" i="8"/>
  <c r="AG87" i="8"/>
  <c r="AA87" i="8"/>
  <c r="AA86" i="8"/>
  <c r="AM86" i="8"/>
  <c r="AJ86" i="8"/>
  <c r="AG86" i="8"/>
  <c r="AD86" i="8"/>
  <c r="E567" i="7"/>
  <c r="E554" i="7"/>
  <c r="E581" i="7"/>
  <c r="E512" i="7"/>
  <c r="E578" i="7"/>
  <c r="E517" i="7"/>
  <c r="E565" i="7"/>
  <c r="E528" i="7"/>
  <c r="E568" i="7"/>
  <c r="E583" i="7"/>
  <c r="E534" i="7"/>
  <c r="E564" i="7"/>
  <c r="E566" i="7"/>
  <c r="E541" i="7"/>
  <c r="E521" i="7"/>
  <c r="E576" i="7"/>
  <c r="E530" i="7"/>
  <c r="E514" i="7"/>
  <c r="E520" i="7"/>
  <c r="E510" i="7"/>
  <c r="E569" i="7"/>
  <c r="E555" i="7"/>
  <c r="E532" i="7"/>
  <c r="E587" i="7"/>
  <c r="E575" i="7"/>
  <c r="E577" i="7"/>
  <c r="E533" i="7"/>
  <c r="E573" i="7"/>
  <c r="E585" i="7"/>
  <c r="E542" i="7"/>
  <c r="E535" i="7"/>
  <c r="E548" i="7"/>
  <c r="E527" i="7"/>
  <c r="E557" i="7"/>
  <c r="E559" i="7"/>
  <c r="E553" i="7"/>
  <c r="E518" i="7"/>
  <c r="E529" i="7"/>
  <c r="E513" i="7"/>
  <c r="E570" i="7"/>
  <c r="E562" i="7"/>
  <c r="E544" i="7"/>
  <c r="E579" i="7"/>
  <c r="E538" i="7"/>
  <c r="E547" i="7"/>
  <c r="E531" i="7"/>
  <c r="E560" i="7"/>
  <c r="E550" i="7"/>
  <c r="E537" i="7"/>
  <c r="E546" i="7"/>
  <c r="E545" i="7"/>
  <c r="E519" i="7"/>
  <c r="E523" i="7"/>
  <c r="E571" i="7"/>
  <c r="E543" i="7"/>
  <c r="E574" i="7"/>
  <c r="E525" i="7"/>
  <c r="E551" i="7"/>
  <c r="E586" i="7"/>
  <c r="E511" i="7"/>
  <c r="E509" i="7"/>
  <c r="E549" i="7"/>
  <c r="E580" i="7"/>
  <c r="E563" i="7"/>
  <c r="E522" i="7"/>
  <c r="E558" i="7"/>
  <c r="E536" i="7"/>
  <c r="E552" i="7"/>
  <c r="E584" i="7"/>
  <c r="E561" i="7"/>
  <c r="E515" i="7"/>
  <c r="E516" i="7"/>
  <c r="E539" i="7"/>
  <c r="E526" i="7"/>
  <c r="E582" i="7"/>
  <c r="F576" i="7" l="1"/>
  <c r="F578" i="7"/>
  <c r="F584" i="7"/>
  <c r="F583" i="7"/>
  <c r="F585" i="7"/>
  <c r="F582" i="7"/>
  <c r="F579" i="7"/>
  <c r="F574" i="7"/>
  <c r="F580" i="7"/>
  <c r="F586" i="7"/>
  <c r="F573" i="7"/>
  <c r="F575" i="7"/>
  <c r="F581" i="7"/>
  <c r="F587" i="7"/>
  <c r="F577" i="7"/>
  <c r="F560" i="7"/>
  <c r="F566" i="7"/>
  <c r="F561" i="7"/>
  <c r="F567" i="7"/>
  <c r="F557" i="7"/>
  <c r="F569" i="7"/>
  <c r="F563" i="7"/>
  <c r="F568" i="7"/>
  <c r="F558" i="7"/>
  <c r="F564" i="7"/>
  <c r="F570" i="7"/>
  <c r="F562" i="7"/>
  <c r="F559" i="7"/>
  <c r="F565" i="7"/>
  <c r="F571" i="7"/>
  <c r="F541" i="7"/>
  <c r="F553" i="7"/>
  <c r="F543" i="7"/>
  <c r="F544" i="7"/>
  <c r="F550" i="7"/>
  <c r="F547" i="7"/>
  <c r="F555" i="7"/>
  <c r="F545" i="7"/>
  <c r="F549" i="7"/>
  <c r="F552" i="7"/>
  <c r="F551" i="7"/>
  <c r="F546" i="7"/>
  <c r="F542" i="7"/>
  <c r="F548" i="7"/>
  <c r="F554" i="7"/>
  <c r="F529" i="7"/>
  <c r="F535" i="7"/>
  <c r="F528" i="7"/>
  <c r="F530" i="7"/>
  <c r="F536" i="7"/>
  <c r="F525" i="7"/>
  <c r="F531" i="7"/>
  <c r="F537" i="7"/>
  <c r="F534" i="7"/>
  <c r="F526" i="7"/>
  <c r="F532" i="7"/>
  <c r="F538" i="7"/>
  <c r="F527" i="7"/>
  <c r="F533" i="7"/>
  <c r="F539" i="7"/>
  <c r="F520" i="7"/>
  <c r="F514" i="7"/>
  <c r="F521" i="7"/>
  <c r="F518" i="7"/>
  <c r="F509" i="7"/>
  <c r="F512" i="7"/>
  <c r="F519" i="7"/>
  <c r="F515" i="7"/>
  <c r="F510" i="7"/>
  <c r="F516" i="7"/>
  <c r="F522" i="7"/>
  <c r="F513" i="7"/>
  <c r="F511" i="7"/>
  <c r="F517" i="7"/>
  <c r="F523" i="7"/>
  <c r="AM85" i="8"/>
  <c r="AJ85" i="8"/>
  <c r="AM84" i="8"/>
  <c r="AJ84" i="8"/>
  <c r="AG84" i="8"/>
  <c r="AM83" i="8"/>
  <c r="AJ83" i="8"/>
  <c r="AG83" i="8"/>
  <c r="AD83" i="8"/>
  <c r="AA82" i="8"/>
  <c r="AD82" i="8"/>
  <c r="AM82" i="8"/>
  <c r="AJ82" i="8"/>
  <c r="AG82" i="8"/>
  <c r="AM81" i="8"/>
  <c r="AM80" i="8"/>
  <c r="AM79" i="8"/>
  <c r="AM78" i="8"/>
  <c r="AJ77" i="8"/>
  <c r="AJ76" i="8"/>
  <c r="AJ75" i="8"/>
  <c r="AJ74" i="8"/>
  <c r="AG73" i="8"/>
  <c r="AG72" i="8"/>
  <c r="AG71" i="8"/>
  <c r="AG70" i="8"/>
  <c r="E378" i="7"/>
  <c r="E427" i="7"/>
  <c r="E388" i="7"/>
  <c r="E384" i="7"/>
  <c r="E368" i="7"/>
  <c r="E466" i="7"/>
  <c r="E411" i="7"/>
  <c r="E486" i="7"/>
  <c r="E492" i="7"/>
  <c r="E464" i="7"/>
  <c r="E375" i="7"/>
  <c r="E380" i="7"/>
  <c r="E502" i="7"/>
  <c r="E459" i="7"/>
  <c r="E467" i="7"/>
  <c r="E374" i="7"/>
  <c r="E379" i="7"/>
  <c r="E437" i="7"/>
  <c r="E406" i="7"/>
  <c r="E416" i="7"/>
  <c r="E483" i="7"/>
  <c r="E410" i="7"/>
  <c r="E484" i="7"/>
  <c r="E480" i="7"/>
  <c r="E436" i="7"/>
  <c r="E432" i="7"/>
  <c r="E435" i="7"/>
  <c r="E390" i="7"/>
  <c r="E424" i="7"/>
  <c r="E399" i="7"/>
  <c r="E499" i="7"/>
  <c r="E448" i="7"/>
  <c r="E371" i="7"/>
  <c r="E439" i="7"/>
  <c r="E403" i="7"/>
  <c r="E489" i="7"/>
  <c r="E392" i="7"/>
  <c r="E387" i="7"/>
  <c r="E498" i="7"/>
  <c r="E468" i="7"/>
  <c r="E470" i="7"/>
  <c r="E473" i="7"/>
  <c r="E474" i="7"/>
  <c r="E472" i="7"/>
  <c r="E366" i="7"/>
  <c r="E471" i="7"/>
  <c r="E441" i="7"/>
  <c r="E485" i="7"/>
  <c r="E497" i="7"/>
  <c r="E370" i="7"/>
  <c r="E451" i="7"/>
  <c r="E372" i="7"/>
  <c r="E447" i="7"/>
  <c r="E465" i="7"/>
  <c r="E443" i="7"/>
  <c r="E444" i="7"/>
  <c r="E395" i="7"/>
  <c r="E364" i="7"/>
  <c r="E475" i="7"/>
  <c r="E479" i="7"/>
  <c r="E402" i="7"/>
  <c r="E428" i="7"/>
  <c r="E495" i="7"/>
  <c r="E382" i="7"/>
  <c r="E404" i="7"/>
  <c r="E463" i="7"/>
  <c r="E405" i="7"/>
  <c r="E408" i="7"/>
  <c r="E477" i="7"/>
  <c r="E431" i="7"/>
  <c r="E397" i="7"/>
  <c r="E445" i="7"/>
  <c r="E476" i="7"/>
  <c r="E423" i="7"/>
  <c r="E496" i="7"/>
  <c r="E401" i="7"/>
  <c r="E367" i="7"/>
  <c r="E460" i="7"/>
  <c r="E396" i="7"/>
  <c r="E455" i="7"/>
  <c r="E449" i="7"/>
  <c r="E415" i="7"/>
  <c r="E452" i="7"/>
  <c r="E419" i="7"/>
  <c r="E394" i="7"/>
  <c r="E505" i="7"/>
  <c r="E421" i="7"/>
  <c r="E425" i="7"/>
  <c r="E429" i="7"/>
  <c r="E493" i="7"/>
  <c r="E391" i="7"/>
  <c r="E383" i="7"/>
  <c r="E481" i="7"/>
  <c r="E420" i="7"/>
  <c r="E412" i="7"/>
  <c r="E482" i="7"/>
  <c r="E433" i="7"/>
  <c r="E507" i="7"/>
  <c r="E456" i="7"/>
  <c r="E494" i="7"/>
  <c r="E488" i="7"/>
  <c r="E398" i="7"/>
  <c r="E386" i="7"/>
  <c r="E504" i="7"/>
  <c r="E413" i="7"/>
  <c r="E487" i="7"/>
  <c r="E363" i="7"/>
  <c r="E503" i="7"/>
  <c r="E506" i="7"/>
  <c r="E417" i="7"/>
  <c r="E500" i="7"/>
  <c r="E409" i="7"/>
  <c r="E362" i="7"/>
  <c r="E461" i="7"/>
  <c r="E440" i="7"/>
  <c r="E490" i="7"/>
  <c r="E457" i="7"/>
  <c r="E376" i="7"/>
  <c r="E469" i="7"/>
  <c r="E453" i="7"/>
  <c r="F503" i="7" l="1"/>
  <c r="F505" i="7"/>
  <c r="F507" i="7"/>
  <c r="F504" i="7"/>
  <c r="F506" i="7"/>
  <c r="F502" i="7"/>
  <c r="F493" i="7"/>
  <c r="F494" i="7"/>
  <c r="F497" i="7"/>
  <c r="F496" i="7"/>
  <c r="F498" i="7"/>
  <c r="F499" i="7"/>
  <c r="F495" i="7"/>
  <c r="F500" i="7"/>
  <c r="F492" i="7"/>
  <c r="F485" i="7"/>
  <c r="F480" i="7"/>
  <c r="F481" i="7"/>
  <c r="F487" i="7"/>
  <c r="F482" i="7"/>
  <c r="F488" i="7"/>
  <c r="F483" i="7"/>
  <c r="F486" i="7"/>
  <c r="F489" i="7"/>
  <c r="F484" i="7"/>
  <c r="F490" i="7"/>
  <c r="F479" i="7"/>
  <c r="F475" i="7"/>
  <c r="F476" i="7"/>
  <c r="F477" i="7"/>
  <c r="F473" i="7"/>
  <c r="F474" i="7"/>
  <c r="F472" i="7"/>
  <c r="F471" i="7"/>
  <c r="F470" i="7"/>
  <c r="F469" i="7"/>
  <c r="F466" i="7"/>
  <c r="F467" i="7"/>
  <c r="F468" i="7"/>
  <c r="F463" i="7"/>
  <c r="F464" i="7"/>
  <c r="F465" i="7"/>
  <c r="F455" i="7"/>
  <c r="F457" i="7"/>
  <c r="F448" i="7"/>
  <c r="F451" i="7"/>
  <c r="F459" i="7"/>
  <c r="F449" i="7"/>
  <c r="F447" i="7"/>
  <c r="F456" i="7"/>
  <c r="F452" i="7"/>
  <c r="F460" i="7"/>
  <c r="F461" i="7"/>
  <c r="F453" i="7"/>
  <c r="F427" i="7"/>
  <c r="F420" i="7"/>
  <c r="F436" i="7"/>
  <c r="F421" i="7"/>
  <c r="F437" i="7"/>
  <c r="F415" i="7"/>
  <c r="F439" i="7"/>
  <c r="F424" i="7"/>
  <c r="F435" i="7"/>
  <c r="F444" i="7"/>
  <c r="F429" i="7"/>
  <c r="F423" i="7"/>
  <c r="F431" i="7"/>
  <c r="F416" i="7"/>
  <c r="F440" i="7"/>
  <c r="F417" i="7"/>
  <c r="F425" i="7"/>
  <c r="F433" i="7"/>
  <c r="F441" i="7"/>
  <c r="F419" i="7"/>
  <c r="F443" i="7"/>
  <c r="F428" i="7"/>
  <c r="F445" i="7"/>
  <c r="F432" i="7"/>
  <c r="AD68" i="8"/>
  <c r="AA68" i="8"/>
  <c r="AD67" i="8"/>
  <c r="AA69" i="8"/>
  <c r="AD69" i="8"/>
  <c r="AA62" i="8"/>
  <c r="AA61" i="8"/>
  <c r="AA67" i="8"/>
  <c r="AD66" i="8"/>
  <c r="AD65" i="8"/>
  <c r="AD64" i="8"/>
  <c r="AD63" i="8"/>
  <c r="AA60" i="8"/>
  <c r="AA59" i="8"/>
  <c r="X57" i="8"/>
  <c r="U57" i="8"/>
  <c r="U58" i="8"/>
  <c r="X58" i="8"/>
  <c r="X56" i="8"/>
  <c r="U56" i="8"/>
  <c r="X55" i="8"/>
  <c r="X54" i="8"/>
  <c r="X53" i="8"/>
  <c r="X52" i="8"/>
  <c r="U51" i="8"/>
  <c r="U50" i="8"/>
  <c r="U49" i="8"/>
  <c r="U48" i="8"/>
  <c r="E333" i="7"/>
  <c r="E329" i="7"/>
  <c r="E310" i="7"/>
  <c r="E348" i="7"/>
  <c r="E352" i="7"/>
  <c r="E349" i="7"/>
  <c r="E317" i="7"/>
  <c r="E341" i="7"/>
  <c r="E331" i="7"/>
  <c r="E335" i="7"/>
  <c r="E345" i="7"/>
  <c r="E338" i="7"/>
  <c r="E356" i="7"/>
  <c r="E355" i="7"/>
  <c r="E337" i="7"/>
  <c r="E360" i="7"/>
  <c r="E318" i="7"/>
  <c r="E359" i="7"/>
  <c r="E339" i="7"/>
  <c r="E357" i="7"/>
  <c r="E326" i="7"/>
  <c r="E321" i="7"/>
  <c r="E315" i="7"/>
  <c r="E322" i="7"/>
  <c r="E309" i="7"/>
  <c r="E330" i="7"/>
  <c r="E334" i="7"/>
  <c r="E311" i="7"/>
  <c r="E358" i="7"/>
  <c r="E313" i="7"/>
  <c r="E353" i="7"/>
  <c r="E325" i="7"/>
  <c r="E319" i="7"/>
  <c r="E323" i="7"/>
  <c r="E351" i="7"/>
  <c r="E327" i="7"/>
  <c r="E346" i="7"/>
  <c r="E342" i="7"/>
  <c r="E344" i="7"/>
  <c r="E350" i="7"/>
  <c r="E314" i="7"/>
  <c r="E343" i="7"/>
  <c r="F370" i="7" l="1"/>
  <c r="F394" i="7"/>
  <c r="F371" i="7"/>
  <c r="F409" i="7"/>
  <c r="F388" i="7"/>
  <c r="F397" i="7"/>
  <c r="F378" i="7"/>
  <c r="F408" i="7"/>
  <c r="F363" i="7"/>
  <c r="F387" i="7"/>
  <c r="F395" i="7"/>
  <c r="F364" i="7"/>
  <c r="F380" i="7"/>
  <c r="F396" i="7"/>
  <c r="F410" i="7"/>
  <c r="F382" i="7"/>
  <c r="F404" i="7"/>
  <c r="F367" i="7"/>
  <c r="F375" i="7"/>
  <c r="F391" i="7"/>
  <c r="F398" i="7"/>
  <c r="F405" i="7"/>
  <c r="F368" i="7"/>
  <c r="F376" i="7"/>
  <c r="F384" i="7"/>
  <c r="F392" i="7"/>
  <c r="F399" i="7"/>
  <c r="F406" i="7"/>
  <c r="F413" i="7"/>
  <c r="F362" i="7"/>
  <c r="F386" i="7"/>
  <c r="F401" i="7"/>
  <c r="F379" i="7"/>
  <c r="F402" i="7"/>
  <c r="F372" i="7"/>
  <c r="F403" i="7"/>
  <c r="F366" i="7"/>
  <c r="F374" i="7"/>
  <c r="F390" i="7"/>
  <c r="F411" i="7"/>
  <c r="F383" i="7"/>
  <c r="F412" i="7"/>
  <c r="F358" i="7"/>
  <c r="F359" i="7"/>
  <c r="F355" i="7"/>
  <c r="F360" i="7"/>
  <c r="F356" i="7"/>
  <c r="F357" i="7"/>
  <c r="F349" i="7"/>
  <c r="F348" i="7"/>
  <c r="F350" i="7"/>
  <c r="F352" i="7"/>
  <c r="F353" i="7"/>
  <c r="F351" i="7"/>
  <c r="F346" i="7"/>
  <c r="F345" i="7"/>
  <c r="F344" i="7"/>
  <c r="F343" i="7"/>
  <c r="F342" i="7"/>
  <c r="F341" i="7"/>
  <c r="F338" i="7"/>
  <c r="F325" i="7"/>
  <c r="F334" i="7"/>
  <c r="F327" i="7"/>
  <c r="F335" i="7"/>
  <c r="F329" i="7"/>
  <c r="F330" i="7"/>
  <c r="F331" i="7"/>
  <c r="F339" i="7"/>
  <c r="F333" i="7"/>
  <c r="F326" i="7"/>
  <c r="F337" i="7"/>
  <c r="F322" i="7"/>
  <c r="F321" i="7"/>
  <c r="F323" i="7"/>
  <c r="F317" i="7"/>
  <c r="F318" i="7"/>
  <c r="F319" i="7"/>
  <c r="F313" i="7"/>
  <c r="F315" i="7"/>
  <c r="F314" i="7"/>
  <c r="F309" i="7"/>
  <c r="F310" i="7"/>
  <c r="F311" i="7"/>
  <c r="P47" i="8"/>
  <c r="J47" i="8"/>
  <c r="L47" i="8"/>
  <c r="N47" i="8"/>
  <c r="R47" i="8"/>
  <c r="R46" i="8"/>
  <c r="P46" i="8"/>
  <c r="N46" i="8"/>
  <c r="L46" i="8"/>
  <c r="J46" i="8"/>
  <c r="P45" i="8"/>
  <c r="N45" i="8"/>
  <c r="L45" i="8"/>
  <c r="R45" i="8"/>
  <c r="J45" i="8"/>
  <c r="R44" i="8"/>
  <c r="P44" i="8"/>
  <c r="N44" i="8"/>
  <c r="L44" i="8"/>
  <c r="J44" i="8"/>
  <c r="R43" i="8"/>
  <c r="P43" i="8"/>
  <c r="N43" i="8"/>
  <c r="L43" i="8"/>
  <c r="J43" i="8"/>
  <c r="P42" i="8"/>
  <c r="R42" i="8"/>
  <c r="N42" i="8"/>
  <c r="L42" i="8"/>
  <c r="J42" i="8"/>
  <c r="N41" i="8"/>
  <c r="R41" i="8"/>
  <c r="P41" i="8"/>
  <c r="L41" i="8"/>
  <c r="J41" i="8"/>
  <c r="L40" i="8"/>
  <c r="R40" i="8"/>
  <c r="P40" i="8"/>
  <c r="N40" i="8"/>
  <c r="J40" i="8"/>
  <c r="J39" i="8"/>
  <c r="R39" i="8"/>
  <c r="P39" i="8"/>
  <c r="N39" i="8"/>
  <c r="L39" i="8"/>
  <c r="R38" i="8"/>
  <c r="P38" i="8"/>
  <c r="R37" i="8"/>
  <c r="P37" i="8"/>
  <c r="N37" i="8"/>
  <c r="R36" i="8"/>
  <c r="P36" i="8"/>
  <c r="N36" i="8"/>
  <c r="L36" i="8"/>
  <c r="E233" i="7"/>
  <c r="E288" i="7"/>
  <c r="E280" i="7"/>
  <c r="E232" i="7"/>
  <c r="E221" i="7"/>
  <c r="E256" i="7"/>
  <c r="E211" i="7"/>
  <c r="E276" i="7"/>
  <c r="E226" i="7"/>
  <c r="E228" i="7"/>
  <c r="E257" i="7"/>
  <c r="E268" i="7"/>
  <c r="E183" i="7"/>
  <c r="E236" i="7"/>
  <c r="E191" i="7"/>
  <c r="E240" i="7"/>
  <c r="E216" i="7"/>
  <c r="E113" i="7"/>
  <c r="E199" i="7"/>
  <c r="E210" i="7"/>
  <c r="E219" i="7"/>
  <c r="E255" i="7"/>
  <c r="E215" i="7"/>
  <c r="E207" i="7"/>
  <c r="E266" i="7"/>
  <c r="E223" i="7"/>
  <c r="E282" i="7"/>
  <c r="E222" i="7"/>
  <c r="E189" i="7"/>
  <c r="E305" i="7"/>
  <c r="E270" i="7"/>
  <c r="E235" i="7"/>
  <c r="E202" i="7"/>
  <c r="E193" i="7"/>
  <c r="E217" i="7"/>
  <c r="E230" i="7"/>
  <c r="E292" i="7"/>
  <c r="E243" i="7"/>
  <c r="E284" i="7"/>
  <c r="E273" i="7"/>
  <c r="E294" i="7"/>
  <c r="E225" i="7"/>
  <c r="E187" i="7"/>
  <c r="E108" i="7"/>
  <c r="E244" i="7"/>
  <c r="E300" i="7"/>
  <c r="E249" i="7"/>
  <c r="E245" i="7"/>
  <c r="E269" i="7"/>
  <c r="E289" i="7"/>
  <c r="E279" i="7"/>
  <c r="E200" i="7"/>
  <c r="E252" i="7"/>
  <c r="E109" i="7"/>
  <c r="E267" i="7"/>
  <c r="E178" i="7"/>
  <c r="E261" i="7"/>
  <c r="E302" i="7"/>
  <c r="E277" i="7"/>
  <c r="E247" i="7"/>
  <c r="E92" i="7"/>
  <c r="E208" i="7"/>
  <c r="E283" i="7"/>
  <c r="E234" i="7"/>
  <c r="E198" i="7"/>
  <c r="E214" i="7"/>
  <c r="E206" i="7"/>
  <c r="E306" i="7"/>
  <c r="E251" i="7"/>
  <c r="E184" i="7"/>
  <c r="E307" i="7"/>
  <c r="E180" i="7"/>
  <c r="E246" i="7"/>
  <c r="E248" i="7"/>
  <c r="E254" i="7"/>
  <c r="E107" i="7"/>
  <c r="E238" i="7"/>
  <c r="E259" i="7"/>
  <c r="E281" i="7"/>
  <c r="E265" i="7"/>
  <c r="E301" i="7"/>
  <c r="E227" i="7"/>
  <c r="E258" i="7"/>
  <c r="E293" i="7"/>
  <c r="E239" i="7"/>
  <c r="E186" i="7"/>
  <c r="E262" i="7"/>
  <c r="E114" i="7"/>
  <c r="E110" i="7"/>
  <c r="E278" i="7"/>
  <c r="E260" i="7"/>
  <c r="E263" i="7"/>
  <c r="E290" i="7"/>
  <c r="E98" i="7"/>
  <c r="E185" i="7"/>
  <c r="E201" i="7"/>
  <c r="E274" i="7"/>
  <c r="E196" i="7"/>
  <c r="E241" i="7"/>
  <c r="E271" i="7"/>
  <c r="E229" i="7"/>
  <c r="E213" i="7"/>
  <c r="E182" i="7"/>
  <c r="E250" i="7"/>
  <c r="E237" i="7"/>
  <c r="E194" i="7"/>
  <c r="E195" i="7"/>
  <c r="E272" i="7"/>
  <c r="E97" i="7"/>
  <c r="E285" i="7"/>
  <c r="E224" i="7"/>
  <c r="E304" i="7"/>
  <c r="E291" i="7"/>
  <c r="E179" i="7"/>
  <c r="E298" i="7"/>
  <c r="E203" i="7"/>
  <c r="E190" i="7"/>
  <c r="E295" i="7"/>
  <c r="E296" i="7"/>
  <c r="E299" i="7"/>
  <c r="E218" i="7"/>
  <c r="E303" i="7"/>
  <c r="E192" i="7"/>
  <c r="E205" i="7"/>
  <c r="E212" i="7"/>
  <c r="E181" i="7"/>
  <c r="E287" i="7"/>
  <c r="F113" i="7" l="1"/>
  <c r="F108" i="7"/>
  <c r="F109" i="7"/>
  <c r="F114" i="7"/>
  <c r="F107" i="7"/>
  <c r="F303" i="7"/>
  <c r="F304" i="7"/>
  <c r="F298" i="7"/>
  <c r="F299" i="7"/>
  <c r="F305" i="7"/>
  <c r="F302" i="7"/>
  <c r="F300" i="7"/>
  <c r="F306" i="7"/>
  <c r="F307" i="7"/>
  <c r="F301" i="7"/>
  <c r="F294" i="7"/>
  <c r="F292" i="7"/>
  <c r="F288" i="7"/>
  <c r="F291" i="7"/>
  <c r="F287" i="7"/>
  <c r="F293" i="7"/>
  <c r="F289" i="7"/>
  <c r="F295" i="7"/>
  <c r="F290" i="7"/>
  <c r="F296" i="7"/>
  <c r="F283" i="7"/>
  <c r="F279" i="7"/>
  <c r="F285" i="7"/>
  <c r="F280" i="7"/>
  <c r="F276" i="7"/>
  <c r="F281" i="7"/>
  <c r="F282" i="7"/>
  <c r="F277" i="7"/>
  <c r="F278" i="7"/>
  <c r="F284" i="7"/>
  <c r="F269" i="7"/>
  <c r="F258" i="7"/>
  <c r="F271" i="7"/>
  <c r="F266" i="7"/>
  <c r="F270" i="7"/>
  <c r="F265" i="7"/>
  <c r="F272" i="7"/>
  <c r="F267" i="7"/>
  <c r="F273" i="7"/>
  <c r="F268" i="7"/>
  <c r="F274" i="7"/>
  <c r="F259" i="7"/>
  <c r="F254" i="7"/>
  <c r="F260" i="7"/>
  <c r="F255" i="7"/>
  <c r="F261" i="7"/>
  <c r="F256" i="7"/>
  <c r="F262" i="7"/>
  <c r="F257" i="7"/>
  <c r="F263" i="7"/>
  <c r="F236" i="7"/>
  <c r="F250" i="7"/>
  <c r="F245" i="7"/>
  <c r="F248" i="7"/>
  <c r="F247" i="7"/>
  <c r="F244" i="7"/>
  <c r="F243" i="7"/>
  <c r="F249" i="7"/>
  <c r="F251" i="7"/>
  <c r="F252" i="7"/>
  <c r="F246" i="7"/>
  <c r="F237" i="7"/>
  <c r="F232" i="7"/>
  <c r="F238" i="7"/>
  <c r="F233" i="7"/>
  <c r="F239" i="7"/>
  <c r="F234" i="7"/>
  <c r="F240" i="7"/>
  <c r="F235" i="7"/>
  <c r="F241" i="7"/>
  <c r="F228" i="7"/>
  <c r="F226" i="7"/>
  <c r="F225" i="7"/>
  <c r="F221" i="7"/>
  <c r="F222" i="7"/>
  <c r="F229" i="7"/>
  <c r="F223" i="7"/>
  <c r="F224" i="7"/>
  <c r="F230" i="7"/>
  <c r="F227" i="7"/>
  <c r="F215" i="7"/>
  <c r="F216" i="7"/>
  <c r="F217" i="7"/>
  <c r="F212" i="7"/>
  <c r="F218" i="7"/>
  <c r="F214" i="7"/>
  <c r="F210" i="7"/>
  <c r="F211" i="7"/>
  <c r="F213" i="7"/>
  <c r="F219" i="7"/>
  <c r="F206" i="7"/>
  <c r="F208" i="7"/>
  <c r="F205" i="7"/>
  <c r="F207" i="7"/>
  <c r="F198" i="7"/>
  <c r="F199" i="7"/>
  <c r="F200" i="7"/>
  <c r="F201" i="7"/>
  <c r="F202" i="7"/>
  <c r="F203" i="7"/>
  <c r="F191" i="7"/>
  <c r="F192" i="7"/>
  <c r="F193" i="7"/>
  <c r="F194" i="7"/>
  <c r="F189" i="7"/>
  <c r="F195" i="7"/>
  <c r="F190" i="7"/>
  <c r="F196" i="7"/>
  <c r="F187" i="7"/>
  <c r="F186" i="7"/>
  <c r="F185" i="7"/>
  <c r="F184" i="7"/>
  <c r="F183" i="7"/>
  <c r="F182" i="7"/>
  <c r="F181" i="7"/>
  <c r="F180" i="7"/>
  <c r="F179" i="7"/>
  <c r="R35" i="8"/>
  <c r="P35" i="8"/>
  <c r="N35" i="8"/>
  <c r="L35" i="8"/>
  <c r="J35" i="8"/>
  <c r="R34" i="8"/>
  <c r="R33" i="8"/>
  <c r="R32" i="8"/>
  <c r="R31" i="8"/>
  <c r="P30" i="8"/>
  <c r="P29" i="8"/>
  <c r="P28" i="8"/>
  <c r="P27" i="8"/>
  <c r="E175" i="7"/>
  <c r="E155" i="7"/>
  <c r="E170" i="7"/>
  <c r="E164" i="7"/>
  <c r="E166" i="7"/>
  <c r="E157" i="7"/>
  <c r="E152" i="7"/>
  <c r="E161" i="7"/>
  <c r="E154" i="7"/>
  <c r="E167" i="7"/>
  <c r="E163" i="7"/>
  <c r="E176" i="7"/>
  <c r="E172" i="7"/>
  <c r="E169" i="7"/>
  <c r="E151" i="7"/>
  <c r="E173" i="7"/>
  <c r="E158" i="7"/>
  <c r="E160" i="7"/>
  <c r="F178" i="7" l="1"/>
  <c r="F169" i="7"/>
  <c r="F170" i="7"/>
  <c r="F172" i="7"/>
  <c r="F166" i="7"/>
  <c r="F167" i="7"/>
  <c r="F176" i="7"/>
  <c r="F173" i="7"/>
  <c r="F175" i="7"/>
  <c r="N26" i="8"/>
  <c r="N25" i="8"/>
  <c r="N24" i="8"/>
  <c r="N23" i="8"/>
  <c r="E143" i="7"/>
  <c r="E130" i="7"/>
  <c r="E149" i="7"/>
  <c r="E137" i="7"/>
  <c r="E145" i="7"/>
  <c r="E146" i="7"/>
  <c r="E134" i="7"/>
  <c r="E133" i="7"/>
  <c r="E148" i="7"/>
  <c r="E140" i="7"/>
  <c r="E131" i="7"/>
  <c r="E136" i="7"/>
  <c r="E139" i="7"/>
  <c r="E142" i="7"/>
  <c r="F160" i="7" l="1"/>
  <c r="F154" i="7"/>
  <c r="F163" i="7"/>
  <c r="F157" i="7"/>
  <c r="F155" i="7"/>
  <c r="F164" i="7"/>
  <c r="F158" i="7"/>
  <c r="F161" i="7"/>
  <c r="L22" i="8"/>
  <c r="L21" i="8"/>
  <c r="L20" i="8"/>
  <c r="L19" i="8"/>
  <c r="J18" i="8"/>
  <c r="J17" i="8"/>
  <c r="J16" i="8"/>
  <c r="J15" i="8"/>
  <c r="U199" i="8"/>
  <c r="E118" i="7"/>
  <c r="E128" i="7"/>
  <c r="E125" i="7"/>
  <c r="E90" i="7"/>
  <c r="E127" i="7"/>
  <c r="E122" i="7"/>
  <c r="E121" i="7"/>
  <c r="E124" i="7"/>
  <c r="E119" i="7"/>
  <c r="F119" i="7" l="1"/>
  <c r="F90" i="7"/>
  <c r="F98" i="7" l="1"/>
  <c r="F110" i="7"/>
  <c r="F1325" i="7" l="1"/>
  <c r="F1301" i="7"/>
  <c r="F1343" i="7"/>
  <c r="F1283" i="7"/>
  <c r="F1277" i="7"/>
  <c r="F1319" i="7"/>
  <c r="F1337" i="7"/>
  <c r="F1295" i="7"/>
  <c r="F1313" i="7"/>
  <c r="F1355" i="7"/>
  <c r="F1289" i="7"/>
  <c r="F1331" i="7"/>
  <c r="F1349" i="7"/>
  <c r="F1307" i="7"/>
  <c r="F1281" i="7"/>
  <c r="F1287" i="7"/>
  <c r="F1293" i="7"/>
  <c r="F1299" i="7"/>
  <c r="F1305" i="7"/>
  <c r="F1311" i="7"/>
  <c r="F1317" i="7"/>
  <c r="F1323" i="7"/>
  <c r="F1329" i="7"/>
  <c r="F1335" i="7"/>
  <c r="F1341" i="7"/>
  <c r="F1347" i="7"/>
  <c r="F1353" i="7"/>
  <c r="F1279" i="7"/>
  <c r="F1285" i="7"/>
  <c r="F1291" i="7"/>
  <c r="F1297" i="7"/>
  <c r="F1303" i="7"/>
  <c r="F1309" i="7"/>
  <c r="F1315" i="7"/>
  <c r="F1321" i="7"/>
  <c r="F1327" i="7"/>
  <c r="F1333" i="7"/>
  <c r="F1339" i="7"/>
  <c r="F1345" i="7"/>
  <c r="F1351" i="7"/>
  <c r="F1357" i="7"/>
  <c r="F1280" i="7"/>
  <c r="F1284" i="7"/>
  <c r="F1288" i="7"/>
  <c r="F1292" i="7"/>
  <c r="F1296" i="7"/>
  <c r="F1300" i="7"/>
  <c r="F1304" i="7"/>
  <c r="F1308" i="7"/>
  <c r="F1312" i="7"/>
  <c r="F1316" i="7"/>
  <c r="F1320" i="7"/>
  <c r="F1324" i="7"/>
  <c r="F1328" i="7"/>
  <c r="F1332" i="7"/>
  <c r="F1336" i="7"/>
  <c r="F1340" i="7"/>
  <c r="F1344" i="7"/>
  <c r="F1348" i="7"/>
  <c r="F1352" i="7"/>
  <c r="F1356" i="7"/>
  <c r="F1278" i="7"/>
  <c r="F1282" i="7"/>
  <c r="F1286" i="7"/>
  <c r="F1290" i="7"/>
  <c r="F1294" i="7"/>
  <c r="F1298" i="7"/>
  <c r="F1302" i="7"/>
  <c r="F1306" i="7"/>
  <c r="F1310" i="7"/>
  <c r="F1314" i="7"/>
  <c r="F1318" i="7"/>
  <c r="F1322" i="7"/>
  <c r="F1326" i="7"/>
  <c r="F1330" i="7"/>
  <c r="F1334" i="7"/>
  <c r="F1338" i="7"/>
  <c r="F1342" i="7"/>
  <c r="F1346" i="7"/>
  <c r="F1350" i="7"/>
  <c r="F1354" i="7"/>
  <c r="F1358" i="7"/>
  <c r="F130" i="7" l="1"/>
  <c r="F92" i="7"/>
  <c r="F151" i="7"/>
  <c r="F122" i="7"/>
  <c r="F140" i="7"/>
  <c r="F93" i="7"/>
  <c r="F149" i="7"/>
  <c r="F95" i="7"/>
  <c r="F96" i="7"/>
  <c r="F121" i="7"/>
  <c r="F118" i="7"/>
  <c r="F97" i="7"/>
  <c r="F94" i="7"/>
  <c r="F142" i="7"/>
  <c r="F124" i="7"/>
  <c r="F134" i="7"/>
  <c r="F137" i="7"/>
  <c r="F127" i="7"/>
  <c r="F133" i="7"/>
  <c r="F152" i="7"/>
  <c r="F146" i="7"/>
  <c r="F139" i="7"/>
  <c r="F148" i="7"/>
  <c r="F143" i="7"/>
  <c r="F136" i="7"/>
  <c r="F128" i="7"/>
  <c r="F125" i="7"/>
  <c r="F131" i="7"/>
  <c r="F145" i="7"/>
  <c r="E3" i="7"/>
  <c r="E48" i="7"/>
  <c r="E63" i="7"/>
  <c r="E59" i="7"/>
  <c r="E87" i="7"/>
  <c r="E73" i="7"/>
  <c r="E54" i="7"/>
  <c r="E84" i="7"/>
  <c r="E24" i="7"/>
  <c r="E77" i="7"/>
  <c r="E32" i="7"/>
  <c r="E21" i="7"/>
  <c r="E61" i="7"/>
  <c r="E28" i="7"/>
  <c r="E89" i="7"/>
  <c r="E83" i="7"/>
  <c r="E44" i="7"/>
  <c r="E15" i="7"/>
  <c r="E67" i="7"/>
  <c r="E9" i="7"/>
  <c r="E104" i="7"/>
  <c r="E2" i="7"/>
  <c r="E12" i="7"/>
  <c r="E115" i="7"/>
  <c r="E88" i="7"/>
  <c r="E68" i="7"/>
  <c r="E65" i="7"/>
  <c r="E35" i="7"/>
  <c r="E81" i="7"/>
  <c r="E26" i="7"/>
  <c r="E31" i="7"/>
  <c r="E79" i="7"/>
  <c r="E13" i="7"/>
  <c r="E37" i="7"/>
  <c r="E82" i="7"/>
  <c r="E50" i="7"/>
  <c r="E46" i="7"/>
  <c r="E16" i="7"/>
  <c r="E34" i="7"/>
  <c r="E7" i="7"/>
  <c r="E47" i="7"/>
  <c r="E58" i="7"/>
  <c r="E64" i="7"/>
  <c r="E25" i="7"/>
  <c r="E36" i="7"/>
  <c r="E27" i="7"/>
  <c r="E49" i="7"/>
  <c r="E51" i="7"/>
  <c r="E101" i="7"/>
  <c r="E38" i="7"/>
  <c r="E80" i="7"/>
  <c r="E70" i="7"/>
  <c r="E42" i="7"/>
  <c r="E4" i="7"/>
  <c r="E78" i="7"/>
  <c r="E100" i="7"/>
  <c r="E5" i="7"/>
  <c r="E60" i="7"/>
  <c r="E91" i="7"/>
  <c r="E10" i="7"/>
  <c r="E45" i="7"/>
  <c r="E29" i="7"/>
  <c r="E33" i="7"/>
  <c r="E6" i="7"/>
  <c r="E18" i="7"/>
  <c r="E40" i="7"/>
  <c r="E39" i="7"/>
  <c r="E86" i="7"/>
  <c r="E112" i="7"/>
  <c r="E62" i="7"/>
  <c r="E41" i="7"/>
  <c r="E75" i="7"/>
  <c r="E17" i="7"/>
  <c r="E102" i="7"/>
  <c r="E66" i="7"/>
  <c r="E22" i="7"/>
  <c r="E71" i="7"/>
  <c r="E52" i="7"/>
  <c r="E20" i="7"/>
  <c r="E19" i="7"/>
  <c r="E8" i="7"/>
  <c r="E43" i="7"/>
  <c r="E56" i="7"/>
  <c r="E11" i="7"/>
  <c r="E69" i="7"/>
  <c r="E14" i="7"/>
  <c r="E74" i="7"/>
  <c r="E116" i="7"/>
  <c r="E53" i="7"/>
  <c r="E23" i="7"/>
  <c r="E103" i="7"/>
  <c r="E55" i="7"/>
  <c r="E72" i="7"/>
  <c r="E57" i="7"/>
  <c r="E76" i="7"/>
  <c r="E106" i="7"/>
  <c r="E30" i="7"/>
  <c r="F69" i="7" l="1"/>
  <c r="F80" i="7"/>
  <c r="F47" i="7"/>
  <c r="F13" i="7"/>
  <c r="F76" i="7"/>
  <c r="F28" i="7"/>
  <c r="F84" i="7"/>
  <c r="F75" i="7"/>
  <c r="F57" i="7"/>
  <c r="F6" i="7"/>
  <c r="F40" i="7"/>
  <c r="F17" i="7"/>
  <c r="F81" i="7"/>
  <c r="F55" i="7"/>
  <c r="F26" i="7"/>
  <c r="F54" i="7"/>
  <c r="F23" i="7"/>
  <c r="F78" i="7"/>
  <c r="F71" i="7"/>
  <c r="F72" i="7"/>
  <c r="F14" i="7"/>
  <c r="F62" i="7"/>
  <c r="F19" i="7"/>
  <c r="F68" i="7"/>
  <c r="F73" i="7"/>
  <c r="F116" i="7"/>
  <c r="F21" i="7"/>
  <c r="F53" i="7"/>
  <c r="F18" i="7"/>
  <c r="F29" i="7"/>
  <c r="F34" i="7"/>
  <c r="F5" i="7"/>
  <c r="F2" i="7"/>
  <c r="F59" i="7"/>
  <c r="F51" i="7"/>
  <c r="F103" i="7"/>
  <c r="F25" i="7"/>
  <c r="F38" i="7"/>
  <c r="F3" i="7"/>
  <c r="F49" i="7"/>
  <c r="F64" i="7"/>
  <c r="F42" i="7"/>
  <c r="F104" i="7"/>
  <c r="F16" i="7"/>
  <c r="F46" i="7"/>
  <c r="F61" i="7"/>
  <c r="F101" i="7"/>
  <c r="F74" i="7"/>
  <c r="F39" i="7"/>
  <c r="F4" i="7"/>
  <c r="F31" i="7"/>
  <c r="F48" i="7"/>
  <c r="F45" i="7"/>
  <c r="F67" i="7"/>
  <c r="F91" i="7"/>
  <c r="F1275" i="7"/>
  <c r="F44" i="7"/>
  <c r="F56" i="7"/>
  <c r="F115" i="7"/>
  <c r="F11" i="7"/>
  <c r="F32" i="7"/>
  <c r="F58" i="7"/>
  <c r="F10" i="7"/>
  <c r="F60" i="7"/>
  <c r="F63" i="7"/>
  <c r="F79" i="7"/>
  <c r="F70" i="7"/>
  <c r="F86" i="7"/>
  <c r="F89" i="7"/>
  <c r="F52" i="7"/>
  <c r="F87" i="7"/>
  <c r="F106" i="7"/>
  <c r="F77" i="7"/>
  <c r="F50" i="7"/>
  <c r="F22" i="7"/>
  <c r="F33" i="7"/>
  <c r="F37" i="7"/>
  <c r="F7" i="7"/>
  <c r="F36" i="7"/>
  <c r="F102" i="7"/>
  <c r="F12" i="7"/>
  <c r="F20" i="7"/>
  <c r="F112" i="7"/>
  <c r="F9" i="7"/>
  <c r="F24" i="7"/>
  <c r="F65" i="7"/>
  <c r="F27" i="7"/>
  <c r="F43" i="7"/>
  <c r="F100" i="7"/>
  <c r="F35" i="7"/>
  <c r="F41" i="7"/>
  <c r="F30" i="7"/>
  <c r="F88" i="7"/>
  <c r="F82" i="7"/>
  <c r="F15" i="7"/>
  <c r="F66" i="7"/>
  <c r="F8" i="7"/>
  <c r="F83" i="7"/>
</calcChain>
</file>

<file path=xl/sharedStrings.xml><?xml version="1.0" encoding="utf-8"?>
<sst xmlns="http://schemas.openxmlformats.org/spreadsheetml/2006/main" count="5267" uniqueCount="1935">
  <si>
    <t>Gender</t>
  </si>
  <si>
    <t>Male</t>
  </si>
  <si>
    <t>Female</t>
  </si>
  <si>
    <t>Row</t>
  </si>
  <si>
    <t>Expected</t>
  </si>
  <si>
    <t>Actual</t>
  </si>
  <si>
    <t>Retention of Organisation ID as Organisation Code</t>
  </si>
  <si>
    <t>Organisation Code</t>
  </si>
  <si>
    <t>A12345</t>
  </si>
  <si>
    <t>Anonymised Identifier</t>
  </si>
  <si>
    <t>Baseline Height: Value</t>
  </si>
  <si>
    <t>Baseline Height: Unit of Measure</t>
  </si>
  <si>
    <t>Index Date: Value</t>
  </si>
  <si>
    <t>Index Date: Date</t>
  </si>
  <si>
    <t>Index Date: Patient's Age at Event</t>
  </si>
  <si>
    <t>HbA1c (2a): Value</t>
  </si>
  <si>
    <t>HbA1c (2a): Date</t>
  </si>
  <si>
    <t>HbA1c (2b): Value</t>
  </si>
  <si>
    <t>HbA1c (2b): Date</t>
  </si>
  <si>
    <t>HbA1c (2c): Value</t>
  </si>
  <si>
    <t>HbA1c (2c): Date</t>
  </si>
  <si>
    <t>HbA1c (2d): Value</t>
  </si>
  <si>
    <t>HbA1c (2d): Date</t>
  </si>
  <si>
    <t>HbA1c (2e): Value</t>
  </si>
  <si>
    <t>HbA1c (2e): Date</t>
  </si>
  <si>
    <t>Weight (1a): Value</t>
  </si>
  <si>
    <t>Weight (1a): Unit of Measure</t>
  </si>
  <si>
    <t>Weight (1a): Date</t>
  </si>
  <si>
    <t>Weight (1b): Value</t>
  </si>
  <si>
    <t>Weight (1b): Unit of Measure</t>
  </si>
  <si>
    <t>Weight (1b): Date</t>
  </si>
  <si>
    <t>Weight (2a): Value</t>
  </si>
  <si>
    <t>Weight (2a): Unit of Measure</t>
  </si>
  <si>
    <t>Weight (2a): Date</t>
  </si>
  <si>
    <t>Weight (2b): Value</t>
  </si>
  <si>
    <t>Weight (2b): Unit of Measure</t>
  </si>
  <si>
    <t>Weight (2b): Date</t>
  </si>
  <si>
    <t>Weight (2c): Value</t>
  </si>
  <si>
    <t>Weight (2c): Unit of Measure</t>
  </si>
  <si>
    <t>Weight (2c): Date</t>
  </si>
  <si>
    <t>Weight (2d): Value</t>
  </si>
  <si>
    <t>Weight (2d): Unit of Measure</t>
  </si>
  <si>
    <t>Weight (2d): Date</t>
  </si>
  <si>
    <t>Weight (2e): Value</t>
  </si>
  <si>
    <t>Weight (2e): Unit of Measure</t>
  </si>
  <si>
    <t>Weight (2e): Date</t>
  </si>
  <si>
    <t>BMI (1a): Value</t>
  </si>
  <si>
    <t>BMI (1a): Date</t>
  </si>
  <si>
    <t>BMI (1b): Value</t>
  </si>
  <si>
    <t>BMI (1b): Date</t>
  </si>
  <si>
    <t>BMI (2a): Value</t>
  </si>
  <si>
    <t>BMI (2a): Date</t>
  </si>
  <si>
    <t>BMI (2b): Value</t>
  </si>
  <si>
    <t>BMI (2b): Date</t>
  </si>
  <si>
    <t>BMI (2c): Value</t>
  </si>
  <si>
    <t>BMI (2c): Date</t>
  </si>
  <si>
    <t>BMI (2d): Value</t>
  </si>
  <si>
    <t>BMI (2d): Date</t>
  </si>
  <si>
    <t>BMI (2e): Value</t>
  </si>
  <si>
    <t>BMI (2e): Date</t>
  </si>
  <si>
    <t>Height (1a): Value</t>
  </si>
  <si>
    <t>Height (1a): Unit of Measure</t>
  </si>
  <si>
    <t>Height (1a): Date</t>
  </si>
  <si>
    <t>Height (1b): Value</t>
  </si>
  <si>
    <t>Height (1b): Unit of Measure</t>
  </si>
  <si>
    <t>Height (1b): Date</t>
  </si>
  <si>
    <t>Height (2a): Value</t>
  </si>
  <si>
    <t>Height (2a): Unit of Measure</t>
  </si>
  <si>
    <t>Height (2a): Date</t>
  </si>
  <si>
    <t>Height (2b): Value</t>
  </si>
  <si>
    <t>Height (2b): Unit of Measure</t>
  </si>
  <si>
    <t>Height (2b): Date</t>
  </si>
  <si>
    <t>Height (2c): Value</t>
  </si>
  <si>
    <t>Height (2c): Unit of Measure</t>
  </si>
  <si>
    <t>Height (2c): Date</t>
  </si>
  <si>
    <t>Height (2d): Value</t>
  </si>
  <si>
    <t>Height (2d): Unit of Measure</t>
  </si>
  <si>
    <t>Height (2d): Date</t>
  </si>
  <si>
    <t>Height (2e): Value</t>
  </si>
  <si>
    <t>Height (2e): Unit of Measure</t>
  </si>
  <si>
    <t>Height (2e): Date</t>
  </si>
  <si>
    <t>Pancreatic cancer diagnosis: Date</t>
  </si>
  <si>
    <t>Pancreatic cancer diagnosis: Patient's Age at Event</t>
  </si>
  <si>
    <t>Cancer antigen 19-9 (CA 19-9): Value</t>
  </si>
  <si>
    <t>Cancer antigen 19-9 (CA 19-9): Unit of Measure</t>
  </si>
  <si>
    <t>Cancer antigen 19-9 (CA 19-9): Date</t>
  </si>
  <si>
    <t>Carcinoembryonic antigen (CEA): Value</t>
  </si>
  <si>
    <t>Carcinoembryonic antigen (CEA): Unit of Measure</t>
  </si>
  <si>
    <t>Carcinoembryonic antigen (CEA): Date</t>
  </si>
  <si>
    <t>Retention of Gender as Gender</t>
  </si>
  <si>
    <t>Made-up Medical Practice Ltd.</t>
  </si>
  <si>
    <t>54321A</t>
  </si>
  <si>
    <t>Column header to check</t>
  </si>
  <si>
    <t>Purpose of test</t>
  </si>
  <si>
    <t>Column CE</t>
  </si>
  <si>
    <t>m</t>
  </si>
  <si>
    <t>Kg</t>
  </si>
  <si>
    <t>No valid Index HbA1c &gt;= 48 in date window</t>
  </si>
  <si>
    <t>Retention of blank Gender as Gender</t>
  </si>
  <si>
    <t>3a</t>
  </si>
  <si>
    <t>3b</t>
  </si>
  <si>
    <t>3c</t>
  </si>
  <si>
    <t>3d</t>
  </si>
  <si>
    <t>3e</t>
  </si>
  <si>
    <t>4a</t>
  </si>
  <si>
    <t>4b</t>
  </si>
  <si>
    <t>5a</t>
  </si>
  <si>
    <t>6a</t>
  </si>
  <si>
    <t>7a</t>
  </si>
  <si>
    <t>8a</t>
  </si>
  <si>
    <t>8b</t>
  </si>
  <si>
    <t>9a</t>
  </si>
  <si>
    <t>9b</t>
  </si>
  <si>
    <t>10a</t>
  </si>
  <si>
    <t>10b</t>
  </si>
  <si>
    <t>11a</t>
  </si>
  <si>
    <t>11b</t>
  </si>
  <si>
    <t>12a</t>
  </si>
  <si>
    <t>12b</t>
  </si>
  <si>
    <t>13a</t>
  </si>
  <si>
    <t>13b</t>
  </si>
  <si>
    <t>14a</t>
  </si>
  <si>
    <t>14b</t>
  </si>
  <si>
    <t>7b</t>
  </si>
  <si>
    <t>15a</t>
  </si>
  <si>
    <t>15b</t>
  </si>
  <si>
    <t>16a</t>
  </si>
  <si>
    <t>16b</t>
  </si>
  <si>
    <t>17a</t>
  </si>
  <si>
    <t>17b</t>
  </si>
  <si>
    <t>18a</t>
  </si>
  <si>
    <t>18b</t>
  </si>
  <si>
    <t>19a</t>
  </si>
  <si>
    <t>19b</t>
  </si>
  <si>
    <t>20a</t>
  </si>
  <si>
    <t>20b</t>
  </si>
  <si>
    <t>21a</t>
  </si>
  <si>
    <t>21b</t>
  </si>
  <si>
    <t>22a</t>
  </si>
  <si>
    <t>22b</t>
  </si>
  <si>
    <t>23a</t>
  </si>
  <si>
    <t>23b</t>
  </si>
  <si>
    <t>24a</t>
  </si>
  <si>
    <t>24b</t>
  </si>
  <si>
    <t>25a</t>
  </si>
  <si>
    <t>25b</t>
  </si>
  <si>
    <t>26a</t>
  </si>
  <si>
    <t>HbA1c (2a): Value to HbA1c (2e): Date</t>
  </si>
  <si>
    <t>Weight (1a): Value to Weight (2e): Date</t>
  </si>
  <si>
    <t>BMI (1a): Value to BMI (2e): Date</t>
  </si>
  <si>
    <t>Baseline Height: Value, Baseline Height: Date, Height (1a): Value to Height (2e): Date</t>
  </si>
  <si>
    <t>Cancer antigen 19-9 (CA 19-9): Unit of Measure, Cancer antigen 19-9 (CA 19-9): Unit of Measure, Cancer antigen 19-9 (CA 19-9): Date</t>
  </si>
  <si>
    <t>Pancreatic cancer diagnosis: Date, Pancreatic cancer diagnosis: Patient's Age at Event</t>
  </si>
  <si>
    <t>Carcinoembryonic antigen (CEA): Value, Carcinoembryonic antigen (CEA): Unit of Measure, Carcinoembryonic antigen (CEA): Date</t>
  </si>
  <si>
    <t>26b</t>
  </si>
  <si>
    <t>26c</t>
  </si>
  <si>
    <t>26e</t>
  </si>
  <si>
    <t>26f</t>
  </si>
  <si>
    <t>26g</t>
  </si>
  <si>
    <t>26h</t>
  </si>
  <si>
    <t>26i</t>
  </si>
  <si>
    <t>26j</t>
  </si>
  <si>
    <t>27a</t>
  </si>
  <si>
    <t>27b</t>
  </si>
  <si>
    <t>27c</t>
  </si>
  <si>
    <t>27e</t>
  </si>
  <si>
    <t>27f</t>
  </si>
  <si>
    <t>27g</t>
  </si>
  <si>
    <t>27h</t>
  </si>
  <si>
    <t>28a</t>
  </si>
  <si>
    <t>28b</t>
  </si>
  <si>
    <t>28c</t>
  </si>
  <si>
    <t>29a</t>
  </si>
  <si>
    <t>29b</t>
  </si>
  <si>
    <t>29c</t>
  </si>
  <si>
    <t>30a</t>
  </si>
  <si>
    <t>30b</t>
  </si>
  <si>
    <t>30c</t>
  </si>
  <si>
    <t>31a</t>
  </si>
  <si>
    <t>31b</t>
  </si>
  <si>
    <t>31c</t>
  </si>
  <si>
    <t>32a</t>
  </si>
  <si>
    <t>32b</t>
  </si>
  <si>
    <t>33a</t>
  </si>
  <si>
    <t>33b</t>
  </si>
  <si>
    <t>34a</t>
  </si>
  <si>
    <t>34b</t>
  </si>
  <si>
    <t>35a</t>
  </si>
  <si>
    <t>35b</t>
  </si>
  <si>
    <t>36a</t>
  </si>
  <si>
    <t>36b</t>
  </si>
  <si>
    <t>37a</t>
  </si>
  <si>
    <t>37b</t>
  </si>
  <si>
    <t>38a</t>
  </si>
  <si>
    <t>38b</t>
  </si>
  <si>
    <t>39a</t>
  </si>
  <si>
    <t>39b</t>
  </si>
  <si>
    <t>40a</t>
  </si>
  <si>
    <t>40b</t>
  </si>
  <si>
    <t>41a</t>
  </si>
  <si>
    <t>41b</t>
  </si>
  <si>
    <t>42a</t>
  </si>
  <si>
    <t>42b</t>
  </si>
  <si>
    <t>42c</t>
  </si>
  <si>
    <t>43a</t>
  </si>
  <si>
    <t>43b</t>
  </si>
  <si>
    <t>43c</t>
  </si>
  <si>
    <t>44a</t>
  </si>
  <si>
    <t>44b</t>
  </si>
  <si>
    <t>44c</t>
  </si>
  <si>
    <t>45a</t>
  </si>
  <si>
    <t>45b</t>
  </si>
  <si>
    <t>45c</t>
  </si>
  <si>
    <t>46a</t>
  </si>
  <si>
    <t>46b</t>
  </si>
  <si>
    <t>46c</t>
  </si>
  <si>
    <t>47a</t>
  </si>
  <si>
    <t>47b</t>
  </si>
  <si>
    <t>47c</t>
  </si>
  <si>
    <t>47d</t>
  </si>
  <si>
    <t>48a</t>
  </si>
  <si>
    <t>48b</t>
  </si>
  <si>
    <t>48c</t>
  </si>
  <si>
    <t>48d</t>
  </si>
  <si>
    <t>49a</t>
  </si>
  <si>
    <t>49b</t>
  </si>
  <si>
    <t>49c</t>
  </si>
  <si>
    <t>49d</t>
  </si>
  <si>
    <t>50a</t>
  </si>
  <si>
    <t>50b</t>
  </si>
  <si>
    <t>50c</t>
  </si>
  <si>
    <t>51a</t>
  </si>
  <si>
    <t>51b</t>
  </si>
  <si>
    <t>51c</t>
  </si>
  <si>
    <t>52a</t>
  </si>
  <si>
    <t>52b</t>
  </si>
  <si>
    <t>52c</t>
  </si>
  <si>
    <t>53a</t>
  </si>
  <si>
    <t>53b</t>
  </si>
  <si>
    <t>53c</t>
  </si>
  <si>
    <t>54a</t>
  </si>
  <si>
    <t>54b</t>
  </si>
  <si>
    <t>54c</t>
  </si>
  <si>
    <t>55a</t>
  </si>
  <si>
    <t>55b</t>
  </si>
  <si>
    <t>55c</t>
  </si>
  <si>
    <t>56a</t>
  </si>
  <si>
    <t>56b</t>
  </si>
  <si>
    <t>56c</t>
  </si>
  <si>
    <t>57a</t>
  </si>
  <si>
    <t>57b</t>
  </si>
  <si>
    <t>57c</t>
  </si>
  <si>
    <t>58a</t>
  </si>
  <si>
    <t>58b</t>
  </si>
  <si>
    <t>58c</t>
  </si>
  <si>
    <t>58d</t>
  </si>
  <si>
    <t>58e</t>
  </si>
  <si>
    <t>58f</t>
  </si>
  <si>
    <t>59a</t>
  </si>
  <si>
    <t>59b</t>
  </si>
  <si>
    <t>59c</t>
  </si>
  <si>
    <t>59d</t>
  </si>
  <si>
    <t>59e</t>
  </si>
  <si>
    <t>59f</t>
  </si>
  <si>
    <t>60a</t>
  </si>
  <si>
    <t>60b</t>
  </si>
  <si>
    <t>61a</t>
  </si>
  <si>
    <t>61b</t>
  </si>
  <si>
    <t>62a</t>
  </si>
  <si>
    <t>62b</t>
  </si>
  <si>
    <t>63a</t>
  </si>
  <si>
    <t>63b</t>
  </si>
  <si>
    <t>64a</t>
  </si>
  <si>
    <t>64b</t>
  </si>
  <si>
    <t>65a</t>
  </si>
  <si>
    <t>66b</t>
  </si>
  <si>
    <t>65b</t>
  </si>
  <si>
    <t>66a</t>
  </si>
  <si>
    <t>67a</t>
  </si>
  <si>
    <t>67b</t>
  </si>
  <si>
    <t>68a</t>
  </si>
  <si>
    <t>68b</t>
  </si>
  <si>
    <t>69a</t>
  </si>
  <si>
    <t>69b</t>
  </si>
  <si>
    <t>70a</t>
  </si>
  <si>
    <t>70b</t>
  </si>
  <si>
    <t>71a</t>
  </si>
  <si>
    <t>71b</t>
  </si>
  <si>
    <t>72a</t>
  </si>
  <si>
    <t>72b</t>
  </si>
  <si>
    <t>73a</t>
  </si>
  <si>
    <t>73b</t>
  </si>
  <si>
    <t>74a</t>
  </si>
  <si>
    <t>74b</t>
  </si>
  <si>
    <t>74c</t>
  </si>
  <si>
    <t>74d</t>
  </si>
  <si>
    <t>75a</t>
  </si>
  <si>
    <t>75b</t>
  </si>
  <si>
    <t>75c</t>
  </si>
  <si>
    <t>75d</t>
  </si>
  <si>
    <t>76a</t>
  </si>
  <si>
    <t>76b</t>
  </si>
  <si>
    <t>76c</t>
  </si>
  <si>
    <t>76d</t>
  </si>
  <si>
    <t>77a</t>
  </si>
  <si>
    <t>77b</t>
  </si>
  <si>
    <t>77c</t>
  </si>
  <si>
    <t>77d</t>
  </si>
  <si>
    <t>78a</t>
  </si>
  <si>
    <t>78b</t>
  </si>
  <si>
    <t>78c</t>
  </si>
  <si>
    <t>78d</t>
  </si>
  <si>
    <t>79a</t>
  </si>
  <si>
    <t>79b</t>
  </si>
  <si>
    <t>79c</t>
  </si>
  <si>
    <t>79d</t>
  </si>
  <si>
    <t>80a</t>
  </si>
  <si>
    <t>80b</t>
  </si>
  <si>
    <t>80c</t>
  </si>
  <si>
    <t>80d</t>
  </si>
  <si>
    <t>81a</t>
  </si>
  <si>
    <t>81b</t>
  </si>
  <si>
    <t>81c</t>
  </si>
  <si>
    <t>81d</t>
  </si>
  <si>
    <t>82a</t>
  </si>
  <si>
    <t>82b</t>
  </si>
  <si>
    <t>82c</t>
  </si>
  <si>
    <t>82d</t>
  </si>
  <si>
    <t>82e</t>
  </si>
  <si>
    <t>82f</t>
  </si>
  <si>
    <t>82g</t>
  </si>
  <si>
    <t>82h</t>
  </si>
  <si>
    <t>82i</t>
  </si>
  <si>
    <t>82j</t>
  </si>
  <si>
    <t>82k</t>
  </si>
  <si>
    <t>82l</t>
  </si>
  <si>
    <t>82m</t>
  </si>
  <si>
    <t>82n</t>
  </si>
  <si>
    <t>83a</t>
  </si>
  <si>
    <t>83b</t>
  </si>
  <si>
    <t>83c</t>
  </si>
  <si>
    <t>83d</t>
  </si>
  <si>
    <t>83e</t>
  </si>
  <si>
    <t>83f</t>
  </si>
  <si>
    <t>83g</t>
  </si>
  <si>
    <t>83h</t>
  </si>
  <si>
    <t>83i</t>
  </si>
  <si>
    <t>83j</t>
  </si>
  <si>
    <t>83k</t>
  </si>
  <si>
    <t>83l</t>
  </si>
  <si>
    <t>83m</t>
  </si>
  <si>
    <t>83n</t>
  </si>
  <si>
    <t>84a</t>
  </si>
  <si>
    <t>84b</t>
  </si>
  <si>
    <t>84c</t>
  </si>
  <si>
    <t>84d</t>
  </si>
  <si>
    <t>84e</t>
  </si>
  <si>
    <t>84f</t>
  </si>
  <si>
    <t>84g</t>
  </si>
  <si>
    <t>84h</t>
  </si>
  <si>
    <t>84i</t>
  </si>
  <si>
    <t>84j</t>
  </si>
  <si>
    <t>84k</t>
  </si>
  <si>
    <t>84l</t>
  </si>
  <si>
    <t>84m</t>
  </si>
  <si>
    <t>84n</t>
  </si>
  <si>
    <t>85a</t>
  </si>
  <si>
    <t>85b</t>
  </si>
  <si>
    <t>85c</t>
  </si>
  <si>
    <t>85d</t>
  </si>
  <si>
    <t>85e</t>
  </si>
  <si>
    <t>85f</t>
  </si>
  <si>
    <t>85g</t>
  </si>
  <si>
    <t>85h</t>
  </si>
  <si>
    <t>85i</t>
  </si>
  <si>
    <t>85j</t>
  </si>
  <si>
    <t>85k</t>
  </si>
  <si>
    <t>85l</t>
  </si>
  <si>
    <t>85m</t>
  </si>
  <si>
    <t>85n</t>
  </si>
  <si>
    <t>86a</t>
  </si>
  <si>
    <t>86b</t>
  </si>
  <si>
    <t>87a</t>
  </si>
  <si>
    <t>87b</t>
  </si>
  <si>
    <t>88a</t>
  </si>
  <si>
    <t>88b</t>
  </si>
  <si>
    <t>89a</t>
  </si>
  <si>
    <t>89b</t>
  </si>
  <si>
    <t>90a</t>
  </si>
  <si>
    <t>90b</t>
  </si>
  <si>
    <t>91a</t>
  </si>
  <si>
    <t>91b</t>
  </si>
  <si>
    <t>92a</t>
  </si>
  <si>
    <t>92b</t>
  </si>
  <si>
    <t>93a</t>
  </si>
  <si>
    <t>93b</t>
  </si>
  <si>
    <t>94a</t>
  </si>
  <si>
    <t>94b</t>
  </si>
  <si>
    <t>94c</t>
  </si>
  <si>
    <t>95a</t>
  </si>
  <si>
    <t>95b</t>
  </si>
  <si>
    <t>95c</t>
  </si>
  <si>
    <t>96a</t>
  </si>
  <si>
    <t>96b</t>
  </si>
  <si>
    <t>97a</t>
  </si>
  <si>
    <t>97b</t>
  </si>
  <si>
    <t>98a</t>
  </si>
  <si>
    <t>98b</t>
  </si>
  <si>
    <t>99a</t>
  </si>
  <si>
    <t>99b</t>
  </si>
  <si>
    <t>100a</t>
  </si>
  <si>
    <t>100b</t>
  </si>
  <si>
    <t>101a</t>
  </si>
  <si>
    <t>101b</t>
  </si>
  <si>
    <t>102a</t>
  </si>
  <si>
    <t>102b</t>
  </si>
  <si>
    <t>103a</t>
  </si>
  <si>
    <t>103b</t>
  </si>
  <si>
    <t>104a</t>
  </si>
  <si>
    <t>104b</t>
  </si>
  <si>
    <t>105a</t>
  </si>
  <si>
    <t>105b</t>
  </si>
  <si>
    <t>106a</t>
  </si>
  <si>
    <t>106b</t>
  </si>
  <si>
    <t>106c</t>
  </si>
  <si>
    <t>106d</t>
  </si>
  <si>
    <t>107a</t>
  </si>
  <si>
    <t>107b</t>
  </si>
  <si>
    <t>107c</t>
  </si>
  <si>
    <t>107d</t>
  </si>
  <si>
    <t>108a</t>
  </si>
  <si>
    <t>108b</t>
  </si>
  <si>
    <t>109a</t>
  </si>
  <si>
    <t>109b</t>
  </si>
  <si>
    <t>110a</t>
  </si>
  <si>
    <t>110b</t>
  </si>
  <si>
    <t>111a</t>
  </si>
  <si>
    <t>111b</t>
  </si>
  <si>
    <t>112a</t>
  </si>
  <si>
    <t>112b</t>
  </si>
  <si>
    <t>113a</t>
  </si>
  <si>
    <t>113b</t>
  </si>
  <si>
    <t>114a</t>
  </si>
  <si>
    <t>114b</t>
  </si>
  <si>
    <t>115a</t>
  </si>
  <si>
    <t>115b</t>
  </si>
  <si>
    <t>116a</t>
  </si>
  <si>
    <t>116b</t>
  </si>
  <si>
    <t>117a</t>
  </si>
  <si>
    <t>117b</t>
  </si>
  <si>
    <t>118a</t>
  </si>
  <si>
    <t>118b</t>
  </si>
  <si>
    <t>119a</t>
  </si>
  <si>
    <t>119b</t>
  </si>
  <si>
    <t>120a</t>
  </si>
  <si>
    <t>120b</t>
  </si>
  <si>
    <t>120c</t>
  </si>
  <si>
    <t>120d</t>
  </si>
  <si>
    <t>120e</t>
  </si>
  <si>
    <t>120f</t>
  </si>
  <si>
    <t>120g</t>
  </si>
  <si>
    <t>120h</t>
  </si>
  <si>
    <t>120i</t>
  </si>
  <si>
    <t>120j</t>
  </si>
  <si>
    <t>121a</t>
  </si>
  <si>
    <t>121b</t>
  </si>
  <si>
    <t>121c</t>
  </si>
  <si>
    <t>121d</t>
  </si>
  <si>
    <t>121e</t>
  </si>
  <si>
    <t>121f</t>
  </si>
  <si>
    <t>121g</t>
  </si>
  <si>
    <t>121h</t>
  </si>
  <si>
    <t>122a</t>
  </si>
  <si>
    <t>122b</t>
  </si>
  <si>
    <t>122c</t>
  </si>
  <si>
    <t>122d</t>
  </si>
  <si>
    <t>122e</t>
  </si>
  <si>
    <t>122f</t>
  </si>
  <si>
    <t>123a</t>
  </si>
  <si>
    <t>123b</t>
  </si>
  <si>
    <t>123c</t>
  </si>
  <si>
    <t>123d</t>
  </si>
  <si>
    <t>cm</t>
  </si>
  <si>
    <t>124a</t>
  </si>
  <si>
    <t>124b</t>
  </si>
  <si>
    <t>125a</t>
  </si>
  <si>
    <t>125b</t>
  </si>
  <si>
    <t>Row pass?</t>
  </si>
  <si>
    <t>126a</t>
  </si>
  <si>
    <t>126b</t>
  </si>
  <si>
    <t>126c</t>
  </si>
  <si>
    <t>126d</t>
  </si>
  <si>
    <t>126e</t>
  </si>
  <si>
    <t>126f</t>
  </si>
  <si>
    <t>u/mL</t>
  </si>
  <si>
    <t>ug/L</t>
  </si>
  <si>
    <t>127a</t>
  </si>
  <si>
    <t>127b</t>
  </si>
  <si>
    <t>127c</t>
  </si>
  <si>
    <t>127d</t>
  </si>
  <si>
    <t>127e</t>
  </si>
  <si>
    <t>127f</t>
  </si>
  <si>
    <t>128a</t>
  </si>
  <si>
    <t>128b</t>
  </si>
  <si>
    <t>128c</t>
  </si>
  <si>
    <t>128d</t>
  </si>
  <si>
    <t>128e</t>
  </si>
  <si>
    <t>128f</t>
  </si>
  <si>
    <t>129a</t>
  </si>
  <si>
    <t>129b</t>
  </si>
  <si>
    <t>129c</t>
  </si>
  <si>
    <t>129d</t>
  </si>
  <si>
    <t>129e</t>
  </si>
  <si>
    <t>129f</t>
  </si>
  <si>
    <t>130a</t>
  </si>
  <si>
    <t>130b</t>
  </si>
  <si>
    <t>130c</t>
  </si>
  <si>
    <t>130d</t>
  </si>
  <si>
    <t>130e</t>
  </si>
  <si>
    <t>130f</t>
  </si>
  <si>
    <t>&lt; 2</t>
  </si>
  <si>
    <t>&gt; 0.02</t>
  </si>
  <si>
    <t>131a</t>
  </si>
  <si>
    <t>131b</t>
  </si>
  <si>
    <t>132a</t>
  </si>
  <si>
    <t>132b</t>
  </si>
  <si>
    <t>133a</t>
  </si>
  <si>
    <t>133b</t>
  </si>
  <si>
    <t>134a</t>
  </si>
  <si>
    <t>134b</t>
  </si>
  <si>
    <t>135a</t>
  </si>
  <si>
    <t>5c</t>
  </si>
  <si>
    <t>Z9876543210</t>
  </si>
  <si>
    <t>&gt; 0,01</t>
  </si>
  <si>
    <t>&lt; 1,0</t>
  </si>
  <si>
    <t>6b</t>
  </si>
  <si>
    <t>&lt; 1,71</t>
  </si>
  <si>
    <t>s37-tvs37-7972-tvs14081748</t>
  </si>
  <si>
    <t>z98-czr98-3195-czr11413352</t>
  </si>
  <si>
    <t>o35-jhy35-1410-jhy98184643</t>
  </si>
  <si>
    <t>k68-siq68-4690-siq28680502</t>
  </si>
  <si>
    <t>e91-jhx91-3352-jhx66856817</t>
  </si>
  <si>
    <t>q72-aox72-9223-aox48723502</t>
  </si>
  <si>
    <t>r41-bgz41-4643-bgz15482462</t>
  </si>
  <si>
    <t>k52-oey52-3315-oey68904947</t>
  </si>
  <si>
    <t>n51-vaf51-7783-vaf16655799</t>
  </si>
  <si>
    <t>c58-vce58-6913-vce71102201</t>
  </si>
  <si>
    <t>l93-tkm93-5771-tkm54294906</t>
  </si>
  <si>
    <t>f25-lhw25-9348-lhw77561894</t>
  </si>
  <si>
    <t>h12-hgm12-3904-hgm32914170</t>
  </si>
  <si>
    <t>i87-yio87-6297-yio17262220</t>
  </si>
  <si>
    <t>q93-dmf93-6581-dmf99435818</t>
  </si>
  <si>
    <t>d93-wvr93-5844-wvr74970558</t>
  </si>
  <si>
    <t>z72-ovo72-2611-ovo48477999</t>
  </si>
  <si>
    <t>n71-hhd71-8979-hhd57683904</t>
  </si>
  <si>
    <t>f53-tpu53-2715-tpu24556933</t>
  </si>
  <si>
    <t>v15-mdd15-8138-mdd25639606</t>
  </si>
  <si>
    <t>b29-tkx29-5212-tkx77140621</t>
  </si>
  <si>
    <t>c48-zus48-4617-zus47583928</t>
  </si>
  <si>
    <t>t95-jce95-2093-jce16991623</t>
  </si>
  <si>
    <t>l97-khn97-2960-khn22485908</t>
  </si>
  <si>
    <t>n69-bts69-4970-bts54736387</t>
  </si>
  <si>
    <t>e14-uiz14-5662-uiz82384045</t>
  </si>
  <si>
    <t>r21-ska21-9587-ska25098653</t>
  </si>
  <si>
    <t>e34-mex34-6787-mex43553286</t>
  </si>
  <si>
    <t>i31-jkw31-8905-jkw62734412</t>
  </si>
  <si>
    <t>y33-jat33-3335-jat85679836</t>
  </si>
  <si>
    <t>h76-kis76-4938-kis38105929</t>
  </si>
  <si>
    <t>u31-zqp31-9459-zqp91231268</t>
  </si>
  <si>
    <t>o49-jkn49-7839-jkn34332329</t>
  </si>
  <si>
    <t>p20-gyw20-6871-gyw49709460</t>
  </si>
  <si>
    <t>m27-dqc27-3935-dqc28454247</t>
  </si>
  <si>
    <t>s52-htx52-1036-htx83973833</t>
  </si>
  <si>
    <t>e43-wps43-2693-wps23050035</t>
  </si>
  <si>
    <t>g81-ouo81-3994-ouo28322405</t>
  </si>
  <si>
    <t>f57-bof57-4829-bof96641042</t>
  </si>
  <si>
    <t>y82-esa82-9904-esa40518163</t>
  </si>
  <si>
    <t>s45-hvi45-6031-hvi43823444</t>
  </si>
  <si>
    <t>k69-qnf69-4657-qnf62448236</t>
  </si>
  <si>
    <t>t70-jah70-9011-jah98564143</t>
  </si>
  <si>
    <t>t55-cok55-8142-cok16603394</t>
  </si>
  <si>
    <t>l95-npc95-9861-npc26598233</t>
  </si>
  <si>
    <t>h59-bkb59-6026-bkb38065347</t>
  </si>
  <si>
    <t>p91-lte91-7930-lte15365517</t>
  </si>
  <si>
    <t>g71-umf71-8123-umf64189366</t>
  </si>
  <si>
    <t>x69-ybh69-9682-ybh62423598</t>
  </si>
  <si>
    <t>v38-tli38-4711-tli16669709</t>
  </si>
  <si>
    <t>k68-uss68-8269-uss75775023</t>
  </si>
  <si>
    <t>e95-egy95-8378-egy33175369</t>
  </si>
  <si>
    <t>g78-sxf78-3776-sxf42045997</t>
  </si>
  <si>
    <t>o66-qvq66-2254-qvq48243622</t>
  </si>
  <si>
    <t>e44-raq44-5361-raq90954158</t>
  </si>
  <si>
    <t>i42-lsn42-4707-lsn25618900</t>
  </si>
  <si>
    <t>h65-iue65-3759-iue37002908</t>
  </si>
  <si>
    <t>b12-itq12-3864-itq96724464</t>
  </si>
  <si>
    <t>v91-pts91-3867-pts71839814</t>
  </si>
  <si>
    <t>t60-jzn60-3534-jzn62454406</t>
  </si>
  <si>
    <t>m68-jcq68-2379-jcq73216571</t>
  </si>
  <si>
    <t>l29-blt29-1395-blt77973442</t>
  </si>
  <si>
    <t>v84-jgu84-4693-jgu58988021</t>
  </si>
  <si>
    <t>n33-yiq33-1518-yiq42712038</t>
  </si>
  <si>
    <t>j48-rpp48-6557-rpp17087742</t>
  </si>
  <si>
    <t>b62-xnk62-3588-xnk10244338</t>
  </si>
  <si>
    <t>g38-dop38-3166-dop64917698</t>
  </si>
  <si>
    <t>s84-kvl84-3413-kvl85236402</t>
  </si>
  <si>
    <t>f98-nql98-9691-nql24089445</t>
  </si>
  <si>
    <t>q14-jlh14-5552-jlh97152266</t>
  </si>
  <si>
    <t>a12-zhj12-7451-zhj38954408</t>
  </si>
  <si>
    <t>j34-zyg34-6178-zyg82905305</t>
  </si>
  <si>
    <t>u54-epr54-2198-epr19860717</t>
  </si>
  <si>
    <t>q17-bkd17-5497-bkd23142416</t>
  </si>
  <si>
    <t>i47-lly47-5230-lly34574103</t>
  </si>
  <si>
    <t>e45-qjo45-3334-qjo89348508</t>
  </si>
  <si>
    <t>k19-tgd19-2312-tgd13800362</t>
  </si>
  <si>
    <t>s98-qih98-5721-qih71458806</t>
  </si>
  <si>
    <t>k23-osd23-4614-osd39246876</t>
  </si>
  <si>
    <t>a30-kji30-9578-kji98166474</t>
  </si>
  <si>
    <t>p12-gym12-8133-gym75160700</t>
  </si>
  <si>
    <t>k51-bec51-6843-bec14613034</t>
  </si>
  <si>
    <t>o90-wbd90-5325-wbd96780710</t>
  </si>
  <si>
    <t>v69-kbw69-6634-kbw24649120</t>
  </si>
  <si>
    <t>g92-tkt92-5919-tkt61641315</t>
  </si>
  <si>
    <t>l47-ele47-4288-ele97353024</t>
  </si>
  <si>
    <t>h32-zhm32-8112-zhm92165229</t>
  </si>
  <si>
    <t>x47-xdu47-8373-xdu69994567</t>
  </si>
  <si>
    <t>x52-eim52-7640-eim90482808</t>
  </si>
  <si>
    <t>w98-icw98-5021-icw62131779</t>
  </si>
  <si>
    <t>w14-hbx14-8423-hbx98915448</t>
  </si>
  <si>
    <t>g28-pwc28-2164-pwc28027888</t>
  </si>
  <si>
    <t>q37-uup37-9767-uup42060546</t>
  </si>
  <si>
    <t>p85-ill85-1531-ill87076129</t>
  </si>
  <si>
    <t>b80-rgv80-1330-rgv28915522</t>
  </si>
  <si>
    <t>f19-jbx19-9486-jbx54419859</t>
  </si>
  <si>
    <t>k14-ojd14-8327-ojd75978409</t>
  </si>
  <si>
    <t>f76-vot76-2065-vot36455485</t>
  </si>
  <si>
    <t>b41-xjv41-6697-xjv24762497</t>
  </si>
  <si>
    <t>m36-arz36-4790-arz18405710</t>
  </si>
  <si>
    <t>u71-ezs71-7191-ezs89662546</t>
  </si>
  <si>
    <t>d39-svc39-9116-svc83650584</t>
  </si>
  <si>
    <t>v16-yfh16-6605-yfh64610059</t>
  </si>
  <si>
    <t>g96-llw96-7604-llw47003873</t>
  </si>
  <si>
    <t>s30-vik30-1628-vik99455119</t>
  </si>
  <si>
    <t>s23-upi23-9151-upi96622240</t>
  </si>
  <si>
    <t>j90-qxt90-2022-qxt39512286</t>
  </si>
  <si>
    <t>n48-bvz48-5894-bvz11734734</t>
  </si>
  <si>
    <t>r54-vqf54-9100-vqf14208058</t>
  </si>
  <si>
    <t>x11-xle11-9602-xle35880098</t>
  </si>
  <si>
    <t>t88-pey88-8727-pey33267396</t>
  </si>
  <si>
    <t>a67-ebg67-7677-ebg27839382</t>
  </si>
  <si>
    <t>z34-tke34-3307-tke61376807</t>
  </si>
  <si>
    <t>d51-agy51-6095-agy14951379</t>
  </si>
  <si>
    <t>w92-mwl92-1479-mwl84761496</t>
  </si>
  <si>
    <t>v81-drs81-4875-drs75998359</t>
  </si>
  <si>
    <t>m69-tkc69-3486-tkc65614075</t>
  </si>
  <si>
    <t>c66-vyf66-5938-vyf23349633</t>
  </si>
  <si>
    <t>s80-jnm80-4441-jnm62812336</t>
  </si>
  <si>
    <t>u33-gen33-2426-gen96550410</t>
  </si>
  <si>
    <t>k72-yhr72-3955-yhr99863588</t>
  </si>
  <si>
    <t>j33-mdf33-8853-mdf32043488</t>
  </si>
  <si>
    <t>z35-imy35-3850-imy13513055</t>
  </si>
  <si>
    <t>t80-eyi80-4646-eyi16211234</t>
  </si>
  <si>
    <t>h24-mzl24-4915-mzl78953837</t>
  </si>
  <si>
    <t>s98-jht98-7962-jht31425399</t>
  </si>
  <si>
    <t>s83-mcr83-6942-mcr80075934</t>
  </si>
  <si>
    <t>l87-pjo87-3834-pjo67292231</t>
  </si>
  <si>
    <t>r79-hsg79-9492-hsg95691830</t>
  </si>
  <si>
    <t>y93-syl93-2021-syl91780402</t>
  </si>
  <si>
    <t>e13-cgb13-4121-cgb85176144</t>
  </si>
  <si>
    <t>f53-cig53-7136-cig49419256</t>
  </si>
  <si>
    <t>i51-rza51-5035-rza59456838</t>
  </si>
  <si>
    <t>Present</t>
  </si>
  <si>
    <t>70-74</t>
  </si>
  <si>
    <t>100-104</t>
  </si>
  <si>
    <t>Valid</t>
  </si>
  <si>
    <t>Valid 6-9</t>
  </si>
  <si>
    <t>Valid 18-24</t>
  </si>
  <si>
    <t>Equidistant</t>
  </si>
  <si>
    <t>Valid 3-6</t>
  </si>
  <si>
    <t>Valid 24-10yr</t>
  </si>
  <si>
    <t>Closer</t>
  </si>
  <si>
    <t>Further</t>
  </si>
  <si>
    <t>Before index</t>
  </si>
  <si>
    <t>On index</t>
  </si>
  <si>
    <t>After index</t>
  </si>
  <si>
    <t xml:space="preserve"> </t>
  </si>
  <si>
    <t>Anonymised Identifier replaced with 'Present'</t>
  </si>
  <si>
    <t>Retention of Organisation Code</t>
  </si>
  <si>
    <t>Retention of blank Organisation Code</t>
  </si>
  <si>
    <t>Age at index HbA1c age grouping</t>
  </si>
  <si>
    <t>Retention of Index HbA1c value</t>
  </si>
  <si>
    <t>1a</t>
  </si>
  <si>
    <t>1b</t>
  </si>
  <si>
    <t>1c</t>
  </si>
  <si>
    <t>1d</t>
  </si>
  <si>
    <t>1e</t>
  </si>
  <si>
    <t>1f</t>
  </si>
  <si>
    <t>1g</t>
  </si>
  <si>
    <t>1h</t>
  </si>
  <si>
    <t>1i</t>
  </si>
  <si>
    <t>1j</t>
  </si>
  <si>
    <t>1k</t>
  </si>
  <si>
    <t>1l</t>
  </si>
  <si>
    <t>1m</t>
  </si>
  <si>
    <t>1n</t>
  </si>
  <si>
    <t>1o</t>
  </si>
  <si>
    <t>1p</t>
  </si>
  <si>
    <t>1q</t>
  </si>
  <si>
    <t>1r</t>
  </si>
  <si>
    <t>1s</t>
  </si>
  <si>
    <t>1t</t>
  </si>
  <si>
    <t>1u</t>
  </si>
  <si>
    <t>1v</t>
  </si>
  <si>
    <t>1w</t>
  </si>
  <si>
    <t>1x</t>
  </si>
  <si>
    <t>1y</t>
  </si>
  <si>
    <t>1z</t>
  </si>
  <si>
    <t>1aa</t>
  </si>
  <si>
    <t>1ab</t>
  </si>
  <si>
    <t>1ac</t>
  </si>
  <si>
    <t>1ad</t>
  </si>
  <si>
    <t>1ae</t>
  </si>
  <si>
    <t>1af</t>
  </si>
  <si>
    <t>1ag</t>
  </si>
  <si>
    <t>1ah</t>
  </si>
  <si>
    <t>1ai</t>
  </si>
  <si>
    <t>1aj</t>
  </si>
  <si>
    <t>1ak</t>
  </si>
  <si>
    <t>1al</t>
  </si>
  <si>
    <t>1am</t>
  </si>
  <si>
    <t>1an</t>
  </si>
  <si>
    <t>1ao</t>
  </si>
  <si>
    <t>1ap</t>
  </si>
  <si>
    <t>1aq</t>
  </si>
  <si>
    <t>1ar</t>
  </si>
  <si>
    <t>1as</t>
  </si>
  <si>
    <t>1at</t>
  </si>
  <si>
    <t>1au</t>
  </si>
  <si>
    <t>1av</t>
  </si>
  <si>
    <t>1aw</t>
  </si>
  <si>
    <t>1ax</t>
  </si>
  <si>
    <t>1ay</t>
  </si>
  <si>
    <t>1az</t>
  </si>
  <si>
    <t>1ba</t>
  </si>
  <si>
    <t>1bb</t>
  </si>
  <si>
    <t>1bc</t>
  </si>
  <si>
    <t>1bd</t>
  </si>
  <si>
    <t>1be</t>
  </si>
  <si>
    <t>1bf</t>
  </si>
  <si>
    <t>1bg</t>
  </si>
  <si>
    <t>1bh</t>
  </si>
  <si>
    <t>1bi</t>
  </si>
  <si>
    <t>1bj</t>
  </si>
  <si>
    <t>1bk</t>
  </si>
  <si>
    <t>1bl</t>
  </si>
  <si>
    <t>1bm</t>
  </si>
  <si>
    <t>1bn</t>
  </si>
  <si>
    <t>1bo</t>
  </si>
  <si>
    <t>1bp</t>
  </si>
  <si>
    <t>1bq</t>
  </si>
  <si>
    <t>1br</t>
  </si>
  <si>
    <t>1bs</t>
  </si>
  <si>
    <t>1bt</t>
  </si>
  <si>
    <t>1bu</t>
  </si>
  <si>
    <t>1bv</t>
  </si>
  <si>
    <t>1bw</t>
  </si>
  <si>
    <t>1bx</t>
  </si>
  <si>
    <t>1by</t>
  </si>
  <si>
    <t>1bz</t>
  </si>
  <si>
    <t>1ca</t>
  </si>
  <si>
    <t>1cb</t>
  </si>
  <si>
    <t>1cc</t>
  </si>
  <si>
    <t>1cd</t>
  </si>
  <si>
    <t>1ce</t>
  </si>
  <si>
    <t>2a</t>
  </si>
  <si>
    <t>2b</t>
  </si>
  <si>
    <t>2c</t>
  </si>
  <si>
    <t>2d</t>
  </si>
  <si>
    <t>2e</t>
  </si>
  <si>
    <t>2f</t>
  </si>
  <si>
    <t>2g</t>
  </si>
  <si>
    <t>2h</t>
  </si>
  <si>
    <t>2i</t>
  </si>
  <si>
    <t>2j</t>
  </si>
  <si>
    <t>2k</t>
  </si>
  <si>
    <t>2l</t>
  </si>
  <si>
    <t>2m</t>
  </si>
  <si>
    <t>136a</t>
  </si>
  <si>
    <t>136b</t>
  </si>
  <si>
    <t>136c</t>
  </si>
  <si>
    <t>Space inserted flagging end column of processing</t>
  </si>
  <si>
    <t>Replacement of Index HbA1c date with 'Present'</t>
  </si>
  <si>
    <t>No non-Index HbA1c values or dates as none present</t>
  </si>
  <si>
    <t>No weight data as none present</t>
  </si>
  <si>
    <t>No BMI data as none present</t>
  </si>
  <si>
    <t>No height data as none present</t>
  </si>
  <si>
    <t>No pancreatic cancer data as none present</t>
  </si>
  <si>
    <t>No CA 19-9 data as none present</t>
  </si>
  <si>
    <t>No CEA data as none present</t>
  </si>
  <si>
    <t>Retention of Organisation Code in letter and number format</t>
  </si>
  <si>
    <t>Retention of Organisation Code in number and letter format</t>
  </si>
  <si>
    <t xml:space="preserve">Retention of Organisation Code  with multiple words with dash and full stop </t>
  </si>
  <si>
    <t>Retention of Baseline Height result FORMAT</t>
  </si>
  <si>
    <t>Retention of Baseline Height result UoM</t>
  </si>
  <si>
    <t>Retention of HbA1c 2a result (274-455 days pre-index)</t>
  </si>
  <si>
    <t>Removal of HbA1c 2b result (456-546 days pre-index)</t>
  </si>
  <si>
    <t>Removal of HbA1c 2c result (183-273 days pre-index)</t>
  </si>
  <si>
    <t>Removal of HbA1c 2d result (92-182 days pre-index)</t>
  </si>
  <si>
    <t>Removal of HbA1c 2e result (547-728 days pre-index)</t>
  </si>
  <si>
    <t>Retention of Weight 1a result (0-91 days post-index)</t>
  </si>
  <si>
    <t>Retention of Weight 1a result UoM (0-91 days post-index)</t>
  </si>
  <si>
    <t>Removal of Weight 1b result (1-91 days pre-index)</t>
  </si>
  <si>
    <t>Retention of Weight 1b result UoM (1-91 days pre-index)</t>
  </si>
  <si>
    <t>Removal of Weight 2a result (274-364 days pre-index)</t>
  </si>
  <si>
    <t>Retention of Weight 2a result UoM (274-364 days pre-index)</t>
  </si>
  <si>
    <t>Retention of Weight 2b result (365-455 days pre-index)</t>
  </si>
  <si>
    <t>Retention of Weight 2b result UoM (365-455 days pre-index)</t>
  </si>
  <si>
    <t>Retention of Weight 2c result UoM (456-546 days pre-index)</t>
  </si>
  <si>
    <t>Retention of Weight 2d result UoM (92-273 days pre-index)</t>
  </si>
  <si>
    <t>Retention of Weight 2e result UoM (547-3652 days pre-index)</t>
  </si>
  <si>
    <t>Retention of Height 1a result UoM (0-91 days post-index)</t>
  </si>
  <si>
    <t>Retention of Height 1b result UoM (1-91 days pre-index)</t>
  </si>
  <si>
    <t>Retention of Height 2a result UoM (274-364 days pre-index)</t>
  </si>
  <si>
    <t>Retention of Height 2b result UoM (365-455 days pre-index)</t>
  </si>
  <si>
    <t>Retention of Height 2c result UoM (456-546 days pre-index)</t>
  </si>
  <si>
    <t>Retention of Height 2d result UoM (92-273 days pre-index)</t>
  </si>
  <si>
    <t>Retention of Height 2e result UoM (547-3652 days pre-index)</t>
  </si>
  <si>
    <t>Retention of CA 19-9 result UoM</t>
  </si>
  <si>
    <t>Retention of CEA 19-9 result UoM</t>
  </si>
  <si>
    <t>Retention of CEA result</t>
  </si>
  <si>
    <t>Retention of CA 19-9 result</t>
  </si>
  <si>
    <t>Age at pancreatic cancer result date age grouping</t>
  </si>
  <si>
    <t>Evaluation of CA 19-9 result date as 'Before index'</t>
  </si>
  <si>
    <t>Evaluation of Height 2e result date (547-3652 days pre-index) as 'Valid 18-24'</t>
  </si>
  <si>
    <t>Removal of Height 2e result (547-3652 days pre-index)</t>
  </si>
  <si>
    <t>Evaluation of Height 2d result date (92-273 days pre-index) as 'Valid 3-6'</t>
  </si>
  <si>
    <t>Removal of Height 2d result (92-273 days pre-index)</t>
  </si>
  <si>
    <t>Evaluation of Height 2c result date (456-546 days pre-index) as 'Valid'</t>
  </si>
  <si>
    <t>Removal of Height 2c result (456-546 days pre-index)</t>
  </si>
  <si>
    <t>Retention of Height 2b result (365-455 days pre-index)</t>
  </si>
  <si>
    <t>Removal of Height 2a result (274-364 days pre-index)</t>
  </si>
  <si>
    <t>Evaluation of Height 1b result date (1-91 days pre-index) as 'Further'</t>
  </si>
  <si>
    <t>Removal of Height 1b result (1-91 days pre-index)</t>
  </si>
  <si>
    <t>Evaluation of Height 1a result date (0-91 days post-index) as 'Closer'</t>
  </si>
  <si>
    <t>Retention of Height 1a result (0-91 days post-index)</t>
  </si>
  <si>
    <t>Retention of BMI 1a result (0-91 days post-index)</t>
  </si>
  <si>
    <t>Evaluation of BMI 1a result date (0-91 days post-index) as 'Closer'</t>
  </si>
  <si>
    <t>Removal of BMI 1b result (1-91 days pre-index)</t>
  </si>
  <si>
    <t>Evaluation of BMI 1b result date (1-91 days pre-index) as 'Further'</t>
  </si>
  <si>
    <t>Removal of BMI 2a result (274-364 days pre-index)</t>
  </si>
  <si>
    <t>Retention of BMI 2b result (365-455 days pre-index)</t>
  </si>
  <si>
    <t>Removal of BMI 2c result (456-546 days pre-index)</t>
  </si>
  <si>
    <t>Evaluation of BMI 2c result date (456-546 days pre-index) as 'Valid'</t>
  </si>
  <si>
    <t>Removal of BMI 2d result (92-273 days pre-index)</t>
  </si>
  <si>
    <t>Evaluation of BMI 2d result date (92-273 days pre-index) as 'Valid 3-6'</t>
  </si>
  <si>
    <t>Removal of BMI 2e result (547-3652 days pre-index)</t>
  </si>
  <si>
    <t>Evaluation of BMI 2e result date (547-3652 days pre-index) as 'Valid 18-24'</t>
  </si>
  <si>
    <t>Evaluation of HbA1c 2a date (274-455 days pre-index) as 'Valid'</t>
  </si>
  <si>
    <t>Evaluation of HbA1c 2b date (456-546 days pre-index) as 'Valid'</t>
  </si>
  <si>
    <t>Evaluation of HbA1c 2c date (183-273 days pre-index) as 'Valid'</t>
  </si>
  <si>
    <t>Evaluation of HbA1c 2d date (92-182 days pre-index) as 'Valid'</t>
  </si>
  <si>
    <t>Evaluation of HbA1c 2e date (547-728 days pre-index) as 'Valid'</t>
  </si>
  <si>
    <t>Evaluation of Weight 1a result date (0-91 days post-index) as 'Closer'</t>
  </si>
  <si>
    <t>Evaluation of Weight 1b result date (1-91 days pre-index) as 'Further'</t>
  </si>
  <si>
    <t>Evaluation of Weight 2a result date (274-364 days pre-index) as 'Further'</t>
  </si>
  <si>
    <t>Evaluation of Weight 2b result date (365-455 days pre-index) as 'Closer'</t>
  </si>
  <si>
    <t>Removal of Weight 2c result (456-546 days pre-index)</t>
  </si>
  <si>
    <t>Evaluation of Weight 2c result date (456-546 days pre-index) as 'Valid'</t>
  </si>
  <si>
    <t>Removal of Weight 2d result (92-273 days pre-index)</t>
  </si>
  <si>
    <t>Evaluation of Weight 2d result date (92-273 days pre-index) as 'Valid 3-6'</t>
  </si>
  <si>
    <t>Removal of Weight 2e result (547-3652 days pre-index)</t>
  </si>
  <si>
    <t>Evaluation of Weight 2e result date (547-3652 days pre-index) as 'Valid 18-24'</t>
  </si>
  <si>
    <t>Inval (+1 days)</t>
  </si>
  <si>
    <t>Inval (-1 days)</t>
  </si>
  <si>
    <t>Evaluation of HbA1c 2a date (274-455 days pre-index) as 'Inval (+1)'</t>
  </si>
  <si>
    <t>Evaluation of HbA1c 2a date (274-455 days pre-index) as 'Inval (-1)'</t>
  </si>
  <si>
    <t>Retention of HbA1c 2b result (456-546 days pre-index)</t>
  </si>
  <si>
    <t>Evaluation of HbA1c 2b date (456-546 days pre-index) as 'Inval (+1)'</t>
  </si>
  <si>
    <t>Evaluation of HbA1c 2b date (456-546 days pre-index) as 'Inval (-1)'</t>
  </si>
  <si>
    <t>Retention of HbA1c 2c result (183-273 days pre-index)</t>
  </si>
  <si>
    <t>Evaluation of HbA1c 2c date (183-273 days pre-index) as 'Inval (+1)'</t>
  </si>
  <si>
    <t>Evaluation of HbA1c 2c date (183-273 days pre-index) as 'Inval (-1)'</t>
  </si>
  <si>
    <t>Retention of HbA1c 2d result (92-182 days pre-index)</t>
  </si>
  <si>
    <t>Evaluation of HbA1c 2d date (92-182 days pre-index) as 'Inval (-1)'</t>
  </si>
  <si>
    <t>Evaluation of HbA1c 2d date (92-182 days pre-index) as 'Inval (+1)'</t>
  </si>
  <si>
    <t>Retention of HbA1c 2e result (547-728 days pre-index)</t>
  </si>
  <si>
    <t>Evaluation of HbA1c 2e date (547-728 days pre-index) as 'Inval (-1)'</t>
  </si>
  <si>
    <t>Evaluation of HbA1c 2e date (547-728 days pre-index) as 'Inval (+1)'</t>
  </si>
  <si>
    <t>Retention or relocation to first row of header Organisation Code</t>
  </si>
  <si>
    <t>Retention or relocation to first row of header Anonymised Identifier</t>
  </si>
  <si>
    <t>Retention or relocation to first row of header Baseline Height: Value</t>
  </si>
  <si>
    <t>Retention or relocation to first row of header Baseline Height: Unit of Measure</t>
  </si>
  <si>
    <t>Retention or relocation to first row of header Index Date: Value</t>
  </si>
  <si>
    <t>Retention or relocation to first row of header Index Date: Date</t>
  </si>
  <si>
    <t>Retention or relocation to first row of header Index Date: Patient's Age at Event</t>
  </si>
  <si>
    <t>Retention or relocation to first row of header Gender</t>
  </si>
  <si>
    <t>Retention or relocation to first row of header HbA1c (2a): Value</t>
  </si>
  <si>
    <t>Retention or relocation to first row of header HbA1c (2a): Date</t>
  </si>
  <si>
    <t>Retention or relocation to first row of header HbA1c (2b): Value</t>
  </si>
  <si>
    <t>Retention or relocation to first row of header HbA1c (2b): Date</t>
  </si>
  <si>
    <t>Retention or relocation to first row of header HbA1c (2c): Value</t>
  </si>
  <si>
    <t>Retention or relocation to first row of header HbA1c (2c): Date</t>
  </si>
  <si>
    <t>Retention or relocation to first row of header HbA1c (2d): Value</t>
  </si>
  <si>
    <t>Retention or relocation to first row of header HbA1c (2d): Date</t>
  </si>
  <si>
    <t>Retention or relocation to first row of header HbA1c (2e): Value</t>
  </si>
  <si>
    <t>Retention or relocation to first row of header HbA1c (2e): Date</t>
  </si>
  <si>
    <t>Retention or relocation to first row of header Weight (1a): Value</t>
  </si>
  <si>
    <t>Retention or relocation to first row of header Weight (1a): Unit of Measure</t>
  </si>
  <si>
    <t>Retention or relocation to first row of header Weight (1a): Date</t>
  </si>
  <si>
    <t>Retention or relocation to first row of header Weight (1b): Value</t>
  </si>
  <si>
    <t>Retention or relocation to first row of header Weight (1b): Unit of Measure</t>
  </si>
  <si>
    <t>Retention or relocation to first row of header Weight (1b): Date</t>
  </si>
  <si>
    <t>Retention or relocation to first row of header Weight (2a): Value</t>
  </si>
  <si>
    <t>Retention or relocation to first row of header Weight (2a): Unit of Measure</t>
  </si>
  <si>
    <t>Retention or relocation to first row of header Weight (2a): Date</t>
  </si>
  <si>
    <t>Retention or relocation to first row of header Weight (2b): Value</t>
  </si>
  <si>
    <t>Retention or relocation to first row of header Weight (2b): Unit of Measure</t>
  </si>
  <si>
    <t>Retention or relocation to first row of header Weight (2b): Date</t>
  </si>
  <si>
    <t>Retention or relocation to first row of header Weight (2c): Value</t>
  </si>
  <si>
    <t>Retention or relocation to first row of header Weight (2c): Unit of Measure</t>
  </si>
  <si>
    <t>Retention or relocation to first row of header Weight (2c): Date</t>
  </si>
  <si>
    <t>Retention or relocation to first row of header Weight (2d): Value</t>
  </si>
  <si>
    <t>Retention or relocation to first row of header Weight (2d): Unit of Measure</t>
  </si>
  <si>
    <t>Retention or relocation to first row of header Weight (2d): Date</t>
  </si>
  <si>
    <t>Retention or relocation to first row of header Weight (2e): Value</t>
  </si>
  <si>
    <t>Retention or relocation to first row of header Weight (2e): Unit of Measure</t>
  </si>
  <si>
    <t>Retention or relocation to first row of header Weight (2e): Date</t>
  </si>
  <si>
    <t>Retention or relocation to first row of header BMI (1a): Value</t>
  </si>
  <si>
    <t>Retention or relocation to first row of header BMI (1a): Date</t>
  </si>
  <si>
    <t>Retention or relocation to first row of header BMI (1b): Value</t>
  </si>
  <si>
    <t>Retention or relocation to first row of header BMI (1b): Date</t>
  </si>
  <si>
    <t>Retention or relocation to first row of header BMI (2a): Value</t>
  </si>
  <si>
    <t>Retention or relocation to first row of header BMI (2a): Date</t>
  </si>
  <si>
    <t>Retention or relocation to first row of header BMI (2b): Value</t>
  </si>
  <si>
    <t>Retention or relocation to first row of header BMI (2b): Date</t>
  </si>
  <si>
    <t>Retention or relocation to first row of header BMI (2c): Value</t>
  </si>
  <si>
    <t>Retention or relocation to first row of header BMI (2c): Date</t>
  </si>
  <si>
    <t>Retention or relocation to first row of header BMI (2d): Value</t>
  </si>
  <si>
    <t>Retention or relocation to first row of header BMI (2d): Date</t>
  </si>
  <si>
    <t>Retention or relocation to first row of header BMI (2e): Value</t>
  </si>
  <si>
    <t>Retention or relocation to first row of header BMI (2e): Date</t>
  </si>
  <si>
    <t>Retention or relocation to first row of header Height (1a): Value</t>
  </si>
  <si>
    <t>Retention or relocation to first row of header Height (1a): Unit of Measure</t>
  </si>
  <si>
    <t>Retention or relocation to first row of header Height (1a): Date</t>
  </si>
  <si>
    <t>Retention or relocation to first row of header Height (1b): Value</t>
  </si>
  <si>
    <t>Retention or relocation to first row of header Height (1b): Unit of Measure</t>
  </si>
  <si>
    <t>Retention or relocation to first row of header Height (1b): Date</t>
  </si>
  <si>
    <t>Retention or relocation to first row of header Height (2a): Value</t>
  </si>
  <si>
    <t>Retention or relocation to first row of header Height (2a): Unit of Measure</t>
  </si>
  <si>
    <t>Retention or relocation to first row of header Height (2a): Date</t>
  </si>
  <si>
    <t>Retention or relocation to first row of header Height (2b): Value</t>
  </si>
  <si>
    <t>Retention or relocation to first row of header Height (2b): Unit of Measure</t>
  </si>
  <si>
    <t>Retention or relocation to first row of header Height (2b): Date</t>
  </si>
  <si>
    <t>Retention or relocation to first row of header Height (2c): Value</t>
  </si>
  <si>
    <t>Retention or relocation to first row of header Height (2c): Unit of Measure</t>
  </si>
  <si>
    <t>Retention or relocation to first row of header Height (2c): Date</t>
  </si>
  <si>
    <t>Retention or relocation to first row of header Height (2d): Value</t>
  </si>
  <si>
    <t>Retention or relocation to first row of header Height (2d): Unit of Measure</t>
  </si>
  <si>
    <t>Retention or relocation to first row of header Height (2d): Date</t>
  </si>
  <si>
    <t>Retention or relocation to first row of header Height (2e): Value</t>
  </si>
  <si>
    <t>Retention or relocation to first row of header Height (2e): Unit of Measure</t>
  </si>
  <si>
    <t>Retention or relocation to first row of header Height (2e): Date</t>
  </si>
  <si>
    <t>Retention or relocation to first row of header Pancreatic cancer diagnosis: Date</t>
  </si>
  <si>
    <t>Retention or relocation to first row of header Pancreatic cancer diagnosis: Patient's Age at Event</t>
  </si>
  <si>
    <t>Retention or relocation to first row of header Cancer antigen 19-9 (CA 19-9): Value</t>
  </si>
  <si>
    <t>Retention or relocation to first row of header Cancer antigen 19-9 (CA 19-9): Unit of Measure</t>
  </si>
  <si>
    <t>Retention or relocation to first row of header Cancer antigen 19-9 (CA 19-9): Date</t>
  </si>
  <si>
    <t>Retention or relocation to first row of header Carcinoembryonic antigen (CEA): Value</t>
  </si>
  <si>
    <t>Retention or relocation to first row of header Carcinoembryonic antigen (CEA): Unit of Measure</t>
  </si>
  <si>
    <t>Retention or relocation to first row of header Carcinoembryonic antigen (CEA): Date</t>
  </si>
  <si>
    <t>28f</t>
  </si>
  <si>
    <t>28e</t>
  </si>
  <si>
    <t>29f</t>
  </si>
  <si>
    <t>30f</t>
  </si>
  <si>
    <t>30e</t>
  </si>
  <si>
    <t>30g</t>
  </si>
  <si>
    <t>30h</t>
  </si>
  <si>
    <t>30i</t>
  </si>
  <si>
    <t>30j</t>
  </si>
  <si>
    <t>Removal of HbA1c 2a result (274-455 days pre-index)</t>
  </si>
  <si>
    <t>31f</t>
  </si>
  <si>
    <t>31e</t>
  </si>
  <si>
    <t>31g</t>
  </si>
  <si>
    <t>31h</t>
  </si>
  <si>
    <t>31i</t>
  </si>
  <si>
    <t>31j</t>
  </si>
  <si>
    <t>32c</t>
  </si>
  <si>
    <t>32f</t>
  </si>
  <si>
    <t>32e</t>
  </si>
  <si>
    <t>32g</t>
  </si>
  <si>
    <t>32h</t>
  </si>
  <si>
    <t>32i</t>
  </si>
  <si>
    <t>32j</t>
  </si>
  <si>
    <t>33c</t>
  </si>
  <si>
    <t>33f</t>
  </si>
  <si>
    <t>33e</t>
  </si>
  <si>
    <t>33g</t>
  </si>
  <si>
    <t>33h</t>
  </si>
  <si>
    <t>33i</t>
  </si>
  <si>
    <t>33j</t>
  </si>
  <si>
    <t>34c</t>
  </si>
  <si>
    <t>34f</t>
  </si>
  <si>
    <t>34e</t>
  </si>
  <si>
    <t>34g</t>
  </si>
  <si>
    <t>34h</t>
  </si>
  <si>
    <t>34i</t>
  </si>
  <si>
    <t>34j</t>
  </si>
  <si>
    <t>35c</t>
  </si>
  <si>
    <t>35f</t>
  </si>
  <si>
    <t>35e</t>
  </si>
  <si>
    <t>35g</t>
  </si>
  <si>
    <t>35h</t>
  </si>
  <si>
    <t>35i</t>
  </si>
  <si>
    <t>35j</t>
  </si>
  <si>
    <t>36c</t>
  </si>
  <si>
    <t>36f</t>
  </si>
  <si>
    <t>36e</t>
  </si>
  <si>
    <t>36g</t>
  </si>
  <si>
    <t>36h</t>
  </si>
  <si>
    <t>36i</t>
  </si>
  <si>
    <t>36j</t>
  </si>
  <si>
    <t>Inval (+2 days)</t>
  </si>
  <si>
    <t>Inval (+3 days)</t>
  </si>
  <si>
    <t>Inval (+4 days)</t>
  </si>
  <si>
    <t>Evaluation of HbA1c 2d date (92-182 days pre-index) as 'Inval (+4)'</t>
  </si>
  <si>
    <t>Evaluation of HbA1c 2c date (183-273 days pre-index) as 'Inval (+3)'</t>
  </si>
  <si>
    <t>Evaluation of HbA1c 2b date (456-546 days pre-index) as 'Inval (+2)'</t>
  </si>
  <si>
    <t>37c</t>
  </si>
  <si>
    <t>37f</t>
  </si>
  <si>
    <t>37e</t>
  </si>
  <si>
    <t>37g</t>
  </si>
  <si>
    <t>37h</t>
  </si>
  <si>
    <t>37i</t>
  </si>
  <si>
    <t>37j</t>
  </si>
  <si>
    <t>Evaluation of HbA1c 2c date (183-273 days pre-index) as 'Inval (+2)'</t>
  </si>
  <si>
    <t>Evaluation of HbA1c 2d date (92-182 days pre-index) as 'Inval (+3)'</t>
  </si>
  <si>
    <t>38c</t>
  </si>
  <si>
    <t>38f</t>
  </si>
  <si>
    <t>38e</t>
  </si>
  <si>
    <t>38g</t>
  </si>
  <si>
    <t>38h</t>
  </si>
  <si>
    <t>38i</t>
  </si>
  <si>
    <t>38j</t>
  </si>
  <si>
    <t>Evaluation of HbA1c 2e date (547-728 days pre-index) as 'Inval (+4)'</t>
  </si>
  <si>
    <t>Retention of blank Anonymised Identifier</t>
  </si>
  <si>
    <t>d13-uaz15-5672-uez83284045</t>
  </si>
  <si>
    <t>Retention of Index HbA1c result</t>
  </si>
  <si>
    <t>Retention of Index HbA1c result (with very unlikely decimal)</t>
  </si>
  <si>
    <t>4c</t>
  </si>
  <si>
    <t>4d</t>
  </si>
  <si>
    <t>4e</t>
  </si>
  <si>
    <t>Retention of blank Baseline Height: Value</t>
  </si>
  <si>
    <t>Retention of blank Baseline Height: Unit of Measure</t>
  </si>
  <si>
    <t>5d</t>
  </si>
  <si>
    <t>5e</t>
  </si>
  <si>
    <t>Retention of Baseline Height: Value</t>
  </si>
  <si>
    <t>Retention of Baseline Height: Unit of Measure</t>
  </si>
  <si>
    <t>39c</t>
  </si>
  <si>
    <t>40c</t>
  </si>
  <si>
    <t>41c</t>
  </si>
  <si>
    <t>kgs</t>
  </si>
  <si>
    <t>47e</t>
  </si>
  <si>
    <t>47f</t>
  </si>
  <si>
    <t>48e</t>
  </si>
  <si>
    <t>48f</t>
  </si>
  <si>
    <t>49e</t>
  </si>
  <si>
    <t>49f</t>
  </si>
  <si>
    <t>Retention of Weight (2a) result (274-364 days post-index)</t>
  </si>
  <si>
    <t>Retention of Weight (2a) result UoM (274-364 days post-index)</t>
  </si>
  <si>
    <t>Evaluation of Weight (2a) date (274-364 days post-index) as 'Valid'</t>
  </si>
  <si>
    <t>Evaluation of Weight (2a) date (274-364 days post-index) as 'Inval (-1 days)'</t>
  </si>
  <si>
    <t>Evaluation of Weight (2a) date (274-364 days post-index) as 'Inval (+1 days)'</t>
  </si>
  <si>
    <t>Evaluation of Weight (2a) date (274-364 days post-index) as 'Closer'</t>
  </si>
  <si>
    <t>Removal of Weight (2a) result (274-364 days post-index)</t>
  </si>
  <si>
    <t>Evaluation of Weight (2a) date (274-364 days post-index) as 'Further'</t>
  </si>
  <si>
    <t>Evaluation of Weight (2a) date (274-364 days post-index) as 'Equidistant'</t>
  </si>
  <si>
    <t>Retention of Weight (2b) result (365-455 days pre-index)</t>
  </si>
  <si>
    <t>Retention of Weight (2b) result UoM (365-455 days pre-index)</t>
  </si>
  <si>
    <t>Evaluation of Weight (2b) date (365-455 days pre-index) as 'Valid'</t>
  </si>
  <si>
    <t>Evaluation of Weight (2b) date (365-455 days pre-index) as  'Inval (+1 days)'</t>
  </si>
  <si>
    <t>Evaluation of Weight (2b) date (365-455 days pre-index) as 'Inval (-1 days)'</t>
  </si>
  <si>
    <t>Removal of Weight (2b) result (365-455 days pre-index)</t>
  </si>
  <si>
    <t>Evaluation of Weight (2b) date (365-455 days pre-index) as 'Further'</t>
  </si>
  <si>
    <t>Evaluation of Weight (2b) date (365-455 days pre-index) as 'Closer'</t>
  </si>
  <si>
    <t>Evaluation of Weight (2b) date (365-455 days pre-index) as 'Equidistant'</t>
  </si>
  <si>
    <t>Retention of Weight (1a) result (0-91 days post-index)</t>
  </si>
  <si>
    <t>Retention of Weight (1a) result UoM (0-91 days post-index)</t>
  </si>
  <si>
    <t>Evaluation of Weight (1a) date (0-91 days post-index) as 'Valid'</t>
  </si>
  <si>
    <t>Evaluation of Weight (1a) date (0-91 days post-index) as 'Inval (-1 days)'</t>
  </si>
  <si>
    <t>Evaluation of Weight (1a) date (0-91 days post-index) as 'Inval (+1 days)'</t>
  </si>
  <si>
    <t>Evaluation of Weight (1a) date (0-91 days post-index) as 'Closer'</t>
  </si>
  <si>
    <t>Removal of Weight (1a) result (0-91 days post-index)</t>
  </si>
  <si>
    <t>Evaluation of Weight (1a) date (0-91 days post-index) as 'Further'</t>
  </si>
  <si>
    <t>Evaluation of Weight (1a) date (0-91 days post-index) as 'Equidistant'</t>
  </si>
  <si>
    <t>Retention of Weight (1b) result (1-91 days pre-index)</t>
  </si>
  <si>
    <t>Retention of Weight (1b) result UoM (1-91 days pre-index)</t>
  </si>
  <si>
    <t>Evaluation of Weight (1b) date (1-91 days pre-index) as 'Valid'</t>
  </si>
  <si>
    <t>Evaluation of Weight (1b) date (1-91 days pre-index) as  'Inval (+1 days)'</t>
  </si>
  <si>
    <t>Evaluation of Weight (1b) date (1-91 days pre-index) as 'Inval (-1 days)'</t>
  </si>
  <si>
    <t>Removal of Weight (1b) result (1-91 days pre-index)</t>
  </si>
  <si>
    <t>Evaluation of Weight (1b) date (1-91 days pre-index) as 'Further'</t>
  </si>
  <si>
    <t>Evaluation of Weight (1b) date (1-91 days pre-index) as 'Closer'</t>
  </si>
  <si>
    <t>Evaluation of Weight (1b) date (1-91 days pre-index) as 'Equidistant'</t>
  </si>
  <si>
    <t>60c</t>
  </si>
  <si>
    <t>60d</t>
  </si>
  <si>
    <t>60e</t>
  </si>
  <si>
    <t>60f</t>
  </si>
  <si>
    <t>61c</t>
  </si>
  <si>
    <t>62c</t>
  </si>
  <si>
    <t>63c</t>
  </si>
  <si>
    <t>64c</t>
  </si>
  <si>
    <t>65c</t>
  </si>
  <si>
    <t>66c</t>
  </si>
  <si>
    <t>67c</t>
  </si>
  <si>
    <t>68c</t>
  </si>
  <si>
    <t>Retention of Weight (2c) result (456-546 days post-index)</t>
  </si>
  <si>
    <t>Retention of Weight (2c) result UoM (456-546 days post-index)</t>
  </si>
  <si>
    <t>Evaluation of Weight (2c) date (456-546 days post-index) as 'Valid'</t>
  </si>
  <si>
    <t>Evaluation of Weight (2c) date (456-546 days post-index) as 'Inval (+1 days)'</t>
  </si>
  <si>
    <t>Evaluation of Weight (2c) date (456-546 days post-index) as 'Inval (-1 days)'</t>
  </si>
  <si>
    <t>Retention of Weight (2d) result (92-273 days pre-index)</t>
  </si>
  <si>
    <t>Retention of Weight (2d) result UoM (92-273 days pre-index)</t>
  </si>
  <si>
    <t>Evaluation of Weight (2d) date (92-273 days pre-index) as  'Inval (+1 days)'</t>
  </si>
  <si>
    <t>Evaluation of Weight (2d) date (92-273 days pre-index) as 'Inval (-1 days)'</t>
  </si>
  <si>
    <t>Evaluation of Weight (2d) date (92-273 days pre-index) as 'Valid 6-9'</t>
  </si>
  <si>
    <t>Evaluation of Weight (2d) date (92-273 days pre-index) as 'Valid 3-6'</t>
  </si>
  <si>
    <t>69c</t>
  </si>
  <si>
    <t>70c</t>
  </si>
  <si>
    <t>71c</t>
  </si>
  <si>
    <t>72c</t>
  </si>
  <si>
    <t>Retention of Weight (2e) result (547-3652 days pre-index)</t>
  </si>
  <si>
    <t>Retention of Weight (2e) result UoM (547-3652 days pre-index)</t>
  </si>
  <si>
    <t>Evaluation of Weight (2e) date (547-3652 days pre-index) as  'Inval (+1 days)'</t>
  </si>
  <si>
    <t>Evaluation of Weight (2e) date (547-3652 days pre-index) as 'Inval (-1 days)'</t>
  </si>
  <si>
    <t>Evaluation of Weight (2e) date (547-3652 days pre-index) as 'Valid 18-24'</t>
  </si>
  <si>
    <t>Evaluation of Weight (2e) date (547-3652 days pre-index) as 'Valid 24-10yr'</t>
  </si>
  <si>
    <t>73c</t>
  </si>
  <si>
    <t>73d</t>
  </si>
  <si>
    <t>73e</t>
  </si>
  <si>
    <t>73f</t>
  </si>
  <si>
    <t>73g</t>
  </si>
  <si>
    <t>73h</t>
  </si>
  <si>
    <t>73i</t>
  </si>
  <si>
    <t>Removal of Weight (2c) result (456-546 days post-index)</t>
  </si>
  <si>
    <t>73j</t>
  </si>
  <si>
    <t>73k</t>
  </si>
  <si>
    <t>73l</t>
  </si>
  <si>
    <t>Removal of Weight (2e) result (547-3652 days pre-index)</t>
  </si>
  <si>
    <t>Removal of Weight (2d) result (92-273 days pre-index)</t>
  </si>
  <si>
    <t>74e</t>
  </si>
  <si>
    <t>74f</t>
  </si>
  <si>
    <t>74g</t>
  </si>
  <si>
    <t>74h</t>
  </si>
  <si>
    <t>74i</t>
  </si>
  <si>
    <t>74j</t>
  </si>
  <si>
    <t>Removal of Weight (2d) result (92-274 days pre-index)</t>
  </si>
  <si>
    <t>74k</t>
  </si>
  <si>
    <t>Retention of Weight (2d) result UoM (92-274 days pre-index)</t>
  </si>
  <si>
    <t>74l</t>
  </si>
  <si>
    <t>Evaluation of Weight (2d) date (92-274 days pre-index) as 'Valid 3-6'</t>
  </si>
  <si>
    <t>73m</t>
  </si>
  <si>
    <t>73n</t>
  </si>
  <si>
    <t>73o</t>
  </si>
  <si>
    <t>75e</t>
  </si>
  <si>
    <t>75f</t>
  </si>
  <si>
    <t>75g</t>
  </si>
  <si>
    <t>Removal of Weight (2d) result (92-275 days pre-index)</t>
  </si>
  <si>
    <t>75h</t>
  </si>
  <si>
    <t>Retention of Weight (2d) result UoM (92-275 days pre-index)</t>
  </si>
  <si>
    <t>75i</t>
  </si>
  <si>
    <t>Evaluation of Weight (2d) date (92-275 days pre-index) as 'Valid 3-6'</t>
  </si>
  <si>
    <t>76e</t>
  </si>
  <si>
    <t>76f</t>
  </si>
  <si>
    <t>77e</t>
  </si>
  <si>
    <t>77f</t>
  </si>
  <si>
    <t>77g</t>
  </si>
  <si>
    <t>77h</t>
  </si>
  <si>
    <t>77i</t>
  </si>
  <si>
    <t>77j</t>
  </si>
  <si>
    <t>77k</t>
  </si>
  <si>
    <t>77l</t>
  </si>
  <si>
    <t>77m</t>
  </si>
  <si>
    <t>77n</t>
  </si>
  <si>
    <t>77o</t>
  </si>
  <si>
    <t>Evaluation of Weight (2a) date (274-364 days post-index) as 'Inval (+1)'</t>
  </si>
  <si>
    <t>78e</t>
  </si>
  <si>
    <t>78f</t>
  </si>
  <si>
    <t>78g</t>
  </si>
  <si>
    <t>78h</t>
  </si>
  <si>
    <t>78i</t>
  </si>
  <si>
    <t>78j</t>
  </si>
  <si>
    <t>78k</t>
  </si>
  <si>
    <t>78l</t>
  </si>
  <si>
    <t>78m</t>
  </si>
  <si>
    <t>78n</t>
  </si>
  <si>
    <t>78o</t>
  </si>
  <si>
    <t>Evaluation of Weight (2b) date (365-455 days pre-index) as 'Inval (+1)'</t>
  </si>
  <si>
    <t>79e</t>
  </si>
  <si>
    <t>79f</t>
  </si>
  <si>
    <t>79g</t>
  </si>
  <si>
    <t>79h</t>
  </si>
  <si>
    <t>79i</t>
  </si>
  <si>
    <t>79j</t>
  </si>
  <si>
    <t>79k</t>
  </si>
  <si>
    <t>79l</t>
  </si>
  <si>
    <t>79m</t>
  </si>
  <si>
    <t>79n</t>
  </si>
  <si>
    <t>79o</t>
  </si>
  <si>
    <t>Evaluation of Weight (2c) date (456-546 days post-index) as 'Inval (+1)'</t>
  </si>
  <si>
    <t>80e</t>
  </si>
  <si>
    <t>80f</t>
  </si>
  <si>
    <t>80g</t>
  </si>
  <si>
    <t>80h</t>
  </si>
  <si>
    <t>80i</t>
  </si>
  <si>
    <t>80j</t>
  </si>
  <si>
    <t>80k</t>
  </si>
  <si>
    <t>80l</t>
  </si>
  <si>
    <t>80m</t>
  </si>
  <si>
    <t>80n</t>
  </si>
  <si>
    <t>80o</t>
  </si>
  <si>
    <t>81e</t>
  </si>
  <si>
    <t>81f</t>
  </si>
  <si>
    <t>81g</t>
  </si>
  <si>
    <t>81h</t>
  </si>
  <si>
    <t>81i</t>
  </si>
  <si>
    <t>81j</t>
  </si>
  <si>
    <t>81k</t>
  </si>
  <si>
    <t>81l</t>
  </si>
  <si>
    <t>81m</t>
  </si>
  <si>
    <t>81n</t>
  </si>
  <si>
    <t>81o</t>
  </si>
  <si>
    <t>Evaluation of Weight (2e) date (547-3652 days pre-index) as 'Inval (+1)'</t>
  </si>
  <si>
    <t>82o</t>
  </si>
  <si>
    <t>83o</t>
  </si>
  <si>
    <t>Evaluation of Weight (2c) date (456-546 days post-index) as 'Inval (+3)'</t>
  </si>
  <si>
    <t>Evaluation of Weight (2b) date (365-455 days pre-index) as 'Inval (+2)'</t>
  </si>
  <si>
    <t>Evaluation of Weight (2e) date (547-3652 days pre-index) as 'Valid (18-24)'</t>
  </si>
  <si>
    <t>84o</t>
  </si>
  <si>
    <t>Inval (+5 days)</t>
  </si>
  <si>
    <t>85o</t>
  </si>
  <si>
    <t>Evaluation of Weight (2e) date (547-3652 days pre-index) as 'Inval (+5)'</t>
  </si>
  <si>
    <t>94d</t>
  </si>
  <si>
    <t>95d</t>
  </si>
  <si>
    <t>96c</t>
  </si>
  <si>
    <t>96d</t>
  </si>
  <si>
    <t>105c</t>
  </si>
  <si>
    <t>105d</t>
  </si>
  <si>
    <t>124c</t>
  </si>
  <si>
    <t>124d</t>
  </si>
  <si>
    <t>124e</t>
  </si>
  <si>
    <t>124f</t>
  </si>
  <si>
    <t>124g</t>
  </si>
  <si>
    <t>124h</t>
  </si>
  <si>
    <t>124i</t>
  </si>
  <si>
    <t>124j</t>
  </si>
  <si>
    <t>125c</t>
  </si>
  <si>
    <t>125d</t>
  </si>
  <si>
    <t>125e</t>
  </si>
  <si>
    <t>125f</t>
  </si>
  <si>
    <t>125g</t>
  </si>
  <si>
    <t>125h</t>
  </si>
  <si>
    <t>125i</t>
  </si>
  <si>
    <t>125j</t>
  </si>
  <si>
    <t>126g</t>
  </si>
  <si>
    <t>126h</t>
  </si>
  <si>
    <t>126i</t>
  </si>
  <si>
    <t>126j</t>
  </si>
  <si>
    <t>127g</t>
  </si>
  <si>
    <t>127h</t>
  </si>
  <si>
    <t>127i</t>
  </si>
  <si>
    <t>127j</t>
  </si>
  <si>
    <t>128g</t>
  </si>
  <si>
    <t>128h</t>
  </si>
  <si>
    <t>128i</t>
  </si>
  <si>
    <t>128j</t>
  </si>
  <si>
    <t>129g</t>
  </si>
  <si>
    <t>129h</t>
  </si>
  <si>
    <t>129i</t>
  </si>
  <si>
    <t>129j</t>
  </si>
  <si>
    <t>130g</t>
  </si>
  <si>
    <t>130h</t>
  </si>
  <si>
    <t>130i</t>
  </si>
  <si>
    <t>130j</t>
  </si>
  <si>
    <t>131c</t>
  </si>
  <si>
    <t>131d</t>
  </si>
  <si>
    <t>131e</t>
  </si>
  <si>
    <t>131f</t>
  </si>
  <si>
    <t>131g</t>
  </si>
  <si>
    <t>131h</t>
  </si>
  <si>
    <t>131i</t>
  </si>
  <si>
    <t>131j</t>
  </si>
  <si>
    <t>132c</t>
  </si>
  <si>
    <t>132d</t>
  </si>
  <si>
    <t>132e</t>
  </si>
  <si>
    <t>132f</t>
  </si>
  <si>
    <t>132g</t>
  </si>
  <si>
    <t>132h</t>
  </si>
  <si>
    <t>132i</t>
  </si>
  <si>
    <t>132j</t>
  </si>
  <si>
    <t>Retention of BMI (1a) result (0-91 days post-index)</t>
  </si>
  <si>
    <t>Evaluation of BMI (1a) date (0-91 days post-index) as 'Valid'</t>
  </si>
  <si>
    <t>Evaluation of BMI (1a) date (0-91 days post-index) as 'Inval (-1 days)'</t>
  </si>
  <si>
    <t>Evaluation of BMI (1a) date (0-91 days post-index) as 'Inval (+1 days)'</t>
  </si>
  <si>
    <t>Retention of BMI (1b) result (1-91 days pre-index)</t>
  </si>
  <si>
    <t>Evaluation of BMI (1b) date (1-91 days pre-index) as 'Valid'</t>
  </si>
  <si>
    <t>Evaluation of BMI (1b) date (1-91 days pre-index) as  'Inval (+1 days)'</t>
  </si>
  <si>
    <t>Evaluation of BMI (1b) date (1-91 days pre-index) as 'Inval (-1 days)'</t>
  </si>
  <si>
    <t>Evaluation of BMI (1a) date (0-91 days post-index) as 'Closer'</t>
  </si>
  <si>
    <t>Removal of BMI (1b) result (1-91 days pre-index)</t>
  </si>
  <si>
    <t>Evaluation of BMI (1b) date (1-91 days pre-index) as 'Further'</t>
  </si>
  <si>
    <t>Removal of BMI (1a) result (0-91 days post-index)</t>
  </si>
  <si>
    <t>Evaluation of BMI (1a) date (0-91 days post-index) as 'Further'</t>
  </si>
  <si>
    <t>Evaluation of BMI (1b) date (1-91 days pre-index) as 'Closer'</t>
  </si>
  <si>
    <t>Evaluation of BMI (1a) date (0-91 days post-index) as 'Equidistant'</t>
  </si>
  <si>
    <t>Evaluation of BMI (1b) date (1-91 days pre-index) as 'Equidistant'</t>
  </si>
  <si>
    <t>Retention of BMI (2a) result (274-364 days post-index)</t>
  </si>
  <si>
    <t>Evaluation of BMI (2a) date (274-364 days post-index) as 'Valid'</t>
  </si>
  <si>
    <t>Evaluation of BMI (2a) date (274-364 days post-index) as 'Inval (+1 days)'</t>
  </si>
  <si>
    <t>Evaluation of BMI (2a) date (274-364 days post-index) as 'Inval (-1 days)'</t>
  </si>
  <si>
    <t>Retention of BMI (2b) result (365-455 days pre-index)</t>
  </si>
  <si>
    <t>Evaluation of BMI (2b) date (365-455 days pre-index) as 'Valid'</t>
  </si>
  <si>
    <t>Evaluation of BMI (2b) date (365-455 days pre-index) as  'Inval (+1 days)'</t>
  </si>
  <si>
    <t>Evaluation of BMI (2b) date (365-455 days pre-index) as 'Inval (-1 days)'</t>
  </si>
  <si>
    <t>Evaluation of BMI (2a) date (274-364 days post-index) as 'Closer'</t>
  </si>
  <si>
    <t>Removal of BMI (2b) result (365-455 days pre-index)</t>
  </si>
  <si>
    <t>Evaluation of BMI (2b) date (365-455 days pre-index) as 'Further'</t>
  </si>
  <si>
    <t>Removal of BMI (2a) result (274-364 days post-index)</t>
  </si>
  <si>
    <t>Evaluation of BMI (2a) date (274-364 days post-index) as 'Further'</t>
  </si>
  <si>
    <t>Evaluation of BMI (2b) date (365-455 days pre-index) as 'Closer'</t>
  </si>
  <si>
    <t>Evaluation of BMI (2a) date (274-364 days post-index) as 'Equidistant'</t>
  </si>
  <si>
    <t>Evaluation of BMI (2b) date (365-455 days pre-index) as 'Equidistant'</t>
  </si>
  <si>
    <t>Retention of BMI (2c) result (456-546 days post-index)</t>
  </si>
  <si>
    <t>Evaluation of BMI (2c) date (456-546 days post-index) as 'Valid'</t>
  </si>
  <si>
    <t>Evaluation of BMI (2c) date (456-546 days post-index) as 'Inval (+1 days)'</t>
  </si>
  <si>
    <t>Evaluation of BMI (2c) date (456-546 days post-index) as 'Inval (-1 days)'</t>
  </si>
  <si>
    <t>Retention of BMI (2d) result (92-273 days pre-index)</t>
  </si>
  <si>
    <t>Evaluation of BMI (2d) date (92-273 days pre-index) as 'Valid 3-6'</t>
  </si>
  <si>
    <t>Evaluation of BMI (2d) date (92-273 days pre-index) as  'Inval (+1 days)'</t>
  </si>
  <si>
    <t>Evaluation of BMI (2d) date (92-273 days pre-index) as 'Valid 6-9'</t>
  </si>
  <si>
    <t>Evaluation of BMI (2d) date (92-273 days pre-index) as 'Inval (-1 days)'</t>
  </si>
  <si>
    <t>Retention of BMI (2e) result (547-3652 days pre-index)</t>
  </si>
  <si>
    <t>Evaluation of BMI (2e) date (547-3652 days pre-index) as 'Valid 18-24'</t>
  </si>
  <si>
    <t>Evaluation of BMI (2e) date (547-3652 days pre-index) as  'Inval (+1 days)'</t>
  </si>
  <si>
    <t>Evaluation of BMI (2e) date (547-3652 days pre-index) as 'Valid 24-10yr'</t>
  </si>
  <si>
    <t>Evaluation of BMI (2e) date (547-3652 days pre-index) as 'Inval (-1 days)'</t>
  </si>
  <si>
    <t>Removal of BMI (2c) result (456-546 days post-index)</t>
  </si>
  <si>
    <t>Removal of BMI (2e) result (547-3652 days pre-index)</t>
  </si>
  <si>
    <t>Evaluation of BMI (2a) date (274-364 days post-index) as 'Inval (+1)'</t>
  </si>
  <si>
    <t>Evaluation of BMI (2b) date (365-455 days pre-index) as 'Inval (+1)'</t>
  </si>
  <si>
    <t>Evaluation of BMI (2c) date (456-546 days post-index) as 'Inval (+1)'</t>
  </si>
  <si>
    <t>Evaluation of BMI (2e) date (547-3652 days pre-index) as 'Inval (+1)'</t>
  </si>
  <si>
    <t>Evaluation of BMI (2b) date (365-455 days pre-index) as 'Inval (+2)'</t>
  </si>
  <si>
    <t>Evaluation of BMI (2c) date (456-546 days post-index) as 'Inval (+3)'</t>
  </si>
  <si>
    <t>Evaluation of BMI (2e) date (547-3652 days pre-index) as 'Valid (18-24)'</t>
  </si>
  <si>
    <t>Evaluation of BMI (2e) date (547-3652 days pre-index) as 'Inval (+5)'</t>
  </si>
  <si>
    <t>b50-thx50-9905-thx86254858</t>
  </si>
  <si>
    <t>i89-azw89-5382-azw35795496</t>
  </si>
  <si>
    <t>f96-bwb96-2651-bwb53751367</t>
  </si>
  <si>
    <t>m14-oaq14-9665-oaq77294151</t>
  </si>
  <si>
    <t>k29-ozj29-6339-ozj66325209</t>
  </si>
  <si>
    <t>d83-lpb83-6982-lpb20566192</t>
  </si>
  <si>
    <t>y27-ibl27-8790-ibl39699574</t>
  </si>
  <si>
    <t>q15-ogy15-4069-ogy47508820</t>
  </si>
  <si>
    <t>h53-bcs53-3888-bcs29766721</t>
  </si>
  <si>
    <t>j35-rvm35-5363-rvm39614575</t>
  </si>
  <si>
    <t>w12-oee12-8891-oee64145592</t>
  </si>
  <si>
    <t>b86-vjl86-9549-vjl85759417</t>
  </si>
  <si>
    <t>v70-hpj70-2185-hpj71122243</t>
  </si>
  <si>
    <t>o49-ijz49-4323-ijz36904879</t>
  </si>
  <si>
    <t>g93-iec93-5069-iec83160587</t>
  </si>
  <si>
    <t>m96-miv96-6319-miv73651775</t>
  </si>
  <si>
    <t>w21-vru21-2421-vru14670948</t>
  </si>
  <si>
    <t>f25-ynn25-6440-ynn45082977</t>
  </si>
  <si>
    <t>m96-yjz96-2335-yjz46223930</t>
  </si>
  <si>
    <t>r76-aqx76-7049-aqx39832746</t>
  </si>
  <si>
    <t>l26-ntb26-6077-ntb59897091</t>
  </si>
  <si>
    <t>l39-igd39-6741-igd82820134</t>
  </si>
  <si>
    <t>j90-chy90-3949-chy12941943</t>
  </si>
  <si>
    <t>y27-gcr27-6666-gcr23583945</t>
  </si>
  <si>
    <t>e53-mis53-6907-mis99458751</t>
  </si>
  <si>
    <t>m24-vmc24-6625-vmc74656756</t>
  </si>
  <si>
    <t>v67-fxv67-9030-fxv22266653</t>
  </si>
  <si>
    <t>c16-hpa16-6397-hpa50915505</t>
  </si>
  <si>
    <t>c53-ily53-3175-ily49656589</t>
  </si>
  <si>
    <t>t17-gks17-3034-gks63346138</t>
  </si>
  <si>
    <t>x97-pyy97-3420-pyy74214540</t>
  </si>
  <si>
    <t>i35-wfc35-4068-wfc43159822</t>
  </si>
  <si>
    <t>t34-tes34-3138-tes23402590</t>
  </si>
  <si>
    <t>h71-ijw71-6877-ijw84698217</t>
  </si>
  <si>
    <t>v44-fub44-6788-fub44085286</t>
  </si>
  <si>
    <t>a50-uoj50-4652-uoj18065311</t>
  </si>
  <si>
    <t>o64-bir64-5780-bir75688822</t>
  </si>
  <si>
    <t>v91-otg91-9702-otg64923320</t>
  </si>
  <si>
    <t>m36-jcr36-4991-jcr69180527</t>
  </si>
  <si>
    <t>u81-vnw81-6062-vnw43390149</t>
  </si>
  <si>
    <t>d31-jqv31-1797-jqv61556177</t>
  </si>
  <si>
    <t>z64-wjo64-6615-wjo10475915</t>
  </si>
  <si>
    <t>d52-ahj52-1686-ahj58022602</t>
  </si>
  <si>
    <t>p66-xum66-2033-xum83531279</t>
  </si>
  <si>
    <t>j70-yae70-5185-yae73505724</t>
  </si>
  <si>
    <t>Retention of Height (1a) result (0-91 days post-index)</t>
  </si>
  <si>
    <t>Retention of Height (1a) result UoM (0-91 days post-index)</t>
  </si>
  <si>
    <t>Evaluation of Height (1a) date (0-91 days post-index) as 'Valid'</t>
  </si>
  <si>
    <t>Evaluation of Height (1a) date (0-91 days post-index) as 'Inval (-1 days)'</t>
  </si>
  <si>
    <t>Evaluation of Height (1a) date (0-91 days post-index) as 'Inval (+1 days)'</t>
  </si>
  <si>
    <t>Retention of Height (1b) result (1-91 days pre-index)</t>
  </si>
  <si>
    <t>Retention of Height (1b) result UoM (1-91 days pre-index)</t>
  </si>
  <si>
    <t>Evaluation of Height (1b) date (1-91 days pre-index) as 'Valid'</t>
  </si>
  <si>
    <t>Evaluation of Height (1b) date (1-91 days pre-index) as  'Inval (+1 days)'</t>
  </si>
  <si>
    <t>Evaluation of Height (1b) date (1-91 days pre-index) as 'Inval (-1 days)'</t>
  </si>
  <si>
    <t>Evaluation of Height (1a) date (0-91 days post-index) as 'Closer'</t>
  </si>
  <si>
    <t>Removal of Height (1b) result (1-91 days pre-index)</t>
  </si>
  <si>
    <t>Evaluation of Height (1b) date (1-91 days pre-index) as 'Further'</t>
  </si>
  <si>
    <t>Removal of Height (1a) result (0-91 days post-index)</t>
  </si>
  <si>
    <t>Evaluation of Height (1a) date (0-91 days post-index) as 'Further'</t>
  </si>
  <si>
    <t>Evaluation of Height (1b) date (1-91 days pre-index) as 'Closer'</t>
  </si>
  <si>
    <t>Evaluation of Height (1a) date (0-91 days post-index) as 'Equidistant'</t>
  </si>
  <si>
    <t>Evaluation of Height (1b) date (1-91 days pre-index) as 'Equidistant'</t>
  </si>
  <si>
    <t>Retention of Height (2a) result (274-364 days post-index)</t>
  </si>
  <si>
    <t>Retention of Height (2a) result UoM (274-364 days post-index)</t>
  </si>
  <si>
    <t>Evaluation of Height (2a) date (274-364 days post-index) as 'Valid'</t>
  </si>
  <si>
    <t>Evaluation of Height (2a) date (274-364 days post-index) as 'Inval (+1 days)'</t>
  </si>
  <si>
    <t>Evaluation of Height (2a) date (274-364 days post-index) as 'Inval (-1 days)'</t>
  </si>
  <si>
    <t>Retention of Height (2b) result (365-455 days pre-index)</t>
  </si>
  <si>
    <t>Retention of Height (2b) result UoM (365-455 days pre-index)</t>
  </si>
  <si>
    <t>Evaluation of Height (2b) date (365-455 days pre-index) as 'Valid'</t>
  </si>
  <si>
    <t>Evaluation of Height (2b) date (365-455 days pre-index) as  'Inval (+1 days)'</t>
  </si>
  <si>
    <t>Evaluation of Height (2b) date (365-455 days pre-index) as 'Inval (-1 days)'</t>
  </si>
  <si>
    <t>Evaluation of Height (2a) date (274-364 days post-index) as 'Closer'</t>
  </si>
  <si>
    <t>Removal of Height (2b) result (365-455 days pre-index)</t>
  </si>
  <si>
    <t>Evaluation of Height (2b) date (365-455 days pre-index) as 'Further'</t>
  </si>
  <si>
    <t>Removal of Height (2a) result (274-364 days post-index)</t>
  </si>
  <si>
    <t>Evaluation of Height (2a) date (274-364 days post-index) as 'Further'</t>
  </si>
  <si>
    <t>Evaluation of Height (2b) date (365-455 days pre-index) as 'Closer'</t>
  </si>
  <si>
    <t>Evaluation of Height (2a) date (274-364 days post-index) as 'Equidistant'</t>
  </si>
  <si>
    <t>Evaluation of Height (2b) date (365-455 days pre-index) as 'Equidistant'</t>
  </si>
  <si>
    <t>Retention of Height (2c) result (456-546 days post-index)</t>
  </si>
  <si>
    <t>Retention of Height (2c) result UoM (456-546 days post-index)</t>
  </si>
  <si>
    <t>Evaluation of Height (2c) date (456-546 days post-index) as 'Valid'</t>
  </si>
  <si>
    <t>Evaluation of Height (2c) date (456-546 days post-index) as 'Inval (+1 days)'</t>
  </si>
  <si>
    <t>Evaluation of Height (2c) date (456-546 days post-index) as 'Inval (-1 days)'</t>
  </si>
  <si>
    <t>Retention of Height (2d) result (92-273 days pre-index)</t>
  </si>
  <si>
    <t>Retention of Height (2d) result UoM (92-273 days pre-index)</t>
  </si>
  <si>
    <t>Evaluation of Height (2d) date (92-273 days pre-index) as 'Valid 3-6'</t>
  </si>
  <si>
    <t>Evaluation of Height (2d) date (92-273 days pre-index) as  'Inval (+1 days)'</t>
  </si>
  <si>
    <t>Evaluation of Height (2d) date (92-273 days pre-index) as 'Valid 6-9'</t>
  </si>
  <si>
    <t>Evaluation of Height (2d) date (92-273 days pre-index) as 'Inval (-1 days)'</t>
  </si>
  <si>
    <t>Retention of Height (2e) result (547-3652 days pre-index)</t>
  </si>
  <si>
    <t>Retention of Height (2e) result UoM (547-3652 days pre-index)</t>
  </si>
  <si>
    <t>Evaluation of Height (2e) date (547-3652 days pre-index) as 'Valid 18-24'</t>
  </si>
  <si>
    <t>Evaluation of Height (2e) date (547-3652 days pre-index) as  'Inval (+1 days)'</t>
  </si>
  <si>
    <t>Evaluation of Height (2e) date (547-3652 days pre-index) as 'Valid 24-10yr'</t>
  </si>
  <si>
    <t>Evaluation of Height (2e) date (547-3652 days pre-index) as 'Inval (-1 days)'</t>
  </si>
  <si>
    <t>Removal of Height (2c) result (456-546 days post-index)</t>
  </si>
  <si>
    <t>Removal of Height (2d) result (92-273 days pre-index)</t>
  </si>
  <si>
    <t>Removal of Height (2e) result (547-3652 days pre-index)</t>
  </si>
  <si>
    <t>Evaluation of Height (2a) date (274-364 days post-index) as 'Inval (+1)'</t>
  </si>
  <si>
    <t>Evaluation of Height (2b) date (365-455 days pre-index) as 'Inval (+1)'</t>
  </si>
  <si>
    <t>Evaluation of Height (2c) date (456-546 days post-index) as 'Inval (+1)'</t>
  </si>
  <si>
    <t>Evaluation of Height (2e) date (547-3652 days pre-index) as 'Inval (+1)'</t>
  </si>
  <si>
    <t>Evaluation of Height (2b) date (365-455 days pre-index) as 'Inval (+2)'</t>
  </si>
  <si>
    <t>Evaluation of Height (2c) date (456-546 days post-index) as 'Inval (+3)'</t>
  </si>
  <si>
    <t>Evaluation of Height (2e) date (547-3652 days pre-index) as 'Valid (18-24)'</t>
  </si>
  <si>
    <t>Evaluation of Height (2e) date (547-3652 days pre-index) as 'Inval (+5)'</t>
  </si>
  <si>
    <t>133c</t>
  </si>
  <si>
    <t>134c</t>
  </si>
  <si>
    <t>135b</t>
  </si>
  <si>
    <t>135c</t>
  </si>
  <si>
    <t>137a</t>
  </si>
  <si>
    <t>137b</t>
  </si>
  <si>
    <t>137c</t>
  </si>
  <si>
    <t>138a</t>
  </si>
  <si>
    <t>138b</t>
  </si>
  <si>
    <t>138c</t>
  </si>
  <si>
    <t>139a</t>
  </si>
  <si>
    <t>139b</t>
  </si>
  <si>
    <t>139c</t>
  </si>
  <si>
    <t>140a</t>
  </si>
  <si>
    <t>140b</t>
  </si>
  <si>
    <t>140c</t>
  </si>
  <si>
    <t>141a</t>
  </si>
  <si>
    <t>141b</t>
  </si>
  <si>
    <t>141c</t>
  </si>
  <si>
    <t>141d</t>
  </si>
  <si>
    <t>141e</t>
  </si>
  <si>
    <t>141f</t>
  </si>
  <si>
    <t>142a</t>
  </si>
  <si>
    <t>142b</t>
  </si>
  <si>
    <t>142c</t>
  </si>
  <si>
    <t>142d</t>
  </si>
  <si>
    <t>142e</t>
  </si>
  <si>
    <t>142f</t>
  </si>
  <si>
    <t>143a</t>
  </si>
  <si>
    <t>143b</t>
  </si>
  <si>
    <t>143c</t>
  </si>
  <si>
    <t>143d</t>
  </si>
  <si>
    <t>143e</t>
  </si>
  <si>
    <t>143f</t>
  </si>
  <si>
    <t>144a</t>
  </si>
  <si>
    <t>144b</t>
  </si>
  <si>
    <t>144c</t>
  </si>
  <si>
    <t>145a</t>
  </si>
  <si>
    <t>145b</t>
  </si>
  <si>
    <t>145c</t>
  </si>
  <si>
    <t>146a</t>
  </si>
  <si>
    <t>146b</t>
  </si>
  <si>
    <t>146c</t>
  </si>
  <si>
    <t>147a</t>
  </si>
  <si>
    <t>147b</t>
  </si>
  <si>
    <t>147c</t>
  </si>
  <si>
    <t>148a</t>
  </si>
  <si>
    <t>148b</t>
  </si>
  <si>
    <t>148c</t>
  </si>
  <si>
    <t>150a</t>
  </si>
  <si>
    <t>150b</t>
  </si>
  <si>
    <t>150c</t>
  </si>
  <si>
    <t>149a</t>
  </si>
  <si>
    <t>149b</t>
  </si>
  <si>
    <t>149c</t>
  </si>
  <si>
    <t>151a</t>
  </si>
  <si>
    <t>151b</t>
  </si>
  <si>
    <t>151c</t>
  </si>
  <si>
    <t>152a</t>
  </si>
  <si>
    <t>152b</t>
  </si>
  <si>
    <t>152c</t>
  </si>
  <si>
    <t>152d</t>
  </si>
  <si>
    <t>152e</t>
  </si>
  <si>
    <t>152f</t>
  </si>
  <si>
    <t>153a</t>
  </si>
  <si>
    <t>153b</t>
  </si>
  <si>
    <t>153c</t>
  </si>
  <si>
    <t>153d</t>
  </si>
  <si>
    <t>153e</t>
  </si>
  <si>
    <t>153f</t>
  </si>
  <si>
    <t>154a</t>
  </si>
  <si>
    <t>154b</t>
  </si>
  <si>
    <t>154c</t>
  </si>
  <si>
    <t>154d</t>
  </si>
  <si>
    <t>154e</t>
  </si>
  <si>
    <t>154f</t>
  </si>
  <si>
    <t>155a</t>
  </si>
  <si>
    <t>155b</t>
  </si>
  <si>
    <t>155c</t>
  </si>
  <si>
    <t>156a</t>
  </si>
  <si>
    <t>156b</t>
  </si>
  <si>
    <t>156c</t>
  </si>
  <si>
    <t>157a</t>
  </si>
  <si>
    <t>157b</t>
  </si>
  <si>
    <t>157c</t>
  </si>
  <si>
    <t>158a</t>
  </si>
  <si>
    <t>158b</t>
  </si>
  <si>
    <t>158c</t>
  </si>
  <si>
    <t>159a</t>
  </si>
  <si>
    <t>159b</t>
  </si>
  <si>
    <t>159c</t>
  </si>
  <si>
    <t>160a</t>
  </si>
  <si>
    <t>160b</t>
  </si>
  <si>
    <t>160c</t>
  </si>
  <si>
    <t>161a</t>
  </si>
  <si>
    <t>161b</t>
  </si>
  <si>
    <t>161c</t>
  </si>
  <si>
    <t>162a</t>
  </si>
  <si>
    <t>162b</t>
  </si>
  <si>
    <t>162c</t>
  </si>
  <si>
    <t>163a</t>
  </si>
  <si>
    <t>163b</t>
  </si>
  <si>
    <t>163c</t>
  </si>
  <si>
    <t>164a</t>
  </si>
  <si>
    <t>164b</t>
  </si>
  <si>
    <t>164c</t>
  </si>
  <si>
    <t>165a</t>
  </si>
  <si>
    <t>165b</t>
  </si>
  <si>
    <t>165c</t>
  </si>
  <si>
    <t>166a</t>
  </si>
  <si>
    <t>166b</t>
  </si>
  <si>
    <t>166c</t>
  </si>
  <si>
    <t>167a</t>
  </si>
  <si>
    <t>167b</t>
  </si>
  <si>
    <t>167c</t>
  </si>
  <si>
    <t>167d</t>
  </si>
  <si>
    <t>167e</t>
  </si>
  <si>
    <t>167f</t>
  </si>
  <si>
    <t>167g</t>
  </si>
  <si>
    <t>167h</t>
  </si>
  <si>
    <t>167i</t>
  </si>
  <si>
    <t>167j</t>
  </si>
  <si>
    <t>167k</t>
  </si>
  <si>
    <t>167l</t>
  </si>
  <si>
    <t>167m</t>
  </si>
  <si>
    <t>167n</t>
  </si>
  <si>
    <t>167o</t>
  </si>
  <si>
    <t>168a</t>
  </si>
  <si>
    <t>168b</t>
  </si>
  <si>
    <t>168c</t>
  </si>
  <si>
    <t>168d</t>
  </si>
  <si>
    <t>168e</t>
  </si>
  <si>
    <t>168f</t>
  </si>
  <si>
    <t>168g</t>
  </si>
  <si>
    <t>168h</t>
  </si>
  <si>
    <t>168i</t>
  </si>
  <si>
    <t>168j</t>
  </si>
  <si>
    <t>168k</t>
  </si>
  <si>
    <t>168l</t>
  </si>
  <si>
    <t>169a</t>
  </si>
  <si>
    <t>169b</t>
  </si>
  <si>
    <t>169c</t>
  </si>
  <si>
    <t>169d</t>
  </si>
  <si>
    <t>169e</t>
  </si>
  <si>
    <t>169f</t>
  </si>
  <si>
    <t>169g</t>
  </si>
  <si>
    <t>169h</t>
  </si>
  <si>
    <t>169i</t>
  </si>
  <si>
    <t>170a</t>
  </si>
  <si>
    <t>170b</t>
  </si>
  <si>
    <t>170c</t>
  </si>
  <si>
    <t>170d</t>
  </si>
  <si>
    <t>170e</t>
  </si>
  <si>
    <t>170f</t>
  </si>
  <si>
    <t>171a</t>
  </si>
  <si>
    <t>171b</t>
  </si>
  <si>
    <t>171c</t>
  </si>
  <si>
    <t>171d</t>
  </si>
  <si>
    <t>171e</t>
  </si>
  <si>
    <t>171f</t>
  </si>
  <si>
    <t>171g</t>
  </si>
  <si>
    <t>171h</t>
  </si>
  <si>
    <t>171i</t>
  </si>
  <si>
    <t>171j</t>
  </si>
  <si>
    <t>171k</t>
  </si>
  <si>
    <t>171l</t>
  </si>
  <si>
    <t>171m</t>
  </si>
  <si>
    <t>171n</t>
  </si>
  <si>
    <t>171o</t>
  </si>
  <si>
    <t>172a</t>
  </si>
  <si>
    <t>172b</t>
  </si>
  <si>
    <t>172c</t>
  </si>
  <si>
    <t>172d</t>
  </si>
  <si>
    <t>172e</t>
  </si>
  <si>
    <t>172f</t>
  </si>
  <si>
    <t>172g</t>
  </si>
  <si>
    <t>172h</t>
  </si>
  <si>
    <t>172i</t>
  </si>
  <si>
    <t>172j</t>
  </si>
  <si>
    <t>172k</t>
  </si>
  <si>
    <t>172l</t>
  </si>
  <si>
    <t>172m</t>
  </si>
  <si>
    <t>172n</t>
  </si>
  <si>
    <t>172o</t>
  </si>
  <si>
    <t>173a</t>
  </si>
  <si>
    <t>173b</t>
  </si>
  <si>
    <t>173c</t>
  </si>
  <si>
    <t>173d</t>
  </si>
  <si>
    <t>173e</t>
  </si>
  <si>
    <t>173f</t>
  </si>
  <si>
    <t>173g</t>
  </si>
  <si>
    <t>173h</t>
  </si>
  <si>
    <t>173i</t>
  </si>
  <si>
    <t>173j</t>
  </si>
  <si>
    <t>173k</t>
  </si>
  <si>
    <t>173l</t>
  </si>
  <si>
    <t>173m</t>
  </si>
  <si>
    <t>173n</t>
  </si>
  <si>
    <t>173o</t>
  </si>
  <si>
    <t>Evaluation of Height (2d) date (92-273 days pre-index) as 'Inval (+4)'</t>
  </si>
  <si>
    <t>Evaluation of Height (2d) date (92-273 days pre-index) as 'Inval (+1)'</t>
  </si>
  <si>
    <t>Removal of BMI (2d) result (92-273 days pre-index)</t>
  </si>
  <si>
    <t>Evaluation of BMI (2d) date (92-273 days pre-index) as 'Inval (+4)'</t>
  </si>
  <si>
    <t>Evaluation of BMI (2d) date (92-273 days pre-index) as 'Inval (+1)'</t>
  </si>
  <si>
    <t>Evaluation of Weight (2d) date (92-273 days pre-index) as 'Inval (+4)'</t>
  </si>
  <si>
    <t>Evaluation of Weight (2d) date (92-273 days pre-index) as 'Inval (+1)'</t>
  </si>
  <si>
    <t>CMs</t>
  </si>
  <si>
    <t>174a</t>
  </si>
  <si>
    <t>174b</t>
  </si>
  <si>
    <t>174c</t>
  </si>
  <si>
    <t>174d</t>
  </si>
  <si>
    <t>174e</t>
  </si>
  <si>
    <t>174f</t>
  </si>
  <si>
    <t>174g</t>
  </si>
  <si>
    <t>174h</t>
  </si>
  <si>
    <t>174i</t>
  </si>
  <si>
    <t>174j</t>
  </si>
  <si>
    <t>174k</t>
  </si>
  <si>
    <t>174l</t>
  </si>
  <si>
    <t>174m</t>
  </si>
  <si>
    <t>174n</t>
  </si>
  <si>
    <t>174o</t>
  </si>
  <si>
    <t>175a</t>
  </si>
  <si>
    <t>175b</t>
  </si>
  <si>
    <t>175c</t>
  </si>
  <si>
    <t>175d</t>
  </si>
  <si>
    <t>175e</t>
  </si>
  <si>
    <t>175f</t>
  </si>
  <si>
    <t>175g</t>
  </si>
  <si>
    <t>175h</t>
  </si>
  <si>
    <t>175i</t>
  </si>
  <si>
    <t>175j</t>
  </si>
  <si>
    <t>175k</t>
  </si>
  <si>
    <t>175l</t>
  </si>
  <si>
    <t>175m</t>
  </si>
  <si>
    <t>175n</t>
  </si>
  <si>
    <t>175o</t>
  </si>
  <si>
    <t>176a</t>
  </si>
  <si>
    <t>176b</t>
  </si>
  <si>
    <t>176c</t>
  </si>
  <si>
    <t>176d</t>
  </si>
  <si>
    <t>176e</t>
  </si>
  <si>
    <t>176f</t>
  </si>
  <si>
    <t>176g</t>
  </si>
  <si>
    <t>176h</t>
  </si>
  <si>
    <t>176i</t>
  </si>
  <si>
    <t>176j</t>
  </si>
  <si>
    <t>176k</t>
  </si>
  <si>
    <t>176l</t>
  </si>
  <si>
    <t>176m</t>
  </si>
  <si>
    <t>176n</t>
  </si>
  <si>
    <t>176o</t>
  </si>
  <si>
    <t>177a</t>
  </si>
  <si>
    <t>177b</t>
  </si>
  <si>
    <t>177c</t>
  </si>
  <si>
    <t>177d</t>
  </si>
  <si>
    <t>177e</t>
  </si>
  <si>
    <t>177f</t>
  </si>
  <si>
    <t>177g</t>
  </si>
  <si>
    <t>177h</t>
  </si>
  <si>
    <t>177i</t>
  </si>
  <si>
    <t>177j</t>
  </si>
  <si>
    <t>177k</t>
  </si>
  <si>
    <t>177l</t>
  </si>
  <si>
    <t>177m</t>
  </si>
  <si>
    <t>177n</t>
  </si>
  <si>
    <t>177o</t>
  </si>
  <si>
    <t>178a</t>
  </si>
  <si>
    <t>178b</t>
  </si>
  <si>
    <t>178c</t>
  </si>
  <si>
    <t>178d</t>
  </si>
  <si>
    <t>178e</t>
  </si>
  <si>
    <t>178f</t>
  </si>
  <si>
    <t>178g</t>
  </si>
  <si>
    <t>178h</t>
  </si>
  <si>
    <t>178i</t>
  </si>
  <si>
    <t>178j</t>
  </si>
  <si>
    <t>178k</t>
  </si>
  <si>
    <t>178l</t>
  </si>
  <si>
    <t>178m</t>
  </si>
  <si>
    <t>178n</t>
  </si>
  <si>
    <t>178o</t>
  </si>
  <si>
    <t>179a</t>
  </si>
  <si>
    <t>179b</t>
  </si>
  <si>
    <t>179c</t>
  </si>
  <si>
    <t>179d</t>
  </si>
  <si>
    <t>179e</t>
  </si>
  <si>
    <t>179f</t>
  </si>
  <si>
    <t>179g</t>
  </si>
  <si>
    <t>179h</t>
  </si>
  <si>
    <t>179i</t>
  </si>
  <si>
    <t>179j</t>
  </si>
  <si>
    <t>179k</t>
  </si>
  <si>
    <t>179l</t>
  </si>
  <si>
    <t>179m</t>
  </si>
  <si>
    <t>179n</t>
  </si>
  <si>
    <t>179o</t>
  </si>
  <si>
    <t>180a</t>
  </si>
  <si>
    <t>180b</t>
  </si>
  <si>
    <t>181a</t>
  </si>
  <si>
    <t>181b</t>
  </si>
  <si>
    <t>182a</t>
  </si>
  <si>
    <t>182b</t>
  </si>
  <si>
    <t>50-54</t>
  </si>
  <si>
    <t>Evaluation of pancreatic cancer diagnosis date as 'Before index'</t>
  </si>
  <si>
    <t>Evaluation of pancreatic cancer diagnosis date as 'On index'</t>
  </si>
  <si>
    <t>Evaluation of pancreatic cancer diagnosis date as 'After index'</t>
  </si>
  <si>
    <t>75-79</t>
  </si>
  <si>
    <t>Age at pancreatic cancer diagnosis age grouping</t>
  </si>
  <si>
    <t>183a</t>
  </si>
  <si>
    <t>183b</t>
  </si>
  <si>
    <t>183c</t>
  </si>
  <si>
    <t>184a</t>
  </si>
  <si>
    <t>184b</t>
  </si>
  <si>
    <t>184c</t>
  </si>
  <si>
    <t>185a</t>
  </si>
  <si>
    <t>185b</t>
  </si>
  <si>
    <t>185c</t>
  </si>
  <si>
    <t>Evaluation of CA 19-9 date as 'On index'</t>
  </si>
  <si>
    <t>Evaluation of CA 19-9 date as 'Before index'</t>
  </si>
  <si>
    <t>Evaluation of CA 19-9 date as 'After index'</t>
  </si>
  <si>
    <t>Retention of CA 19-9 UoM</t>
  </si>
  <si>
    <t>186a</t>
  </si>
  <si>
    <t>186b</t>
  </si>
  <si>
    <t>186c</t>
  </si>
  <si>
    <t>187a</t>
  </si>
  <si>
    <t>187b</t>
  </si>
  <si>
    <t>187c</t>
  </si>
  <si>
    <t>188a</t>
  </si>
  <si>
    <t>188b</t>
  </si>
  <si>
    <t>188c</t>
  </si>
  <si>
    <t>Retention of CEA UoM</t>
  </si>
  <si>
    <t>Evaluation of CEA date as 'Before index'</t>
  </si>
  <si>
    <t>Evaluation of CEA date as 'On index'</t>
  </si>
  <si>
    <t>Evaluation of CEA date as 'After index'</t>
  </si>
  <si>
    <t>Removal of row as under 50 years of age at index (i.e. this checks that next row's unusual age group is now present in what was this row)</t>
  </si>
  <si>
    <t>189a</t>
  </si>
  <si>
    <t>189b</t>
  </si>
  <si>
    <t>189c</t>
  </si>
  <si>
    <t>189d</t>
  </si>
  <si>
    <t>189e</t>
  </si>
  <si>
    <t>189f</t>
  </si>
  <si>
    <t>189g</t>
  </si>
  <si>
    <t>189h</t>
  </si>
  <si>
    <t>189i</t>
  </si>
  <si>
    <t>189j</t>
  </si>
  <si>
    <t>189k</t>
  </si>
  <si>
    <t>189l</t>
  </si>
  <si>
    <t>189m</t>
  </si>
  <si>
    <t>189n</t>
  </si>
  <si>
    <t>189o</t>
  </si>
  <si>
    <t>189p</t>
  </si>
  <si>
    <t>189q</t>
  </si>
  <si>
    <t>189r</t>
  </si>
  <si>
    <t>189s</t>
  </si>
  <si>
    <t>189t</t>
  </si>
  <si>
    <t>189u</t>
  </si>
  <si>
    <t>189v</t>
  </si>
  <si>
    <t>189w</t>
  </si>
  <si>
    <t>189x</t>
  </si>
  <si>
    <t>189y</t>
  </si>
  <si>
    <t>189z</t>
  </si>
  <si>
    <t>189aa</t>
  </si>
  <si>
    <t>189ab</t>
  </si>
  <si>
    <t>189ac</t>
  </si>
  <si>
    <t>189ad</t>
  </si>
  <si>
    <t>189ae</t>
  </si>
  <si>
    <t>189af</t>
  </si>
  <si>
    <t>189ag</t>
  </si>
  <si>
    <t>189ah</t>
  </si>
  <si>
    <t>189ai</t>
  </si>
  <si>
    <t>189aj</t>
  </si>
  <si>
    <t>189ak</t>
  </si>
  <si>
    <t>189al</t>
  </si>
  <si>
    <t>189am</t>
  </si>
  <si>
    <t>189an</t>
  </si>
  <si>
    <t>189ao</t>
  </si>
  <si>
    <t>189ap</t>
  </si>
  <si>
    <t>189aq</t>
  </si>
  <si>
    <t>189ar</t>
  </si>
  <si>
    <t>189as</t>
  </si>
  <si>
    <t>189at</t>
  </si>
  <si>
    <t>189au</t>
  </si>
  <si>
    <t>189av</t>
  </si>
  <si>
    <t>189aw</t>
  </si>
  <si>
    <t>189ax</t>
  </si>
  <si>
    <t>189ay</t>
  </si>
  <si>
    <t>189az</t>
  </si>
  <si>
    <t>189ba</t>
  </si>
  <si>
    <t>189bb</t>
  </si>
  <si>
    <t>189bc</t>
  </si>
  <si>
    <t>189bd</t>
  </si>
  <si>
    <t>189be</t>
  </si>
  <si>
    <t>189bf</t>
  </si>
  <si>
    <t>189bg</t>
  </si>
  <si>
    <t>189bh</t>
  </si>
  <si>
    <t>189bi</t>
  </si>
  <si>
    <t>189bj</t>
  </si>
  <si>
    <t>189bk</t>
  </si>
  <si>
    <t>189bl</t>
  </si>
  <si>
    <t>189bm</t>
  </si>
  <si>
    <t>189bn</t>
  </si>
  <si>
    <t>189bo</t>
  </si>
  <si>
    <t>189bp</t>
  </si>
  <si>
    <t>189bq</t>
  </si>
  <si>
    <t>189br</t>
  </si>
  <si>
    <t>189bs</t>
  </si>
  <si>
    <t>189bt</t>
  </si>
  <si>
    <t>189bu</t>
  </si>
  <si>
    <t>189bv</t>
  </si>
  <si>
    <t>189bw</t>
  </si>
  <si>
    <t>189bx</t>
  </si>
  <si>
    <t>189by</t>
  </si>
  <si>
    <t>189bz</t>
  </si>
  <si>
    <t>189ca</t>
  </si>
  <si>
    <t>189cb</t>
  </si>
  <si>
    <t>189cc</t>
  </si>
  <si>
    <t>189cd</t>
  </si>
  <si>
    <t>Evaluation of pancreatic cancer result date as 'On index'</t>
  </si>
  <si>
    <t>Evaluation of CEA 19-9 result date as 'After index'</t>
  </si>
  <si>
    <t>Evaluation of Height 2b result date (365-455 days pre-index) as 'Further'</t>
  </si>
  <si>
    <t>Evaluation of Height 2a result date (274-364 days pre-index) as 'Closer'</t>
  </si>
  <si>
    <t>Evaluation of BMI 2b result date (365-455 days pre-index) as 'Further'</t>
  </si>
  <si>
    <t>Evaluation of BMI 2a result date (274-364 days pre-index) as 'Closer'</t>
  </si>
  <si>
    <t>DEFEND PRIME REPORT</t>
  </si>
  <si>
    <t>Parent Population</t>
  </si>
  <si>
    <t>Baseline Inclusion Criteria</t>
  </si>
  <si>
    <t>Last Run:</t>
  </si>
  <si>
    <t>Relative Date:</t>
  </si>
  <si>
    <t>Population</t>
  </si>
  <si>
    <t>Males</t>
  </si>
  <si>
    <t>Females</t>
  </si>
  <si>
    <t>Patient Details</t>
  </si>
  <si>
    <t>Baseline Height</t>
  </si>
  <si>
    <t>Index Date</t>
  </si>
  <si>
    <t>HbA1c (2a)</t>
  </si>
  <si>
    <t>HbA1c (2b)</t>
  </si>
  <si>
    <t>HbA1c (2c)</t>
  </si>
  <si>
    <t>HbA1c (2d)</t>
  </si>
  <si>
    <t>HbA1c (2e)</t>
  </si>
  <si>
    <t>Weight (1a)</t>
  </si>
  <si>
    <t>Weight (1b)</t>
  </si>
  <si>
    <t>Weight (2a)</t>
  </si>
  <si>
    <t>Weight (2b)</t>
  </si>
  <si>
    <t>Weight (2c)</t>
  </si>
  <si>
    <t>Weight (2d)</t>
  </si>
  <si>
    <t>Weight (2e)</t>
  </si>
  <si>
    <t>BMI (1a)</t>
  </si>
  <si>
    <t>BMI (1b)</t>
  </si>
  <si>
    <t>BMI (2a)</t>
  </si>
  <si>
    <t>BMI (2b)</t>
  </si>
  <si>
    <t>BMI (2c)</t>
  </si>
  <si>
    <t>BMI (2d)</t>
  </si>
  <si>
    <t>BMI (2e)</t>
  </si>
  <si>
    <t>Height (1a)</t>
  </si>
  <si>
    <t>Height (1b)</t>
  </si>
  <si>
    <t>Height (2a)</t>
  </si>
  <si>
    <t>Height (2b)</t>
  </si>
  <si>
    <t>Height (2c)</t>
  </si>
  <si>
    <t>Height (2d)</t>
  </si>
  <si>
    <t>Height (2e)</t>
  </si>
  <si>
    <t>Pancreatic cancer diagnosis</t>
  </si>
  <si>
    <t>Cancer antigen 19-9 (CA 19-9)</t>
  </si>
  <si>
    <t>Carcinoembryonic antigen (CEA)</t>
  </si>
  <si>
    <t>Value</t>
  </si>
  <si>
    <t>Unit of Measure</t>
  </si>
  <si>
    <t>Date</t>
  </si>
  <si>
    <t>Patient's Age at Event</t>
  </si>
  <si>
    <t>Patient Details' Gender</t>
  </si>
  <si>
    <t>[THESE ARE SIMULATED DATA for VBA testing, your real EMIS web extract will not have this text]</t>
  </si>
  <si>
    <r>
      <t xml:space="preserve">All passed? </t>
    </r>
    <r>
      <rPr>
        <b/>
        <sz val="11"/>
        <color rgb="FF00B050"/>
        <rFont val="Aptos Narrow"/>
        <family val="2"/>
        <scheme val="minor"/>
      </rPr>
      <t>Green YES</t>
    </r>
    <r>
      <rPr>
        <b/>
        <sz val="11"/>
        <color theme="1"/>
        <rFont val="Aptos Narrow"/>
        <family val="2"/>
        <scheme val="minor"/>
      </rPr>
      <t xml:space="preserve">, </t>
    </r>
    <r>
      <rPr>
        <b/>
        <sz val="11"/>
        <color rgb="FFC00000"/>
        <rFont val="Aptos Narrow"/>
        <family val="2"/>
        <scheme val="minor"/>
      </rPr>
      <t>red NO</t>
    </r>
  </si>
  <si>
    <t>Please copy and paste your data into this 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</si>
</sst>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dd/mm/yyyy;@"/>
    <numFmt numFmtId="165" formatCode="[$-F800]dddd\,\ mmmm\ dd\,\ yyyy"/>
    <numFmt numFmtId="166" formatCode="dd/mm/yy;@"/>
    <numFmt numFmtId="167" formatCode="d\.m\.yy;@"/>
    <numFmt numFmtId="168" formatCode="yyyy\-mm\-dd;@"/>
    <numFmt numFmtId="169" formatCode="d/m/yy;@"/>
    <numFmt numFmtId="170" formatCode="[$-809]d\ mmmm\ yyyy;@"/>
    <numFmt numFmtId="171" formatCode="[$-809]dd\ mmmm\ yyyy;@"/>
  </numFmts>
  <fonts count="5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b/>
      <sz val="11"/>
      <color rgb="FFC0000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15" fontId="0" fillId="0" borderId="0" xfId="0" applyNumberFormat="1"/>
    <xf numFmtId="164" fontId="0" fillId="0" borderId="0" xfId="0" applyNumberFormat="1"/>
    <xf numFmtId="0" fontId="2" fillId="0" borderId="0" xfId="0" applyFont="1"/>
    <xf numFmtId="14" fontId="0" fillId="0" borderId="0" xfId="0" applyNumberFormat="1"/>
    <xf numFmtId="166" fontId="0" fillId="0" borderId="0" xfId="0" applyNumberFormat="1"/>
    <xf numFmtId="169" fontId="0" fillId="0" borderId="0" xfId="0" applyNumberFormat="1"/>
    <xf numFmtId="167" fontId="0" fillId="0" borderId="0" xfId="0" applyNumberFormat="1"/>
    <xf numFmtId="168" fontId="0" fillId="0" borderId="0" xfId="0" applyNumberFormat="1"/>
    <xf numFmtId="171" fontId="0" fillId="0" borderId="0" xfId="0" applyNumberFormat="1"/>
    <xf numFmtId="170" fontId="0" fillId="0" borderId="0" xfId="0" applyNumberFormat="1"/>
    <xf numFmtId="0" fontId="0" fillId="2" borderId="0" xfId="0" applyFill="1"/>
    <xf numFmtId="165" fontId="0" fillId="0" borderId="0" xfId="0" applyNumberFormat="1"/>
    <xf numFmtId="22" fontId="0" fillId="0" borderId="0" xfId="0" applyNumberFormat="1"/>
    <xf numFmtId="0" fontId="2" fillId="3" borderId="1" xfId="0" applyFont="1" applyFill="1" applyBorder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457200</xdr:colOff>
          <xdr:row>11</xdr:row>
          <xdr:rowOff>180975</xdr:rowOff>
        </xdr:from>
        <xdr:to>
          <xdr:col>2</xdr:col>
          <xdr:colOff>371475</xdr:colOff>
          <xdr:row>17</xdr:row>
          <xdr:rowOff>152400</xdr:rowOff>
        </xdr:to>
        <xdr:sp macro="" textlink="">
          <xdr:nvSpPr>
            <xdr:cNvPr id="1026" name="btnRunD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Button: PROCESS DATA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After you have pasted your EMIS data into the top left-hand cell (A1), please left click this button to run the processing and anonymisation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2E865-97F2-4971-8CF1-1657CF5E442C}">
  <sheetPr codeName="Sheet1"/>
  <dimension ref="A1"/>
  <sheetViews>
    <sheetView workbookViewId="0"/>
  </sheetViews>
  <sheetFormatPr defaultColWidth="11.28515625" defaultRowHeight="15" x14ac:dyDescent="0.25"/>
  <cols>
    <col min="1" max="1" width="41.7109375" customWidth="1"/>
    <col min="2" max="82" width="10.42578125" customWidth="1"/>
  </cols>
  <sheetData>
    <row r="1" spans="1:1" ht="15.75" thickBot="1" x14ac:dyDescent="0.3">
      <c r="A1" s="14" t="s">
        <v>1934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RunDP">
              <controlPr defaultSize="0" print="0" disabled="1" autoFill="0" autoPict="0" macro="[0]!AA_RunThisForDEFENDPRIME">
                <anchor>
                  <from>
                    <xdr:col>0</xdr:col>
                    <xdr:colOff>457200</xdr:colOff>
                    <xdr:row>11</xdr:row>
                    <xdr:rowOff>180975</xdr:rowOff>
                  </from>
                  <to>
                    <xdr:col>2</xdr:col>
                    <xdr:colOff>371475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0289A-6D89-4A1B-9A5C-9A688D50A504}">
  <sheetPr codeName="Sheet4"/>
  <dimension ref="A1:CD199"/>
  <sheetViews>
    <sheetView workbookViewId="0"/>
  </sheetViews>
  <sheetFormatPr defaultColWidth="11.28515625" defaultRowHeight="15" x14ac:dyDescent="0.25"/>
  <cols>
    <col min="1" max="4" width="11.28515625" customWidth="1"/>
    <col min="5" max="5" width="17.140625" customWidth="1"/>
    <col min="6" max="6" width="18.7109375" customWidth="1"/>
    <col min="7" max="7" width="14" customWidth="1"/>
    <col min="8" max="17" width="11.28515625" customWidth="1"/>
    <col min="18" max="18" width="12" customWidth="1"/>
    <col min="19" max="21" width="11.28515625" customWidth="1"/>
    <col min="23" max="23" width="16.85546875" bestFit="1" customWidth="1"/>
    <col min="33" max="33" width="17.42578125" bestFit="1" customWidth="1"/>
    <col min="39" max="39" width="11.85546875" bestFit="1" customWidth="1"/>
    <col min="41" max="41" width="11.28515625" customWidth="1"/>
    <col min="59" max="59" width="20.28515625" customWidth="1"/>
    <col min="62" max="62" width="11.28515625" customWidth="1"/>
    <col min="73" max="73" width="16.85546875" customWidth="1"/>
    <col min="75" max="75" width="21.85546875" customWidth="1"/>
    <col min="79" max="79" width="17.42578125" bestFit="1" customWidth="1"/>
  </cols>
  <sheetData>
    <row r="1" spans="1:82" x14ac:dyDescent="0.25">
      <c r="A1" t="s">
        <v>1887</v>
      </c>
    </row>
    <row r="3" spans="1:82" x14ac:dyDescent="0.25">
      <c r="A3" t="s">
        <v>1888</v>
      </c>
      <c r="B3" t="s">
        <v>1889</v>
      </c>
    </row>
    <row r="4" spans="1:82" x14ac:dyDescent="0.25">
      <c r="A4" t="s">
        <v>1890</v>
      </c>
      <c r="B4" s="13">
        <v>45527.564583333333</v>
      </c>
      <c r="C4" t="s">
        <v>1891</v>
      </c>
      <c r="D4" s="13">
        <v>45527.564583333333</v>
      </c>
      <c r="E4" t="s">
        <v>1932</v>
      </c>
    </row>
    <row r="6" spans="1:82" x14ac:dyDescent="0.25">
      <c r="A6" t="s">
        <v>1892</v>
      </c>
      <c r="B6" t="s">
        <v>1893</v>
      </c>
      <c r="C6" t="s">
        <v>1894</v>
      </c>
    </row>
    <row r="7" spans="1:82" x14ac:dyDescent="0.25">
      <c r="A7">
        <v>188</v>
      </c>
    </row>
    <row r="9" spans="1:82" x14ac:dyDescent="0.25">
      <c r="A9" t="s">
        <v>1895</v>
      </c>
      <c r="C9" t="s">
        <v>1896</v>
      </c>
      <c r="E9" t="s">
        <v>1897</v>
      </c>
      <c r="I9" t="s">
        <v>1898</v>
      </c>
      <c r="K9" t="s">
        <v>1899</v>
      </c>
      <c r="M9" t="s">
        <v>1900</v>
      </c>
      <c r="O9" t="s">
        <v>1901</v>
      </c>
      <c r="Q9" t="s">
        <v>1902</v>
      </c>
      <c r="S9" t="s">
        <v>1903</v>
      </c>
      <c r="V9" t="s">
        <v>1904</v>
      </c>
      <c r="Y9" t="s">
        <v>1905</v>
      </c>
      <c r="AB9" t="s">
        <v>1906</v>
      </c>
      <c r="AE9" t="s">
        <v>1907</v>
      </c>
      <c r="AH9" t="s">
        <v>1908</v>
      </c>
      <c r="AK9" t="s">
        <v>1909</v>
      </c>
      <c r="AN9" t="s">
        <v>1910</v>
      </c>
      <c r="AP9" t="s">
        <v>1911</v>
      </c>
      <c r="AR9" t="s">
        <v>1912</v>
      </c>
      <c r="AT9" t="s">
        <v>1913</v>
      </c>
      <c r="AV9" t="s">
        <v>1914</v>
      </c>
      <c r="AX9" t="s">
        <v>1915</v>
      </c>
      <c r="AZ9" t="s">
        <v>1916</v>
      </c>
      <c r="BB9" t="s">
        <v>1917</v>
      </c>
      <c r="BE9" t="s">
        <v>1918</v>
      </c>
      <c r="BH9" t="s">
        <v>1919</v>
      </c>
      <c r="BK9" t="s">
        <v>1920</v>
      </c>
      <c r="BN9" t="s">
        <v>1921</v>
      </c>
      <c r="BQ9" t="s">
        <v>1922</v>
      </c>
      <c r="BT9" t="s">
        <v>1923</v>
      </c>
      <c r="BW9" t="s">
        <v>1924</v>
      </c>
      <c r="BY9" t="s">
        <v>1925</v>
      </c>
      <c r="CB9" t="s">
        <v>1926</v>
      </c>
    </row>
    <row r="10" spans="1:82" x14ac:dyDescent="0.25">
      <c r="A10" t="s">
        <v>7</v>
      </c>
      <c r="B10" t="s">
        <v>9</v>
      </c>
      <c r="C10" t="s">
        <v>1927</v>
      </c>
      <c r="D10" t="s">
        <v>1928</v>
      </c>
      <c r="E10" t="s">
        <v>1927</v>
      </c>
      <c r="F10" t="s">
        <v>1929</v>
      </c>
      <c r="G10" t="s">
        <v>1930</v>
      </c>
      <c r="H10" t="s">
        <v>1931</v>
      </c>
      <c r="I10" t="s">
        <v>1927</v>
      </c>
      <c r="J10" t="s">
        <v>1929</v>
      </c>
      <c r="K10" t="s">
        <v>1927</v>
      </c>
      <c r="L10" t="s">
        <v>1929</v>
      </c>
      <c r="M10" t="s">
        <v>1927</v>
      </c>
      <c r="N10" t="s">
        <v>1929</v>
      </c>
      <c r="O10" t="s">
        <v>1927</v>
      </c>
      <c r="P10" t="s">
        <v>1929</v>
      </c>
      <c r="Q10" t="s">
        <v>1927</v>
      </c>
      <c r="R10" t="s">
        <v>1929</v>
      </c>
      <c r="S10" t="s">
        <v>1927</v>
      </c>
      <c r="T10" t="s">
        <v>1928</v>
      </c>
      <c r="U10" t="s">
        <v>1929</v>
      </c>
      <c r="V10" t="s">
        <v>1927</v>
      </c>
      <c r="W10" t="s">
        <v>1928</v>
      </c>
      <c r="X10" t="s">
        <v>1929</v>
      </c>
      <c r="Y10" t="s">
        <v>1927</v>
      </c>
      <c r="Z10" t="s">
        <v>1928</v>
      </c>
      <c r="AA10" t="s">
        <v>1929</v>
      </c>
      <c r="AB10" t="s">
        <v>1927</v>
      </c>
      <c r="AC10" t="s">
        <v>1928</v>
      </c>
      <c r="AD10" t="s">
        <v>1929</v>
      </c>
      <c r="AE10" t="s">
        <v>1927</v>
      </c>
      <c r="AF10" t="s">
        <v>1928</v>
      </c>
      <c r="AG10" t="s">
        <v>1929</v>
      </c>
      <c r="AH10" t="s">
        <v>1927</v>
      </c>
      <c r="AI10" t="s">
        <v>1928</v>
      </c>
      <c r="AJ10" t="s">
        <v>1929</v>
      </c>
      <c r="AK10" t="s">
        <v>1927</v>
      </c>
      <c r="AL10" t="s">
        <v>1928</v>
      </c>
      <c r="AM10" t="s">
        <v>1929</v>
      </c>
      <c r="AN10" t="s">
        <v>1927</v>
      </c>
      <c r="AO10" t="s">
        <v>1929</v>
      </c>
      <c r="AP10" t="s">
        <v>1927</v>
      </c>
      <c r="AQ10" t="s">
        <v>1929</v>
      </c>
      <c r="AR10" t="s">
        <v>1927</v>
      </c>
      <c r="AS10" t="s">
        <v>1929</v>
      </c>
      <c r="AT10" t="s">
        <v>1927</v>
      </c>
      <c r="AU10" t="s">
        <v>1929</v>
      </c>
      <c r="AV10" t="s">
        <v>1927</v>
      </c>
      <c r="AW10" t="s">
        <v>1929</v>
      </c>
      <c r="AX10" t="s">
        <v>1927</v>
      </c>
      <c r="AY10" t="s">
        <v>1929</v>
      </c>
      <c r="AZ10" t="s">
        <v>1927</v>
      </c>
      <c r="BA10" t="s">
        <v>1929</v>
      </c>
      <c r="BB10" t="s">
        <v>1927</v>
      </c>
      <c r="BC10" t="s">
        <v>1928</v>
      </c>
      <c r="BD10" t="s">
        <v>1929</v>
      </c>
      <c r="BE10" t="s">
        <v>1927</v>
      </c>
      <c r="BF10" t="s">
        <v>1928</v>
      </c>
      <c r="BG10" t="s">
        <v>1929</v>
      </c>
      <c r="BH10" t="s">
        <v>1927</v>
      </c>
      <c r="BI10" t="s">
        <v>1928</v>
      </c>
      <c r="BJ10" t="s">
        <v>1929</v>
      </c>
      <c r="BK10" t="s">
        <v>1927</v>
      </c>
      <c r="BL10" t="s">
        <v>1928</v>
      </c>
      <c r="BM10" t="s">
        <v>1929</v>
      </c>
      <c r="BN10" t="s">
        <v>1927</v>
      </c>
      <c r="BO10" t="s">
        <v>1928</v>
      </c>
      <c r="BP10" t="s">
        <v>1929</v>
      </c>
      <c r="BQ10" t="s">
        <v>1927</v>
      </c>
      <c r="BR10" t="s">
        <v>1928</v>
      </c>
      <c r="BS10" t="s">
        <v>1929</v>
      </c>
      <c r="BT10" t="s">
        <v>1927</v>
      </c>
      <c r="BU10" t="s">
        <v>1928</v>
      </c>
      <c r="BV10" t="s">
        <v>1929</v>
      </c>
      <c r="BW10" t="s">
        <v>1929</v>
      </c>
      <c r="BX10" t="s">
        <v>1930</v>
      </c>
      <c r="BY10" t="s">
        <v>1927</v>
      </c>
      <c r="BZ10" t="s">
        <v>1928</v>
      </c>
      <c r="CA10" t="s">
        <v>1929</v>
      </c>
      <c r="CB10" t="s">
        <v>1927</v>
      </c>
      <c r="CC10" t="s">
        <v>1928</v>
      </c>
      <c r="CD10" t="s">
        <v>1929</v>
      </c>
    </row>
    <row r="11" spans="1:82" x14ac:dyDescent="0.25">
      <c r="A11" t="s">
        <v>8</v>
      </c>
      <c r="B11" t="s">
        <v>537</v>
      </c>
      <c r="E11">
        <v>50</v>
      </c>
      <c r="F11" s="4">
        <v>45626</v>
      </c>
      <c r="G11">
        <v>74</v>
      </c>
      <c r="H11" t="s">
        <v>2</v>
      </c>
    </row>
    <row r="12" spans="1:82" x14ac:dyDescent="0.25">
      <c r="A12" t="s">
        <v>91</v>
      </c>
      <c r="B12" t="s">
        <v>1044</v>
      </c>
      <c r="E12">
        <v>52</v>
      </c>
      <c r="F12" s="4">
        <v>44531</v>
      </c>
      <c r="G12">
        <v>101</v>
      </c>
      <c r="H12" t="s">
        <v>1</v>
      </c>
    </row>
    <row r="13" spans="1:82" x14ac:dyDescent="0.25">
      <c r="A13" t="s">
        <v>90</v>
      </c>
      <c r="E13">
        <v>49</v>
      </c>
      <c r="F13" s="4">
        <v>44531</v>
      </c>
      <c r="G13">
        <v>71</v>
      </c>
    </row>
    <row r="14" spans="1:82" x14ac:dyDescent="0.25">
      <c r="B14" t="s">
        <v>538</v>
      </c>
      <c r="C14">
        <v>186</v>
      </c>
      <c r="D14" t="s">
        <v>482</v>
      </c>
      <c r="E14">
        <v>51.5</v>
      </c>
      <c r="F14" s="4">
        <v>45627</v>
      </c>
      <c r="G14">
        <v>73</v>
      </c>
      <c r="H14" t="s">
        <v>2</v>
      </c>
    </row>
    <row r="15" spans="1:82" x14ac:dyDescent="0.25">
      <c r="A15" t="s">
        <v>8</v>
      </c>
      <c r="B15" t="s">
        <v>539</v>
      </c>
      <c r="E15">
        <v>48</v>
      </c>
      <c r="F15" s="4">
        <v>45627</v>
      </c>
      <c r="G15">
        <v>71</v>
      </c>
      <c r="H15" t="s">
        <v>1</v>
      </c>
      <c r="I15">
        <v>47</v>
      </c>
      <c r="J15" s="4">
        <f>$F15-274</f>
        <v>45353</v>
      </c>
    </row>
    <row r="16" spans="1:82" x14ac:dyDescent="0.25">
      <c r="A16" t="s">
        <v>97</v>
      </c>
      <c r="B16" t="s">
        <v>540</v>
      </c>
      <c r="E16">
        <v>48</v>
      </c>
      <c r="F16" s="4">
        <v>45627</v>
      </c>
      <c r="G16">
        <v>71</v>
      </c>
      <c r="H16" t="s">
        <v>1</v>
      </c>
      <c r="I16">
        <v>47</v>
      </c>
      <c r="J16" s="4">
        <f>$F16-273</f>
        <v>45354</v>
      </c>
    </row>
    <row r="17" spans="1:18" x14ac:dyDescent="0.25">
      <c r="A17" t="s">
        <v>97</v>
      </c>
      <c r="B17" t="s">
        <v>541</v>
      </c>
      <c r="E17">
        <v>48</v>
      </c>
      <c r="F17" s="4">
        <v>45627</v>
      </c>
      <c r="G17">
        <v>71</v>
      </c>
      <c r="H17" t="s">
        <v>1</v>
      </c>
      <c r="I17">
        <v>47.5</v>
      </c>
      <c r="J17" s="4">
        <f>$F17-455</f>
        <v>45172</v>
      </c>
    </row>
    <row r="18" spans="1:18" x14ac:dyDescent="0.25">
      <c r="A18" t="s">
        <v>97</v>
      </c>
      <c r="B18" t="s">
        <v>542</v>
      </c>
      <c r="E18">
        <v>48</v>
      </c>
      <c r="F18" s="4">
        <v>45627</v>
      </c>
      <c r="G18">
        <v>71</v>
      </c>
      <c r="H18" t="s">
        <v>1</v>
      </c>
      <c r="I18">
        <v>47.5</v>
      </c>
      <c r="J18" s="4">
        <f>$F18-456</f>
        <v>45171</v>
      </c>
    </row>
    <row r="19" spans="1:18" x14ac:dyDescent="0.25">
      <c r="A19" t="s">
        <v>8</v>
      </c>
      <c r="B19" t="s">
        <v>543</v>
      </c>
      <c r="E19">
        <v>48</v>
      </c>
      <c r="F19" s="4">
        <v>44531</v>
      </c>
      <c r="G19">
        <v>71</v>
      </c>
      <c r="H19" t="s">
        <v>2</v>
      </c>
      <c r="K19">
        <v>46</v>
      </c>
      <c r="L19" s="4">
        <f>$F19-456</f>
        <v>44075</v>
      </c>
    </row>
    <row r="20" spans="1:18" x14ac:dyDescent="0.25">
      <c r="A20" t="s">
        <v>8</v>
      </c>
      <c r="B20" t="s">
        <v>544</v>
      </c>
      <c r="E20">
        <v>48</v>
      </c>
      <c r="F20" s="4">
        <v>44531</v>
      </c>
      <c r="G20">
        <v>71</v>
      </c>
      <c r="H20" t="s">
        <v>2</v>
      </c>
      <c r="K20">
        <v>46</v>
      </c>
      <c r="L20" s="4">
        <f>$F20-455</f>
        <v>44076</v>
      </c>
    </row>
    <row r="21" spans="1:18" x14ac:dyDescent="0.25">
      <c r="A21" t="s">
        <v>8</v>
      </c>
      <c r="B21" t="s">
        <v>545</v>
      </c>
      <c r="E21">
        <v>48</v>
      </c>
      <c r="F21" s="4">
        <v>44531</v>
      </c>
      <c r="G21">
        <v>71</v>
      </c>
      <c r="H21" t="s">
        <v>1</v>
      </c>
      <c r="K21">
        <v>46.4</v>
      </c>
      <c r="L21" s="4">
        <f>$F21-546</f>
        <v>43985</v>
      </c>
      <c r="N21" s="4"/>
    </row>
    <row r="22" spans="1:18" x14ac:dyDescent="0.25">
      <c r="A22" t="s">
        <v>8</v>
      </c>
      <c r="B22" t="s">
        <v>546</v>
      </c>
      <c r="E22">
        <v>48</v>
      </c>
      <c r="F22" s="4">
        <v>44531</v>
      </c>
      <c r="G22">
        <v>71</v>
      </c>
      <c r="H22" t="s">
        <v>1</v>
      </c>
      <c r="K22">
        <v>46.4</v>
      </c>
      <c r="L22" s="4">
        <f>$F22-547</f>
        <v>43984</v>
      </c>
      <c r="P22" s="4"/>
    </row>
    <row r="23" spans="1:18" x14ac:dyDescent="0.25">
      <c r="A23" t="s">
        <v>8</v>
      </c>
      <c r="B23" t="s">
        <v>547</v>
      </c>
      <c r="E23">
        <v>48</v>
      </c>
      <c r="F23" s="4">
        <v>44531</v>
      </c>
      <c r="G23">
        <v>71</v>
      </c>
      <c r="H23" t="s">
        <v>1</v>
      </c>
      <c r="M23">
        <v>45</v>
      </c>
      <c r="N23" s="4">
        <f>$F23-183</f>
        <v>44348</v>
      </c>
      <c r="R23" s="4"/>
    </row>
    <row r="24" spans="1:18" x14ac:dyDescent="0.25">
      <c r="A24" t="s">
        <v>8</v>
      </c>
      <c r="B24" t="s">
        <v>548</v>
      </c>
      <c r="E24">
        <v>48</v>
      </c>
      <c r="F24" s="4">
        <v>44531</v>
      </c>
      <c r="G24">
        <v>71</v>
      </c>
      <c r="H24" t="s">
        <v>2</v>
      </c>
      <c r="J24" s="4"/>
      <c r="M24">
        <v>45</v>
      </c>
      <c r="N24" s="4">
        <f>$F24-182</f>
        <v>44349</v>
      </c>
    </row>
    <row r="25" spans="1:18" x14ac:dyDescent="0.25">
      <c r="A25" t="s">
        <v>8</v>
      </c>
      <c r="B25" t="s">
        <v>549</v>
      </c>
      <c r="E25">
        <v>48</v>
      </c>
      <c r="F25" s="4">
        <v>44531</v>
      </c>
      <c r="G25">
        <v>71</v>
      </c>
      <c r="H25" t="s">
        <v>2</v>
      </c>
      <c r="L25" s="4"/>
      <c r="M25">
        <v>45.3</v>
      </c>
      <c r="N25" s="4">
        <f>$F25-273</f>
        <v>44258</v>
      </c>
    </row>
    <row r="26" spans="1:18" x14ac:dyDescent="0.25">
      <c r="A26" t="s">
        <v>8</v>
      </c>
      <c r="B26" t="s">
        <v>550</v>
      </c>
      <c r="E26">
        <v>48</v>
      </c>
      <c r="F26" s="4">
        <v>44531</v>
      </c>
      <c r="G26">
        <v>71</v>
      </c>
      <c r="H26" t="s">
        <v>1</v>
      </c>
      <c r="M26">
        <v>45.3</v>
      </c>
      <c r="N26" s="4">
        <f>$F26-274</f>
        <v>44257</v>
      </c>
    </row>
    <row r="27" spans="1:18" x14ac:dyDescent="0.25">
      <c r="A27" t="s">
        <v>8</v>
      </c>
      <c r="B27" t="s">
        <v>551</v>
      </c>
      <c r="E27">
        <v>48</v>
      </c>
      <c r="F27" s="4">
        <v>44531</v>
      </c>
      <c r="G27">
        <v>71</v>
      </c>
      <c r="H27" t="s">
        <v>1</v>
      </c>
      <c r="O27">
        <v>44</v>
      </c>
      <c r="P27" s="4">
        <f>$F27-92</f>
        <v>44439</v>
      </c>
    </row>
    <row r="28" spans="1:18" x14ac:dyDescent="0.25">
      <c r="A28" t="s">
        <v>8</v>
      </c>
      <c r="B28" t="s">
        <v>552</v>
      </c>
      <c r="E28">
        <v>48</v>
      </c>
      <c r="F28" s="4">
        <v>44531</v>
      </c>
      <c r="G28">
        <v>71</v>
      </c>
      <c r="H28" t="s">
        <v>1</v>
      </c>
      <c r="O28">
        <v>44</v>
      </c>
      <c r="P28" s="4">
        <f>$F28-91</f>
        <v>44440</v>
      </c>
      <c r="R28" s="4"/>
    </row>
    <row r="29" spans="1:18" x14ac:dyDescent="0.25">
      <c r="A29" t="s">
        <v>8</v>
      </c>
      <c r="B29" t="s">
        <v>553</v>
      </c>
      <c r="E29">
        <v>48</v>
      </c>
      <c r="F29" s="4">
        <v>44531</v>
      </c>
      <c r="G29">
        <v>71</v>
      </c>
      <c r="H29" t="s">
        <v>1</v>
      </c>
      <c r="J29" s="4"/>
      <c r="L29" s="4"/>
      <c r="O29">
        <v>44.2</v>
      </c>
      <c r="P29" s="4">
        <f>$F29-182</f>
        <v>44349</v>
      </c>
    </row>
    <row r="30" spans="1:18" x14ac:dyDescent="0.25">
      <c r="A30" t="s">
        <v>8</v>
      </c>
      <c r="B30" t="s">
        <v>554</v>
      </c>
      <c r="E30">
        <v>48</v>
      </c>
      <c r="F30" s="4">
        <v>44531</v>
      </c>
      <c r="G30">
        <v>71</v>
      </c>
      <c r="H30" t="s">
        <v>1</v>
      </c>
      <c r="J30" s="4"/>
      <c r="N30" s="4"/>
      <c r="O30">
        <v>44.2</v>
      </c>
      <c r="P30" s="4">
        <f>$F30-183</f>
        <v>44348</v>
      </c>
    </row>
    <row r="31" spans="1:18" x14ac:dyDescent="0.25">
      <c r="A31" t="s">
        <v>8</v>
      </c>
      <c r="B31" t="s">
        <v>555</v>
      </c>
      <c r="E31">
        <v>48</v>
      </c>
      <c r="F31" s="4">
        <v>44531</v>
      </c>
      <c r="G31">
        <v>71</v>
      </c>
      <c r="H31" t="s">
        <v>1</v>
      </c>
      <c r="N31" s="4"/>
      <c r="P31" s="4"/>
      <c r="Q31">
        <v>43</v>
      </c>
      <c r="R31" s="4">
        <f>$F31-547</f>
        <v>43984</v>
      </c>
    </row>
    <row r="32" spans="1:18" x14ac:dyDescent="0.25">
      <c r="A32" t="s">
        <v>8</v>
      </c>
      <c r="B32" t="s">
        <v>556</v>
      </c>
      <c r="E32">
        <v>48</v>
      </c>
      <c r="F32" s="4">
        <v>44531</v>
      </c>
      <c r="G32">
        <v>71</v>
      </c>
      <c r="H32" t="s">
        <v>1</v>
      </c>
      <c r="L32" s="4"/>
      <c r="Q32">
        <v>43</v>
      </c>
      <c r="R32" s="4">
        <f>$F32-546</f>
        <v>43985</v>
      </c>
    </row>
    <row r="33" spans="1:39" x14ac:dyDescent="0.25">
      <c r="A33" t="s">
        <v>8</v>
      </c>
      <c r="B33" t="s">
        <v>557</v>
      </c>
      <c r="E33">
        <v>48</v>
      </c>
      <c r="F33" s="4">
        <v>44531</v>
      </c>
      <c r="G33">
        <v>71</v>
      </c>
      <c r="H33" t="s">
        <v>1</v>
      </c>
      <c r="P33" s="4"/>
      <c r="Q33">
        <v>43.1</v>
      </c>
      <c r="R33" s="4">
        <f>$F33-728</f>
        <v>43803</v>
      </c>
    </row>
    <row r="34" spans="1:39" x14ac:dyDescent="0.25">
      <c r="A34" t="s">
        <v>8</v>
      </c>
      <c r="B34" t="s">
        <v>558</v>
      </c>
      <c r="E34">
        <v>48</v>
      </c>
      <c r="F34" s="4">
        <v>44531</v>
      </c>
      <c r="G34">
        <v>71</v>
      </c>
      <c r="H34" t="s">
        <v>1</v>
      </c>
      <c r="J34" s="4"/>
      <c r="L34" s="4"/>
      <c r="N34" s="4"/>
      <c r="P34" s="4"/>
      <c r="Q34">
        <v>43.1</v>
      </c>
      <c r="R34" s="4">
        <f>$F34-729</f>
        <v>43802</v>
      </c>
    </row>
    <row r="35" spans="1:39" x14ac:dyDescent="0.25">
      <c r="A35" t="s">
        <v>8</v>
      </c>
      <c r="B35" t="s">
        <v>559</v>
      </c>
      <c r="E35">
        <v>48</v>
      </c>
      <c r="F35" s="4">
        <v>44531</v>
      </c>
      <c r="G35">
        <v>71</v>
      </c>
      <c r="H35" t="s">
        <v>1</v>
      </c>
      <c r="I35">
        <v>47</v>
      </c>
      <c r="J35" s="4">
        <f>$F35-274</f>
        <v>44257</v>
      </c>
      <c r="K35">
        <v>46</v>
      </c>
      <c r="L35" s="4">
        <f>$F35-456</f>
        <v>44075</v>
      </c>
      <c r="M35">
        <v>45</v>
      </c>
      <c r="N35" s="4">
        <f>$F35-183</f>
        <v>44348</v>
      </c>
      <c r="O35">
        <v>44</v>
      </c>
      <c r="P35" s="4">
        <f t="shared" ref="P35:P41" si="0">$F35-92</f>
        <v>44439</v>
      </c>
      <c r="Q35">
        <v>43</v>
      </c>
      <c r="R35" s="4">
        <f t="shared" ref="R35:R42" si="1">$F35-547</f>
        <v>43984</v>
      </c>
    </row>
    <row r="36" spans="1:39" x14ac:dyDescent="0.25">
      <c r="A36" t="s">
        <v>8</v>
      </c>
      <c r="B36" t="s">
        <v>560</v>
      </c>
      <c r="E36">
        <v>48</v>
      </c>
      <c r="F36" s="4">
        <v>44531</v>
      </c>
      <c r="G36">
        <v>71</v>
      </c>
      <c r="H36" t="s">
        <v>1</v>
      </c>
      <c r="J36" s="4"/>
      <c r="K36">
        <v>46</v>
      </c>
      <c r="L36" s="4">
        <f>$F36-456</f>
        <v>44075</v>
      </c>
      <c r="M36">
        <v>45</v>
      </c>
      <c r="N36" s="4">
        <f>$F36-183</f>
        <v>44348</v>
      </c>
      <c r="O36">
        <v>44</v>
      </c>
      <c r="P36" s="4">
        <f t="shared" si="0"/>
        <v>44439</v>
      </c>
      <c r="Q36">
        <v>43</v>
      </c>
      <c r="R36" s="4">
        <f t="shared" si="1"/>
        <v>43984</v>
      </c>
    </row>
    <row r="37" spans="1:39" x14ac:dyDescent="0.25">
      <c r="A37" t="s">
        <v>8</v>
      </c>
      <c r="B37" t="s">
        <v>561</v>
      </c>
      <c r="E37">
        <v>48</v>
      </c>
      <c r="F37" s="4">
        <v>44531</v>
      </c>
      <c r="G37">
        <v>71</v>
      </c>
      <c r="H37" t="s">
        <v>1</v>
      </c>
      <c r="M37">
        <v>45</v>
      </c>
      <c r="N37" s="4">
        <f>$F37-183</f>
        <v>44348</v>
      </c>
      <c r="O37">
        <v>44</v>
      </c>
      <c r="P37" s="4">
        <f t="shared" si="0"/>
        <v>44439</v>
      </c>
      <c r="Q37">
        <v>43</v>
      </c>
      <c r="R37" s="4">
        <f t="shared" si="1"/>
        <v>43984</v>
      </c>
      <c r="U37" s="4"/>
    </row>
    <row r="38" spans="1:39" x14ac:dyDescent="0.25">
      <c r="A38" t="s">
        <v>8</v>
      </c>
      <c r="B38" t="s">
        <v>562</v>
      </c>
      <c r="E38">
        <v>48</v>
      </c>
      <c r="F38" s="4">
        <v>44531</v>
      </c>
      <c r="G38">
        <v>71</v>
      </c>
      <c r="H38" t="s">
        <v>1</v>
      </c>
      <c r="O38">
        <v>44</v>
      </c>
      <c r="P38" s="4">
        <f t="shared" si="0"/>
        <v>44439</v>
      </c>
      <c r="Q38">
        <v>43</v>
      </c>
      <c r="R38" s="4">
        <f t="shared" si="1"/>
        <v>43984</v>
      </c>
      <c r="U38" s="4"/>
    </row>
    <row r="39" spans="1:39" x14ac:dyDescent="0.25">
      <c r="A39" t="s">
        <v>8</v>
      </c>
      <c r="B39" t="s">
        <v>563</v>
      </c>
      <c r="E39">
        <v>48</v>
      </c>
      <c r="F39" s="4">
        <v>44531</v>
      </c>
      <c r="G39">
        <v>71</v>
      </c>
      <c r="H39" t="s">
        <v>1</v>
      </c>
      <c r="I39">
        <v>47</v>
      </c>
      <c r="J39" s="4">
        <f>$F39-273</f>
        <v>44258</v>
      </c>
      <c r="K39">
        <v>46</v>
      </c>
      <c r="L39" s="4">
        <f>$F39-456</f>
        <v>44075</v>
      </c>
      <c r="M39">
        <v>45</v>
      </c>
      <c r="N39" s="4">
        <f>$F39-183</f>
        <v>44348</v>
      </c>
      <c r="O39">
        <v>44</v>
      </c>
      <c r="P39" s="4">
        <f t="shared" si="0"/>
        <v>44439</v>
      </c>
      <c r="Q39">
        <v>43</v>
      </c>
      <c r="R39" s="4">
        <f t="shared" si="1"/>
        <v>43984</v>
      </c>
      <c r="X39" s="4"/>
    </row>
    <row r="40" spans="1:39" x14ac:dyDescent="0.25">
      <c r="A40" t="s">
        <v>8</v>
      </c>
      <c r="B40" t="s">
        <v>564</v>
      </c>
      <c r="E40">
        <v>48</v>
      </c>
      <c r="F40" s="4">
        <v>44531</v>
      </c>
      <c r="G40">
        <v>71</v>
      </c>
      <c r="H40" t="s">
        <v>1</v>
      </c>
      <c r="I40">
        <v>47</v>
      </c>
      <c r="J40" s="4">
        <f>$F40-274</f>
        <v>44257</v>
      </c>
      <c r="K40">
        <v>46</v>
      </c>
      <c r="L40" s="4">
        <f>$F40-455</f>
        <v>44076</v>
      </c>
      <c r="M40">
        <v>45</v>
      </c>
      <c r="N40" s="4">
        <f>$F40-183</f>
        <v>44348</v>
      </c>
      <c r="O40">
        <v>44</v>
      </c>
      <c r="P40" s="4">
        <f t="shared" si="0"/>
        <v>44439</v>
      </c>
      <c r="Q40">
        <v>43</v>
      </c>
      <c r="R40" s="4">
        <f t="shared" si="1"/>
        <v>43984</v>
      </c>
      <c r="X40" s="4"/>
    </row>
    <row r="41" spans="1:39" x14ac:dyDescent="0.25">
      <c r="A41" t="s">
        <v>8</v>
      </c>
      <c r="B41" t="s">
        <v>565</v>
      </c>
      <c r="E41">
        <v>48</v>
      </c>
      <c r="F41" s="4">
        <v>44531</v>
      </c>
      <c r="G41">
        <v>71</v>
      </c>
      <c r="H41" t="s">
        <v>1</v>
      </c>
      <c r="I41">
        <v>47.5</v>
      </c>
      <c r="J41" s="4">
        <f>$F41-274</f>
        <v>44257</v>
      </c>
      <c r="K41">
        <v>46</v>
      </c>
      <c r="L41" s="4">
        <f>$F41-456</f>
        <v>44075</v>
      </c>
      <c r="M41">
        <v>45</v>
      </c>
      <c r="N41" s="4">
        <f>$F41-182</f>
        <v>44349</v>
      </c>
      <c r="O41">
        <v>44</v>
      </c>
      <c r="P41" s="4">
        <f t="shared" si="0"/>
        <v>44439</v>
      </c>
      <c r="Q41">
        <v>43</v>
      </c>
      <c r="R41" s="4">
        <f t="shared" si="1"/>
        <v>43984</v>
      </c>
      <c r="AA41" s="4"/>
    </row>
    <row r="42" spans="1:39" x14ac:dyDescent="0.25">
      <c r="A42" t="s">
        <v>8</v>
      </c>
      <c r="B42" t="s">
        <v>566</v>
      </c>
      <c r="E42">
        <v>48</v>
      </c>
      <c r="F42" s="4">
        <v>44531</v>
      </c>
      <c r="G42">
        <v>71</v>
      </c>
      <c r="H42" t="s">
        <v>1</v>
      </c>
      <c r="I42">
        <v>47</v>
      </c>
      <c r="J42" s="4">
        <f>$F42-274</f>
        <v>44257</v>
      </c>
      <c r="K42">
        <v>46</v>
      </c>
      <c r="L42" s="4">
        <f>$F42-456</f>
        <v>44075</v>
      </c>
      <c r="M42">
        <v>45</v>
      </c>
      <c r="N42" s="4">
        <f>$F42-183</f>
        <v>44348</v>
      </c>
      <c r="O42">
        <v>44</v>
      </c>
      <c r="P42" s="4">
        <f>$F42-91</f>
        <v>44440</v>
      </c>
      <c r="Q42">
        <v>43</v>
      </c>
      <c r="R42" s="4">
        <f t="shared" si="1"/>
        <v>43984</v>
      </c>
      <c r="AD42" s="4"/>
    </row>
    <row r="43" spans="1:39" x14ac:dyDescent="0.25">
      <c r="A43" t="s">
        <v>8</v>
      </c>
      <c r="B43" t="s">
        <v>567</v>
      </c>
      <c r="E43">
        <v>48</v>
      </c>
      <c r="F43" s="4">
        <v>44531</v>
      </c>
      <c r="G43">
        <v>71</v>
      </c>
      <c r="H43" t="s">
        <v>1</v>
      </c>
      <c r="I43">
        <v>47</v>
      </c>
      <c r="J43" s="4">
        <f>$F43-274</f>
        <v>44257</v>
      </c>
      <c r="K43">
        <v>46</v>
      </c>
      <c r="L43" s="4">
        <f>$F43-456</f>
        <v>44075</v>
      </c>
      <c r="M43">
        <v>45</v>
      </c>
      <c r="N43" s="4">
        <f>$F43-183</f>
        <v>44348</v>
      </c>
      <c r="O43">
        <v>44</v>
      </c>
      <c r="P43" s="4">
        <f>$F43-92</f>
        <v>44439</v>
      </c>
      <c r="Q43">
        <v>43</v>
      </c>
      <c r="R43" s="4">
        <f>$F43-546</f>
        <v>43985</v>
      </c>
      <c r="AG43" s="4"/>
    </row>
    <row r="44" spans="1:39" x14ac:dyDescent="0.25">
      <c r="A44" t="s">
        <v>8</v>
      </c>
      <c r="B44" t="s">
        <v>568</v>
      </c>
      <c r="E44">
        <v>48</v>
      </c>
      <c r="F44" s="4">
        <v>44531</v>
      </c>
      <c r="G44">
        <v>71</v>
      </c>
      <c r="H44" t="s">
        <v>1</v>
      </c>
      <c r="I44">
        <v>47</v>
      </c>
      <c r="J44" s="4">
        <f>$F44-273</f>
        <v>44258</v>
      </c>
      <c r="K44">
        <v>46</v>
      </c>
      <c r="L44" s="4">
        <f>$F44-455</f>
        <v>44076</v>
      </c>
      <c r="M44">
        <v>45</v>
      </c>
      <c r="N44" s="4">
        <f>$F44-182</f>
        <v>44349</v>
      </c>
      <c r="O44">
        <v>44</v>
      </c>
      <c r="P44" s="4">
        <f>$F44-91</f>
        <v>44440</v>
      </c>
      <c r="Q44">
        <v>43</v>
      </c>
      <c r="R44" s="4">
        <f>$F44-546</f>
        <v>43985</v>
      </c>
      <c r="AJ44" s="4"/>
    </row>
    <row r="45" spans="1:39" x14ac:dyDescent="0.25">
      <c r="A45" t="s">
        <v>8</v>
      </c>
      <c r="B45" t="s">
        <v>569</v>
      </c>
      <c r="E45">
        <v>48</v>
      </c>
      <c r="F45" s="4">
        <v>44531</v>
      </c>
      <c r="G45">
        <v>71</v>
      </c>
      <c r="H45" t="s">
        <v>1</v>
      </c>
      <c r="I45">
        <v>47</v>
      </c>
      <c r="J45" s="4">
        <f>$F45-273</f>
        <v>44258</v>
      </c>
      <c r="K45">
        <v>46</v>
      </c>
      <c r="L45" s="4">
        <f>$F45-454</f>
        <v>44077</v>
      </c>
      <c r="M45">
        <v>45</v>
      </c>
      <c r="N45" s="4">
        <f>$F45-180</f>
        <v>44351</v>
      </c>
      <c r="O45">
        <v>44</v>
      </c>
      <c r="P45" s="4">
        <f>$F45-88</f>
        <v>44443</v>
      </c>
      <c r="Q45">
        <v>43</v>
      </c>
      <c r="R45" s="4">
        <f>$F45-547</f>
        <v>43984</v>
      </c>
      <c r="AM45" s="4"/>
    </row>
    <row r="46" spans="1:39" x14ac:dyDescent="0.25">
      <c r="A46" t="s">
        <v>8</v>
      </c>
      <c r="B46" t="s">
        <v>570</v>
      </c>
      <c r="E46">
        <v>48</v>
      </c>
      <c r="F46" s="5">
        <v>44531</v>
      </c>
      <c r="G46">
        <v>71</v>
      </c>
      <c r="H46" t="s">
        <v>1</v>
      </c>
      <c r="I46">
        <v>47</v>
      </c>
      <c r="J46" s="5">
        <f>$F46-273</f>
        <v>44258</v>
      </c>
      <c r="K46">
        <v>46</v>
      </c>
      <c r="L46" s="6">
        <f>$F46-454</f>
        <v>44077</v>
      </c>
      <c r="M46">
        <v>45</v>
      </c>
      <c r="N46" s="7">
        <f>$F46-180</f>
        <v>44351</v>
      </c>
      <c r="O46">
        <v>44</v>
      </c>
      <c r="P46" s="8">
        <f>$F46-88</f>
        <v>44443</v>
      </c>
      <c r="Q46">
        <v>43</v>
      </c>
      <c r="R46" s="9">
        <f>$F46-547</f>
        <v>43984</v>
      </c>
      <c r="AA46" s="4"/>
    </row>
    <row r="47" spans="1:39" x14ac:dyDescent="0.25">
      <c r="A47" t="s">
        <v>8</v>
      </c>
      <c r="B47" t="s">
        <v>571</v>
      </c>
      <c r="E47">
        <v>48</v>
      </c>
      <c r="F47" s="6">
        <v>44531</v>
      </c>
      <c r="G47">
        <v>71</v>
      </c>
      <c r="H47" t="s">
        <v>1</v>
      </c>
      <c r="I47">
        <v>47</v>
      </c>
      <c r="J47" s="6">
        <f>$F47-274</f>
        <v>44257</v>
      </c>
      <c r="K47">
        <v>46</v>
      </c>
      <c r="L47" s="4">
        <f>$F47-455</f>
        <v>44076</v>
      </c>
      <c r="M47">
        <v>45</v>
      </c>
      <c r="N47" s="4">
        <f>$F47-181</f>
        <v>44350</v>
      </c>
      <c r="O47">
        <v>44</v>
      </c>
      <c r="P47" s="8">
        <f>$F47-89</f>
        <v>44442</v>
      </c>
      <c r="Q47">
        <v>43</v>
      </c>
      <c r="R47" s="10">
        <f>$F47-543</f>
        <v>43988</v>
      </c>
      <c r="AA47" s="4"/>
      <c r="AD47" s="4"/>
    </row>
    <row r="48" spans="1:39" x14ac:dyDescent="0.25">
      <c r="A48" t="s">
        <v>8</v>
      </c>
      <c r="B48" t="s">
        <v>572</v>
      </c>
      <c r="E48">
        <v>48</v>
      </c>
      <c r="F48" s="4">
        <v>44531</v>
      </c>
      <c r="G48">
        <v>71</v>
      </c>
      <c r="H48" t="s">
        <v>1</v>
      </c>
      <c r="S48">
        <v>100</v>
      </c>
      <c r="T48" t="s">
        <v>96</v>
      </c>
      <c r="U48" s="4">
        <f>$F48-0</f>
        <v>44531</v>
      </c>
      <c r="AG48" s="4"/>
    </row>
    <row r="49" spans="1:39" x14ac:dyDescent="0.25">
      <c r="A49" t="s">
        <v>8</v>
      </c>
      <c r="B49" t="s">
        <v>573</v>
      </c>
      <c r="E49">
        <v>48</v>
      </c>
      <c r="F49" s="4">
        <v>44531</v>
      </c>
      <c r="G49">
        <v>71</v>
      </c>
      <c r="H49" t="s">
        <v>1</v>
      </c>
      <c r="S49">
        <v>100</v>
      </c>
      <c r="T49" t="s">
        <v>1059</v>
      </c>
      <c r="U49" s="4">
        <f>$F49-1</f>
        <v>44530</v>
      </c>
      <c r="AJ49" s="4"/>
    </row>
    <row r="50" spans="1:39" x14ac:dyDescent="0.25">
      <c r="A50" t="s">
        <v>8</v>
      </c>
      <c r="B50" t="s">
        <v>574</v>
      </c>
      <c r="E50">
        <v>48</v>
      </c>
      <c r="F50" s="4">
        <v>44531</v>
      </c>
      <c r="G50">
        <v>71</v>
      </c>
      <c r="H50" t="s">
        <v>1</v>
      </c>
      <c r="S50">
        <v>100.2</v>
      </c>
      <c r="T50" t="s">
        <v>96</v>
      </c>
      <c r="U50" s="4">
        <f>$F50+91</f>
        <v>44622</v>
      </c>
      <c r="AM50" s="4"/>
    </row>
    <row r="51" spans="1:39" x14ac:dyDescent="0.25">
      <c r="A51" t="s">
        <v>8</v>
      </c>
      <c r="B51" t="s">
        <v>575</v>
      </c>
      <c r="E51">
        <v>48</v>
      </c>
      <c r="F51" s="4">
        <v>44531</v>
      </c>
      <c r="G51">
        <v>71</v>
      </c>
      <c r="H51" t="s">
        <v>1</v>
      </c>
      <c r="S51">
        <v>100.25</v>
      </c>
      <c r="T51" t="s">
        <v>96</v>
      </c>
      <c r="U51" s="4">
        <f>$F51+92</f>
        <v>44623</v>
      </c>
      <c r="AA51" s="4"/>
      <c r="AD51" s="4"/>
    </row>
    <row r="52" spans="1:39" x14ac:dyDescent="0.25">
      <c r="A52" t="s">
        <v>8</v>
      </c>
      <c r="B52" t="s">
        <v>576</v>
      </c>
      <c r="E52">
        <v>48</v>
      </c>
      <c r="F52" s="4">
        <v>44531</v>
      </c>
      <c r="G52">
        <v>71</v>
      </c>
      <c r="H52" t="s">
        <v>1</v>
      </c>
      <c r="V52">
        <v>99</v>
      </c>
      <c r="W52" t="s">
        <v>96</v>
      </c>
      <c r="X52" s="4">
        <f>$F52-1</f>
        <v>44530</v>
      </c>
      <c r="AA52" s="4"/>
      <c r="AJ52" s="4"/>
    </row>
    <row r="53" spans="1:39" x14ac:dyDescent="0.25">
      <c r="A53" t="s">
        <v>8</v>
      </c>
      <c r="B53" t="s">
        <v>577</v>
      </c>
      <c r="E53">
        <v>48</v>
      </c>
      <c r="F53" s="4">
        <v>44531</v>
      </c>
      <c r="G53">
        <v>71</v>
      </c>
      <c r="H53" t="s">
        <v>1</v>
      </c>
      <c r="V53">
        <v>99</v>
      </c>
      <c r="W53" t="s">
        <v>1059</v>
      </c>
      <c r="X53" s="4">
        <f>$F53-0</f>
        <v>44531</v>
      </c>
      <c r="AD53" s="4"/>
      <c r="AG53" s="4"/>
    </row>
    <row r="54" spans="1:39" x14ac:dyDescent="0.25">
      <c r="A54" t="s">
        <v>8</v>
      </c>
      <c r="B54" t="s">
        <v>578</v>
      </c>
      <c r="E54">
        <v>48</v>
      </c>
      <c r="F54" s="4">
        <v>44531</v>
      </c>
      <c r="G54">
        <v>71</v>
      </c>
      <c r="H54" t="s">
        <v>1</v>
      </c>
      <c r="V54">
        <v>99.2</v>
      </c>
      <c r="W54" t="s">
        <v>96</v>
      </c>
      <c r="X54" s="4">
        <f>$F54-91</f>
        <v>44440</v>
      </c>
      <c r="AG54" s="4"/>
      <c r="AM54" s="4"/>
    </row>
    <row r="55" spans="1:39" x14ac:dyDescent="0.25">
      <c r="A55" t="s">
        <v>8</v>
      </c>
      <c r="B55" t="s">
        <v>579</v>
      </c>
      <c r="E55">
        <v>48</v>
      </c>
      <c r="F55" s="4">
        <v>44531</v>
      </c>
      <c r="G55">
        <v>71</v>
      </c>
      <c r="H55" t="s">
        <v>1</v>
      </c>
      <c r="V55">
        <v>99.25</v>
      </c>
      <c r="W55" t="s">
        <v>96</v>
      </c>
      <c r="X55" s="4">
        <f>$F55-92</f>
        <v>44439</v>
      </c>
      <c r="AJ55" s="4"/>
    </row>
    <row r="56" spans="1:39" x14ac:dyDescent="0.25">
      <c r="A56" t="s">
        <v>8</v>
      </c>
      <c r="B56" t="s">
        <v>580</v>
      </c>
      <c r="E56">
        <v>48</v>
      </c>
      <c r="F56" s="4">
        <v>44531</v>
      </c>
      <c r="G56">
        <v>71</v>
      </c>
      <c r="H56" t="s">
        <v>1</v>
      </c>
      <c r="S56">
        <v>100</v>
      </c>
      <c r="T56" t="s">
        <v>96</v>
      </c>
      <c r="U56" s="4">
        <f>$F56-0</f>
        <v>44531</v>
      </c>
      <c r="V56">
        <v>99.2</v>
      </c>
      <c r="W56" t="s">
        <v>96</v>
      </c>
      <c r="X56" s="4">
        <f>$F56-1</f>
        <v>44530</v>
      </c>
      <c r="AM56" s="4"/>
    </row>
    <row r="57" spans="1:39" x14ac:dyDescent="0.25">
      <c r="A57" t="s">
        <v>8</v>
      </c>
      <c r="B57" t="s">
        <v>581</v>
      </c>
      <c r="E57">
        <v>48</v>
      </c>
      <c r="F57" s="4">
        <v>44531</v>
      </c>
      <c r="G57">
        <v>71</v>
      </c>
      <c r="H57" t="s">
        <v>1</v>
      </c>
      <c r="S57">
        <v>100</v>
      </c>
      <c r="T57" t="s">
        <v>1059</v>
      </c>
      <c r="U57" s="4">
        <f>$F57+2</f>
        <v>44533</v>
      </c>
      <c r="V57">
        <v>99.2</v>
      </c>
      <c r="W57" t="s">
        <v>96</v>
      </c>
      <c r="X57" s="4">
        <f>$F57-1</f>
        <v>44530</v>
      </c>
    </row>
    <row r="58" spans="1:39" x14ac:dyDescent="0.25">
      <c r="A58" t="s">
        <v>8</v>
      </c>
      <c r="B58" t="s">
        <v>582</v>
      </c>
      <c r="E58">
        <v>48</v>
      </c>
      <c r="F58" s="4">
        <v>44531</v>
      </c>
      <c r="G58">
        <v>71</v>
      </c>
      <c r="H58" t="s">
        <v>1</v>
      </c>
      <c r="S58">
        <v>100</v>
      </c>
      <c r="T58" t="s">
        <v>1059</v>
      </c>
      <c r="U58" s="4">
        <f>$F58+1</f>
        <v>44532</v>
      </c>
      <c r="V58">
        <v>99.2</v>
      </c>
      <c r="W58" t="s">
        <v>96</v>
      </c>
      <c r="X58" s="4">
        <f>$F58-1</f>
        <v>44530</v>
      </c>
    </row>
    <row r="59" spans="1:39" x14ac:dyDescent="0.25">
      <c r="A59" t="s">
        <v>8</v>
      </c>
      <c r="B59" t="s">
        <v>583</v>
      </c>
      <c r="E59">
        <v>48</v>
      </c>
      <c r="F59" s="4">
        <v>44531</v>
      </c>
      <c r="G59">
        <v>71</v>
      </c>
      <c r="H59" t="s">
        <v>1</v>
      </c>
      <c r="U59" s="4"/>
      <c r="X59" s="4"/>
      <c r="Y59">
        <v>98</v>
      </c>
      <c r="Z59" t="s">
        <v>96</v>
      </c>
      <c r="AA59" s="4">
        <f>$F59-274</f>
        <v>44257</v>
      </c>
      <c r="AG59" s="4"/>
      <c r="AJ59" s="4"/>
      <c r="AM59" s="4"/>
    </row>
    <row r="60" spans="1:39" x14ac:dyDescent="0.25">
      <c r="A60" t="s">
        <v>8</v>
      </c>
      <c r="B60" t="s">
        <v>584</v>
      </c>
      <c r="E60">
        <v>48</v>
      </c>
      <c r="F60" s="4">
        <v>44531</v>
      </c>
      <c r="G60">
        <v>71</v>
      </c>
      <c r="H60" t="s">
        <v>1</v>
      </c>
      <c r="Y60">
        <v>98</v>
      </c>
      <c r="Z60" t="s">
        <v>1059</v>
      </c>
      <c r="AA60" s="4">
        <f>$F60-273</f>
        <v>44258</v>
      </c>
    </row>
    <row r="61" spans="1:39" x14ac:dyDescent="0.25">
      <c r="A61" t="s">
        <v>8</v>
      </c>
      <c r="B61" t="s">
        <v>585</v>
      </c>
      <c r="E61">
        <v>48</v>
      </c>
      <c r="F61" s="4">
        <v>44531</v>
      </c>
      <c r="G61">
        <v>71</v>
      </c>
      <c r="H61" t="s">
        <v>1</v>
      </c>
      <c r="Y61">
        <v>98.2</v>
      </c>
      <c r="Z61" t="s">
        <v>96</v>
      </c>
      <c r="AA61" s="4">
        <f>$F61-364</f>
        <v>44167</v>
      </c>
    </row>
    <row r="62" spans="1:39" x14ac:dyDescent="0.25">
      <c r="A62" t="s">
        <v>8</v>
      </c>
      <c r="B62" t="s">
        <v>586</v>
      </c>
      <c r="E62">
        <v>48</v>
      </c>
      <c r="F62" s="4">
        <v>44531</v>
      </c>
      <c r="G62">
        <v>71</v>
      </c>
      <c r="H62" t="s">
        <v>1</v>
      </c>
      <c r="Y62">
        <v>98.25</v>
      </c>
      <c r="Z62" t="s">
        <v>96</v>
      </c>
      <c r="AA62" s="4">
        <f>$F62-365</f>
        <v>44166</v>
      </c>
    </row>
    <row r="63" spans="1:39" x14ac:dyDescent="0.25">
      <c r="A63" t="s">
        <v>8</v>
      </c>
      <c r="B63" t="s">
        <v>587</v>
      </c>
      <c r="E63">
        <v>48</v>
      </c>
      <c r="F63" s="4">
        <v>44531</v>
      </c>
      <c r="G63">
        <v>71</v>
      </c>
      <c r="H63" t="s">
        <v>1</v>
      </c>
      <c r="AB63">
        <v>97</v>
      </c>
      <c r="AC63" t="s">
        <v>96</v>
      </c>
      <c r="AD63" s="4">
        <f>$F63-365</f>
        <v>44166</v>
      </c>
    </row>
    <row r="64" spans="1:39" x14ac:dyDescent="0.25">
      <c r="A64" t="s">
        <v>8</v>
      </c>
      <c r="B64" t="s">
        <v>588</v>
      </c>
      <c r="E64">
        <v>48</v>
      </c>
      <c r="F64" s="4">
        <v>44531</v>
      </c>
      <c r="G64">
        <v>71</v>
      </c>
      <c r="H64" t="s">
        <v>1</v>
      </c>
      <c r="AB64">
        <v>97</v>
      </c>
      <c r="AC64" t="s">
        <v>1059</v>
      </c>
      <c r="AD64" s="4">
        <f>$F64-364</f>
        <v>44167</v>
      </c>
    </row>
    <row r="65" spans="1:39" x14ac:dyDescent="0.25">
      <c r="A65" t="s">
        <v>8</v>
      </c>
      <c r="B65" t="s">
        <v>589</v>
      </c>
      <c r="E65">
        <v>48</v>
      </c>
      <c r="F65" s="4">
        <v>44531</v>
      </c>
      <c r="G65">
        <v>71</v>
      </c>
      <c r="H65" t="s">
        <v>1</v>
      </c>
      <c r="AB65">
        <v>97.2</v>
      </c>
      <c r="AC65" t="s">
        <v>96</v>
      </c>
      <c r="AD65" s="4">
        <f>$F65-455</f>
        <v>44076</v>
      </c>
    </row>
    <row r="66" spans="1:39" x14ac:dyDescent="0.25">
      <c r="A66" t="s">
        <v>8</v>
      </c>
      <c r="B66" t="s">
        <v>590</v>
      </c>
      <c r="E66">
        <v>48</v>
      </c>
      <c r="F66" s="4">
        <v>44531</v>
      </c>
      <c r="G66">
        <v>71</v>
      </c>
      <c r="H66" t="s">
        <v>1</v>
      </c>
      <c r="AB66">
        <v>97.25</v>
      </c>
      <c r="AC66" t="s">
        <v>96</v>
      </c>
      <c r="AD66" s="4">
        <f>$F66-456</f>
        <v>44075</v>
      </c>
    </row>
    <row r="67" spans="1:39" x14ac:dyDescent="0.25">
      <c r="A67" t="s">
        <v>8</v>
      </c>
      <c r="B67" t="s">
        <v>591</v>
      </c>
      <c r="E67">
        <v>48</v>
      </c>
      <c r="F67" s="4">
        <v>44531</v>
      </c>
      <c r="G67">
        <v>71</v>
      </c>
      <c r="H67" t="s">
        <v>1</v>
      </c>
      <c r="Y67">
        <v>98</v>
      </c>
      <c r="Z67" t="s">
        <v>96</v>
      </c>
      <c r="AA67" s="4">
        <f>$F67-364</f>
        <v>44167</v>
      </c>
      <c r="AB67">
        <v>97.2</v>
      </c>
      <c r="AC67" t="s">
        <v>96</v>
      </c>
      <c r="AD67" s="4">
        <f>$F67-366</f>
        <v>44165</v>
      </c>
    </row>
    <row r="68" spans="1:39" x14ac:dyDescent="0.25">
      <c r="A68" t="s">
        <v>8</v>
      </c>
      <c r="B68" t="s">
        <v>592</v>
      </c>
      <c r="E68">
        <v>48</v>
      </c>
      <c r="F68" s="4">
        <v>44531</v>
      </c>
      <c r="G68">
        <v>71</v>
      </c>
      <c r="H68" t="s">
        <v>1</v>
      </c>
      <c r="Y68">
        <v>98</v>
      </c>
      <c r="Z68" t="s">
        <v>1059</v>
      </c>
      <c r="AA68" s="4">
        <f>$F68-363</f>
        <v>44168</v>
      </c>
      <c r="AB68">
        <v>97.2</v>
      </c>
      <c r="AC68" t="s">
        <v>96</v>
      </c>
      <c r="AD68" s="4">
        <f>$F68-365</f>
        <v>44166</v>
      </c>
    </row>
    <row r="69" spans="1:39" x14ac:dyDescent="0.25">
      <c r="A69" t="s">
        <v>8</v>
      </c>
      <c r="B69" t="s">
        <v>593</v>
      </c>
      <c r="E69">
        <v>48</v>
      </c>
      <c r="F69" s="4">
        <v>44531</v>
      </c>
      <c r="G69">
        <v>71</v>
      </c>
      <c r="H69" t="s">
        <v>1</v>
      </c>
      <c r="Y69">
        <v>98</v>
      </c>
      <c r="Z69" t="s">
        <v>1059</v>
      </c>
      <c r="AA69" s="4">
        <f>$F69-364</f>
        <v>44167</v>
      </c>
      <c r="AB69">
        <v>97.2</v>
      </c>
      <c r="AC69" t="s">
        <v>96</v>
      </c>
      <c r="AD69" s="4">
        <f>$F69-365</f>
        <v>44166</v>
      </c>
    </row>
    <row r="70" spans="1:39" x14ac:dyDescent="0.25">
      <c r="A70" t="s">
        <v>8</v>
      </c>
      <c r="B70" t="s">
        <v>594</v>
      </c>
      <c r="E70">
        <v>48</v>
      </c>
      <c r="F70" s="4">
        <v>44531</v>
      </c>
      <c r="G70">
        <v>71</v>
      </c>
      <c r="H70" t="s">
        <v>1</v>
      </c>
      <c r="AE70">
        <v>96</v>
      </c>
      <c r="AF70" t="s">
        <v>96</v>
      </c>
      <c r="AG70" s="4">
        <f>$F70-456</f>
        <v>44075</v>
      </c>
    </row>
    <row r="71" spans="1:39" x14ac:dyDescent="0.25">
      <c r="A71" t="s">
        <v>8</v>
      </c>
      <c r="B71" t="s">
        <v>595</v>
      </c>
      <c r="E71">
        <v>48</v>
      </c>
      <c r="F71" s="4">
        <v>44531</v>
      </c>
      <c r="G71">
        <v>71</v>
      </c>
      <c r="H71" t="s">
        <v>1</v>
      </c>
      <c r="AE71">
        <v>96</v>
      </c>
      <c r="AF71" t="s">
        <v>1059</v>
      </c>
      <c r="AG71" s="4">
        <f>$F71-455</f>
        <v>44076</v>
      </c>
    </row>
    <row r="72" spans="1:39" x14ac:dyDescent="0.25">
      <c r="A72" t="s">
        <v>8</v>
      </c>
      <c r="B72" t="s">
        <v>596</v>
      </c>
      <c r="E72">
        <v>48</v>
      </c>
      <c r="F72" s="4">
        <v>44531</v>
      </c>
      <c r="G72">
        <v>71</v>
      </c>
      <c r="H72" t="s">
        <v>1</v>
      </c>
      <c r="AE72">
        <v>96.2</v>
      </c>
      <c r="AF72" t="s">
        <v>96</v>
      </c>
      <c r="AG72" s="4">
        <f>$F72-546</f>
        <v>43985</v>
      </c>
    </row>
    <row r="73" spans="1:39" x14ac:dyDescent="0.25">
      <c r="A73" t="s">
        <v>8</v>
      </c>
      <c r="B73" t="s">
        <v>597</v>
      </c>
      <c r="E73">
        <v>48</v>
      </c>
      <c r="F73" s="4">
        <v>44531</v>
      </c>
      <c r="G73">
        <v>71</v>
      </c>
      <c r="H73" t="s">
        <v>1</v>
      </c>
      <c r="AE73">
        <v>96.25</v>
      </c>
      <c r="AF73" t="s">
        <v>96</v>
      </c>
      <c r="AG73" s="4">
        <f>$F73-547</f>
        <v>43984</v>
      </c>
    </row>
    <row r="74" spans="1:39" x14ac:dyDescent="0.25">
      <c r="A74" t="s">
        <v>8</v>
      </c>
      <c r="B74" t="s">
        <v>598</v>
      </c>
      <c r="E74">
        <v>48</v>
      </c>
      <c r="F74" s="4">
        <v>44531</v>
      </c>
      <c r="G74">
        <v>71</v>
      </c>
      <c r="H74" t="s">
        <v>1</v>
      </c>
      <c r="AH74">
        <v>95</v>
      </c>
      <c r="AI74" t="s">
        <v>96</v>
      </c>
      <c r="AJ74" s="4">
        <f>$F74-92</f>
        <v>44439</v>
      </c>
    </row>
    <row r="75" spans="1:39" x14ac:dyDescent="0.25">
      <c r="A75" t="s">
        <v>8</v>
      </c>
      <c r="B75" t="s">
        <v>599</v>
      </c>
      <c r="E75">
        <v>48</v>
      </c>
      <c r="F75" s="4">
        <v>44531</v>
      </c>
      <c r="G75">
        <v>71</v>
      </c>
      <c r="H75" t="s">
        <v>1</v>
      </c>
      <c r="AH75">
        <v>95</v>
      </c>
      <c r="AI75" t="s">
        <v>1059</v>
      </c>
      <c r="AJ75" s="4">
        <f>$F75-91</f>
        <v>44440</v>
      </c>
    </row>
    <row r="76" spans="1:39" x14ac:dyDescent="0.25">
      <c r="A76" t="s">
        <v>8</v>
      </c>
      <c r="B76" t="s">
        <v>600</v>
      </c>
      <c r="E76">
        <v>48</v>
      </c>
      <c r="F76" s="4">
        <v>44531</v>
      </c>
      <c r="G76">
        <v>71</v>
      </c>
      <c r="H76" t="s">
        <v>1</v>
      </c>
      <c r="AH76">
        <v>95.2</v>
      </c>
      <c r="AI76" t="s">
        <v>96</v>
      </c>
      <c r="AJ76" s="4">
        <f>$F76-273</f>
        <v>44258</v>
      </c>
    </row>
    <row r="77" spans="1:39" x14ac:dyDescent="0.25">
      <c r="A77" t="s">
        <v>8</v>
      </c>
      <c r="B77" t="s">
        <v>601</v>
      </c>
      <c r="E77">
        <v>48</v>
      </c>
      <c r="F77" s="4">
        <v>44531</v>
      </c>
      <c r="G77">
        <v>71</v>
      </c>
      <c r="H77" t="s">
        <v>1</v>
      </c>
      <c r="AH77">
        <v>95.25</v>
      </c>
      <c r="AI77" t="s">
        <v>96</v>
      </c>
      <c r="AJ77" s="4">
        <f>$F77-274</f>
        <v>44257</v>
      </c>
    </row>
    <row r="78" spans="1:39" x14ac:dyDescent="0.25">
      <c r="A78" t="s">
        <v>8</v>
      </c>
      <c r="B78" t="s">
        <v>602</v>
      </c>
      <c r="E78">
        <v>48</v>
      </c>
      <c r="F78" s="4">
        <v>44531</v>
      </c>
      <c r="G78">
        <v>71</v>
      </c>
      <c r="H78" t="s">
        <v>1</v>
      </c>
      <c r="AK78">
        <v>94</v>
      </c>
      <c r="AL78" t="s">
        <v>96</v>
      </c>
      <c r="AM78" s="4">
        <f>$F78-547</f>
        <v>43984</v>
      </c>
    </row>
    <row r="79" spans="1:39" x14ac:dyDescent="0.25">
      <c r="A79" t="s">
        <v>8</v>
      </c>
      <c r="B79" t="s">
        <v>603</v>
      </c>
      <c r="E79">
        <v>48</v>
      </c>
      <c r="F79" s="4">
        <v>44531</v>
      </c>
      <c r="G79">
        <v>71</v>
      </c>
      <c r="H79" t="s">
        <v>1</v>
      </c>
      <c r="AK79">
        <v>94</v>
      </c>
      <c r="AL79" t="s">
        <v>1059</v>
      </c>
      <c r="AM79" s="4">
        <f>$F79-546</f>
        <v>43985</v>
      </c>
    </row>
    <row r="80" spans="1:39" x14ac:dyDescent="0.25">
      <c r="A80" t="s">
        <v>8</v>
      </c>
      <c r="B80" t="s">
        <v>604</v>
      </c>
      <c r="E80">
        <v>48</v>
      </c>
      <c r="F80" s="4">
        <v>44531</v>
      </c>
      <c r="G80">
        <v>71</v>
      </c>
      <c r="H80" t="s">
        <v>1</v>
      </c>
      <c r="AK80">
        <v>94.2</v>
      </c>
      <c r="AL80" t="s">
        <v>96</v>
      </c>
      <c r="AM80" s="4">
        <f>$F80-3652</f>
        <v>40879</v>
      </c>
    </row>
    <row r="81" spans="1:51" x14ac:dyDescent="0.25">
      <c r="A81" t="s">
        <v>8</v>
      </c>
      <c r="B81" t="s">
        <v>605</v>
      </c>
      <c r="E81">
        <v>48</v>
      </c>
      <c r="F81" s="4">
        <v>44531</v>
      </c>
      <c r="G81">
        <v>71</v>
      </c>
      <c r="H81" t="s">
        <v>1</v>
      </c>
      <c r="AK81">
        <v>94.25</v>
      </c>
      <c r="AL81" t="s">
        <v>96</v>
      </c>
      <c r="AM81" s="4">
        <f>$F81-3653</f>
        <v>40878</v>
      </c>
    </row>
    <row r="82" spans="1:51" x14ac:dyDescent="0.25">
      <c r="A82" t="s">
        <v>8</v>
      </c>
      <c r="B82" t="s">
        <v>606</v>
      </c>
      <c r="E82">
        <v>48</v>
      </c>
      <c r="F82" s="4">
        <v>44531</v>
      </c>
      <c r="G82">
        <v>71</v>
      </c>
      <c r="H82" t="s">
        <v>1</v>
      </c>
      <c r="Y82">
        <v>98</v>
      </c>
      <c r="Z82" t="s">
        <v>96</v>
      </c>
      <c r="AA82" s="4">
        <f>$F82-364</f>
        <v>44167</v>
      </c>
      <c r="AB82">
        <v>97</v>
      </c>
      <c r="AC82" t="s">
        <v>96</v>
      </c>
      <c r="AD82" s="4">
        <f>$F82-366</f>
        <v>44165</v>
      </c>
      <c r="AE82">
        <v>96</v>
      </c>
      <c r="AF82" t="s">
        <v>96</v>
      </c>
      <c r="AG82" s="4">
        <f>$F82-456</f>
        <v>44075</v>
      </c>
      <c r="AH82">
        <v>95</v>
      </c>
      <c r="AI82" t="s">
        <v>96</v>
      </c>
      <c r="AJ82" s="4">
        <f t="shared" ref="AJ82:AJ88" si="2">$F82-92</f>
        <v>44439</v>
      </c>
      <c r="AK82">
        <v>94</v>
      </c>
      <c r="AL82" t="s">
        <v>96</v>
      </c>
      <c r="AM82" s="4">
        <f t="shared" ref="AM82:AM89" si="3">$F82-547</f>
        <v>43984</v>
      </c>
    </row>
    <row r="83" spans="1:51" x14ac:dyDescent="0.25">
      <c r="A83" t="s">
        <v>8</v>
      </c>
      <c r="B83" t="s">
        <v>607</v>
      </c>
      <c r="E83">
        <v>48</v>
      </c>
      <c r="F83" s="4">
        <v>44531</v>
      </c>
      <c r="G83">
        <v>71</v>
      </c>
      <c r="H83" t="s">
        <v>1</v>
      </c>
      <c r="AA83" s="4"/>
      <c r="AB83">
        <v>97</v>
      </c>
      <c r="AC83" t="s">
        <v>96</v>
      </c>
      <c r="AD83" s="4">
        <f>$F83-366</f>
        <v>44165</v>
      </c>
      <c r="AE83">
        <v>96</v>
      </c>
      <c r="AF83" t="s">
        <v>96</v>
      </c>
      <c r="AG83" s="4">
        <f>$F83-456</f>
        <v>44075</v>
      </c>
      <c r="AH83">
        <v>95</v>
      </c>
      <c r="AI83" t="s">
        <v>96</v>
      </c>
      <c r="AJ83" s="4">
        <f t="shared" si="2"/>
        <v>44439</v>
      </c>
      <c r="AK83">
        <v>94</v>
      </c>
      <c r="AL83" t="s">
        <v>96</v>
      </c>
      <c r="AM83" s="4">
        <f t="shared" si="3"/>
        <v>43984</v>
      </c>
    </row>
    <row r="84" spans="1:51" x14ac:dyDescent="0.25">
      <c r="A84" t="s">
        <v>8</v>
      </c>
      <c r="B84" t="s">
        <v>608</v>
      </c>
      <c r="E84">
        <v>48</v>
      </c>
      <c r="F84" s="4">
        <v>44531</v>
      </c>
      <c r="G84">
        <v>71</v>
      </c>
      <c r="H84" t="s">
        <v>1</v>
      </c>
      <c r="AE84">
        <v>96</v>
      </c>
      <c r="AF84" t="s">
        <v>96</v>
      </c>
      <c r="AG84" s="4">
        <f>$F84-456</f>
        <v>44075</v>
      </c>
      <c r="AH84">
        <v>95</v>
      </c>
      <c r="AI84" t="s">
        <v>96</v>
      </c>
      <c r="AJ84" s="4">
        <f t="shared" si="2"/>
        <v>44439</v>
      </c>
      <c r="AK84">
        <v>94</v>
      </c>
      <c r="AL84" t="s">
        <v>96</v>
      </c>
      <c r="AM84" s="4">
        <f t="shared" si="3"/>
        <v>43984</v>
      </c>
    </row>
    <row r="85" spans="1:51" x14ac:dyDescent="0.25">
      <c r="A85" t="s">
        <v>8</v>
      </c>
      <c r="B85" t="s">
        <v>609</v>
      </c>
      <c r="E85">
        <v>48</v>
      </c>
      <c r="F85" s="4">
        <v>44531</v>
      </c>
      <c r="G85">
        <v>71</v>
      </c>
      <c r="H85" t="s">
        <v>1</v>
      </c>
      <c r="AH85">
        <v>95</v>
      </c>
      <c r="AI85" t="s">
        <v>96</v>
      </c>
      <c r="AJ85" s="4">
        <f t="shared" si="2"/>
        <v>44439</v>
      </c>
      <c r="AK85">
        <v>94</v>
      </c>
      <c r="AL85" t="s">
        <v>96</v>
      </c>
      <c r="AM85" s="4">
        <f t="shared" si="3"/>
        <v>43984</v>
      </c>
    </row>
    <row r="86" spans="1:51" x14ac:dyDescent="0.25">
      <c r="A86" t="s">
        <v>8</v>
      </c>
      <c r="B86" t="s">
        <v>610</v>
      </c>
      <c r="E86">
        <v>48</v>
      </c>
      <c r="F86" s="4">
        <v>44531</v>
      </c>
      <c r="G86">
        <v>71</v>
      </c>
      <c r="H86" t="s">
        <v>1</v>
      </c>
      <c r="Y86">
        <v>98</v>
      </c>
      <c r="Z86" t="s">
        <v>96</v>
      </c>
      <c r="AA86" s="4">
        <f>$F86-273</f>
        <v>44258</v>
      </c>
      <c r="AB86">
        <v>97</v>
      </c>
      <c r="AC86" t="s">
        <v>96</v>
      </c>
      <c r="AD86" s="4">
        <f>$F86-366</f>
        <v>44165</v>
      </c>
      <c r="AE86">
        <v>96</v>
      </c>
      <c r="AF86" t="s">
        <v>96</v>
      </c>
      <c r="AG86" s="4">
        <f>$F86-456</f>
        <v>44075</v>
      </c>
      <c r="AH86">
        <v>95</v>
      </c>
      <c r="AI86" t="s">
        <v>96</v>
      </c>
      <c r="AJ86" s="4">
        <f t="shared" si="2"/>
        <v>44439</v>
      </c>
      <c r="AK86">
        <v>94</v>
      </c>
      <c r="AL86" t="s">
        <v>96</v>
      </c>
      <c r="AM86" s="4">
        <f t="shared" si="3"/>
        <v>43984</v>
      </c>
    </row>
    <row r="87" spans="1:51" x14ac:dyDescent="0.25">
      <c r="A87" t="s">
        <v>8</v>
      </c>
      <c r="B87" t="s">
        <v>611</v>
      </c>
      <c r="E87">
        <v>48</v>
      </c>
      <c r="F87" s="4">
        <v>44531</v>
      </c>
      <c r="G87">
        <v>71</v>
      </c>
      <c r="H87" t="s">
        <v>1</v>
      </c>
      <c r="Y87">
        <v>98</v>
      </c>
      <c r="Z87" t="s">
        <v>96</v>
      </c>
      <c r="AA87" s="4">
        <f>$F87-364</f>
        <v>44167</v>
      </c>
      <c r="AB87">
        <v>97</v>
      </c>
      <c r="AC87" t="s">
        <v>96</v>
      </c>
      <c r="AD87" s="4">
        <f>$F87-364</f>
        <v>44167</v>
      </c>
      <c r="AE87">
        <v>96</v>
      </c>
      <c r="AF87" t="s">
        <v>96</v>
      </c>
      <c r="AG87" s="4">
        <f>$F87-456</f>
        <v>44075</v>
      </c>
      <c r="AH87">
        <v>95</v>
      </c>
      <c r="AI87" t="s">
        <v>96</v>
      </c>
      <c r="AJ87" s="4">
        <f t="shared" si="2"/>
        <v>44439</v>
      </c>
      <c r="AK87">
        <v>94</v>
      </c>
      <c r="AL87" t="s">
        <v>96</v>
      </c>
      <c r="AM87" s="4">
        <f t="shared" si="3"/>
        <v>43984</v>
      </c>
    </row>
    <row r="88" spans="1:51" x14ac:dyDescent="0.25">
      <c r="A88" t="s">
        <v>8</v>
      </c>
      <c r="B88" t="s">
        <v>612</v>
      </c>
      <c r="E88">
        <v>48</v>
      </c>
      <c r="F88" s="4">
        <v>44531</v>
      </c>
      <c r="G88">
        <v>71</v>
      </c>
      <c r="H88" t="s">
        <v>1</v>
      </c>
      <c r="Y88">
        <v>98</v>
      </c>
      <c r="Z88" t="s">
        <v>96</v>
      </c>
      <c r="AA88" s="4">
        <f>$F88-364</f>
        <v>44167</v>
      </c>
      <c r="AB88">
        <v>97</v>
      </c>
      <c r="AC88" t="s">
        <v>96</v>
      </c>
      <c r="AD88" s="4">
        <f>$F88-366</f>
        <v>44165</v>
      </c>
      <c r="AE88">
        <v>96</v>
      </c>
      <c r="AF88" t="s">
        <v>96</v>
      </c>
      <c r="AG88" s="4">
        <f>$F88-455</f>
        <v>44076</v>
      </c>
      <c r="AH88">
        <v>95</v>
      </c>
      <c r="AI88" t="s">
        <v>96</v>
      </c>
      <c r="AJ88" s="4">
        <f t="shared" si="2"/>
        <v>44439</v>
      </c>
      <c r="AK88">
        <v>94</v>
      </c>
      <c r="AL88" t="s">
        <v>96</v>
      </c>
      <c r="AM88" s="4">
        <f t="shared" si="3"/>
        <v>43984</v>
      </c>
    </row>
    <row r="89" spans="1:51" x14ac:dyDescent="0.25">
      <c r="A89" t="s">
        <v>8</v>
      </c>
      <c r="B89" t="s">
        <v>613</v>
      </c>
      <c r="E89">
        <v>48</v>
      </c>
      <c r="F89" s="4">
        <v>44531</v>
      </c>
      <c r="G89">
        <v>71</v>
      </c>
      <c r="H89" t="s">
        <v>1</v>
      </c>
      <c r="Y89">
        <v>98</v>
      </c>
      <c r="Z89" t="s">
        <v>96</v>
      </c>
      <c r="AA89" s="4">
        <f>$F89-364</f>
        <v>44167</v>
      </c>
      <c r="AB89">
        <v>97</v>
      </c>
      <c r="AC89" t="s">
        <v>96</v>
      </c>
      <c r="AD89" s="4">
        <f>$F89-366</f>
        <v>44165</v>
      </c>
      <c r="AE89">
        <v>96</v>
      </c>
      <c r="AF89" t="s">
        <v>96</v>
      </c>
      <c r="AG89" s="4">
        <f>$F89-456</f>
        <v>44075</v>
      </c>
      <c r="AH89">
        <v>95</v>
      </c>
      <c r="AI89" t="s">
        <v>96</v>
      </c>
      <c r="AJ89" s="4">
        <f>$F89-91</f>
        <v>44440</v>
      </c>
      <c r="AK89">
        <v>94</v>
      </c>
      <c r="AL89" t="s">
        <v>96</v>
      </c>
      <c r="AM89" s="4">
        <f t="shared" si="3"/>
        <v>43984</v>
      </c>
    </row>
    <row r="90" spans="1:51" x14ac:dyDescent="0.25">
      <c r="A90" t="s">
        <v>8</v>
      </c>
      <c r="B90" t="s">
        <v>614</v>
      </c>
      <c r="E90">
        <v>48</v>
      </c>
      <c r="F90" s="4">
        <v>44531</v>
      </c>
      <c r="G90">
        <v>71</v>
      </c>
      <c r="H90" t="s">
        <v>1</v>
      </c>
      <c r="Y90">
        <v>98</v>
      </c>
      <c r="Z90" t="s">
        <v>96</v>
      </c>
      <c r="AA90" s="4">
        <f>$F90-364</f>
        <v>44167</v>
      </c>
      <c r="AB90">
        <v>97</v>
      </c>
      <c r="AC90" t="s">
        <v>96</v>
      </c>
      <c r="AD90" s="4">
        <f>$F90-366</f>
        <v>44165</v>
      </c>
      <c r="AE90">
        <v>96</v>
      </c>
      <c r="AF90" t="s">
        <v>96</v>
      </c>
      <c r="AG90" s="4">
        <f>$F90-456</f>
        <v>44075</v>
      </c>
      <c r="AH90">
        <v>95</v>
      </c>
      <c r="AI90" t="s">
        <v>96</v>
      </c>
      <c r="AJ90" s="4">
        <f>$F90-92</f>
        <v>44439</v>
      </c>
      <c r="AK90">
        <v>94</v>
      </c>
      <c r="AL90" t="s">
        <v>96</v>
      </c>
      <c r="AM90" s="4">
        <f>$F90-546</f>
        <v>43985</v>
      </c>
    </row>
    <row r="91" spans="1:51" x14ac:dyDescent="0.25">
      <c r="A91" t="s">
        <v>8</v>
      </c>
      <c r="B91" t="s">
        <v>615</v>
      </c>
      <c r="E91">
        <v>48</v>
      </c>
      <c r="F91" s="4">
        <v>44531</v>
      </c>
      <c r="G91">
        <v>71</v>
      </c>
      <c r="H91" t="s">
        <v>1</v>
      </c>
      <c r="U91" s="4"/>
      <c r="X91" s="4"/>
      <c r="Y91">
        <v>98</v>
      </c>
      <c r="Z91" t="s">
        <v>96</v>
      </c>
      <c r="AA91" s="4">
        <f>$F91-273</f>
        <v>44258</v>
      </c>
      <c r="AB91">
        <v>97</v>
      </c>
      <c r="AC91" t="s">
        <v>96</v>
      </c>
      <c r="AD91" s="4">
        <f>$F91-364</f>
        <v>44167</v>
      </c>
      <c r="AE91">
        <v>96</v>
      </c>
      <c r="AF91" t="s">
        <v>96</v>
      </c>
      <c r="AG91" s="4">
        <f>$F91-455</f>
        <v>44076</v>
      </c>
      <c r="AH91">
        <v>95</v>
      </c>
      <c r="AI91" t="s">
        <v>96</v>
      </c>
      <c r="AJ91" s="4">
        <f>$F91-91</f>
        <v>44440</v>
      </c>
      <c r="AK91">
        <v>94</v>
      </c>
      <c r="AL91" t="s">
        <v>96</v>
      </c>
      <c r="AM91" s="4">
        <f>$F91-546</f>
        <v>43985</v>
      </c>
    </row>
    <row r="92" spans="1:51" x14ac:dyDescent="0.25">
      <c r="A92" t="s">
        <v>8</v>
      </c>
      <c r="B92" t="s">
        <v>616</v>
      </c>
      <c r="E92">
        <v>48</v>
      </c>
      <c r="F92" s="4">
        <v>44531</v>
      </c>
      <c r="G92">
        <v>71</v>
      </c>
      <c r="H92" t="s">
        <v>1</v>
      </c>
      <c r="U92" s="4"/>
      <c r="X92" s="4"/>
      <c r="Y92">
        <v>98</v>
      </c>
      <c r="Z92" t="s">
        <v>96</v>
      </c>
      <c r="AA92" s="4">
        <f>$F92-273</f>
        <v>44258</v>
      </c>
      <c r="AB92">
        <v>97</v>
      </c>
      <c r="AC92" t="s">
        <v>96</v>
      </c>
      <c r="AD92" s="4">
        <f>$F92-363</f>
        <v>44168</v>
      </c>
      <c r="AE92">
        <v>96</v>
      </c>
      <c r="AF92" t="s">
        <v>96</v>
      </c>
      <c r="AG92" s="4">
        <f>$F92-453</f>
        <v>44078</v>
      </c>
      <c r="AH92">
        <v>95</v>
      </c>
      <c r="AI92" t="s">
        <v>96</v>
      </c>
      <c r="AJ92" s="4">
        <f>$F92-88</f>
        <v>44443</v>
      </c>
      <c r="AK92">
        <v>94</v>
      </c>
      <c r="AL92" t="s">
        <v>96</v>
      </c>
      <c r="AM92" s="4">
        <f>$F92-547</f>
        <v>43984</v>
      </c>
    </row>
    <row r="93" spans="1:51" x14ac:dyDescent="0.25">
      <c r="A93" t="s">
        <v>8</v>
      </c>
      <c r="B93" t="s">
        <v>617</v>
      </c>
      <c r="E93">
        <v>48</v>
      </c>
      <c r="F93" s="7">
        <v>44531</v>
      </c>
      <c r="G93">
        <v>71</v>
      </c>
      <c r="H93" t="s">
        <v>1</v>
      </c>
      <c r="U93" s="4"/>
      <c r="X93" s="4"/>
      <c r="Y93">
        <v>98</v>
      </c>
      <c r="Z93" t="s">
        <v>96</v>
      </c>
      <c r="AA93" s="5">
        <f>$F93-273</f>
        <v>44258</v>
      </c>
      <c r="AB93">
        <v>97</v>
      </c>
      <c r="AC93" t="s">
        <v>96</v>
      </c>
      <c r="AD93" s="6">
        <f>$F93-363</f>
        <v>44168</v>
      </c>
      <c r="AE93">
        <v>96</v>
      </c>
      <c r="AF93" t="s">
        <v>96</v>
      </c>
      <c r="AG93" s="7">
        <f>$F93-453</f>
        <v>44078</v>
      </c>
      <c r="AH93">
        <v>95</v>
      </c>
      <c r="AI93" t="s">
        <v>96</v>
      </c>
      <c r="AJ93" s="8">
        <f>$F93-88</f>
        <v>44443</v>
      </c>
      <c r="AK93">
        <v>94</v>
      </c>
      <c r="AL93" t="s">
        <v>96</v>
      </c>
      <c r="AM93" s="9">
        <f>$F93-547</f>
        <v>43984</v>
      </c>
    </row>
    <row r="94" spans="1:51" x14ac:dyDescent="0.25">
      <c r="A94" t="s">
        <v>8</v>
      </c>
      <c r="B94" t="s">
        <v>618</v>
      </c>
      <c r="E94">
        <v>48</v>
      </c>
      <c r="F94" s="8">
        <v>44531</v>
      </c>
      <c r="G94">
        <v>71</v>
      </c>
      <c r="H94" t="s">
        <v>1</v>
      </c>
      <c r="U94" s="4"/>
      <c r="X94" s="4"/>
      <c r="Y94">
        <v>98</v>
      </c>
      <c r="Z94" t="s">
        <v>96</v>
      </c>
      <c r="AA94">
        <f>$F94-364</f>
        <v>44167</v>
      </c>
      <c r="AB94">
        <v>97</v>
      </c>
      <c r="AC94" t="s">
        <v>96</v>
      </c>
      <c r="AD94" s="5">
        <f>$F94-363</f>
        <v>44168</v>
      </c>
      <c r="AE94">
        <v>96</v>
      </c>
      <c r="AF94" t="s">
        <v>96</v>
      </c>
      <c r="AG94" s="9">
        <f>$F94-453</f>
        <v>44078</v>
      </c>
      <c r="AH94">
        <v>95</v>
      </c>
      <c r="AI94" t="s">
        <v>96</v>
      </c>
      <c r="AJ94">
        <f>$F94-88</f>
        <v>44443</v>
      </c>
      <c r="AK94">
        <v>94</v>
      </c>
      <c r="AL94" t="s">
        <v>96</v>
      </c>
      <c r="AM94" s="10">
        <f>$F94-542</f>
        <v>43989</v>
      </c>
    </row>
    <row r="95" spans="1:51" x14ac:dyDescent="0.25">
      <c r="A95" t="s">
        <v>8</v>
      </c>
      <c r="B95" t="s">
        <v>619</v>
      </c>
      <c r="E95">
        <v>48</v>
      </c>
      <c r="F95" s="4">
        <v>44531</v>
      </c>
      <c r="G95">
        <v>71</v>
      </c>
      <c r="H95" t="s">
        <v>1</v>
      </c>
      <c r="U95" s="4"/>
      <c r="X95" s="4"/>
      <c r="AA95" s="4"/>
      <c r="AD95" s="4"/>
      <c r="AG95" s="4"/>
      <c r="AJ95" s="4"/>
      <c r="AM95" s="4"/>
      <c r="AN95">
        <v>30</v>
      </c>
      <c r="AO95" s="4">
        <f>$F95-0</f>
        <v>44531</v>
      </c>
      <c r="AW95" s="4"/>
    </row>
    <row r="96" spans="1:51" x14ac:dyDescent="0.25">
      <c r="A96" t="s">
        <v>8</v>
      </c>
      <c r="B96" t="s">
        <v>620</v>
      </c>
      <c r="E96">
        <v>48</v>
      </c>
      <c r="F96" s="4">
        <v>44531</v>
      </c>
      <c r="G96">
        <v>71</v>
      </c>
      <c r="H96" t="s">
        <v>1</v>
      </c>
      <c r="U96" s="4"/>
      <c r="X96" s="4"/>
      <c r="AA96" s="4"/>
      <c r="AD96" s="4"/>
      <c r="AG96" s="4"/>
      <c r="AJ96" s="4"/>
      <c r="AM96" s="4"/>
      <c r="AN96">
        <v>30</v>
      </c>
      <c r="AO96" s="4">
        <f>$F96-1</f>
        <v>44530</v>
      </c>
      <c r="AY96" s="4"/>
    </row>
    <row r="97" spans="1:53" x14ac:dyDescent="0.25">
      <c r="A97" t="s">
        <v>8</v>
      </c>
      <c r="B97" t="s">
        <v>621</v>
      </c>
      <c r="E97">
        <v>48</v>
      </c>
      <c r="F97" s="4">
        <v>44531</v>
      </c>
      <c r="G97">
        <v>71</v>
      </c>
      <c r="H97" t="s">
        <v>1</v>
      </c>
      <c r="U97" s="4"/>
      <c r="X97" s="4"/>
      <c r="AA97" s="4"/>
      <c r="AD97" s="4"/>
      <c r="AG97" s="4"/>
      <c r="AJ97" s="4"/>
      <c r="AM97" s="4"/>
      <c r="AN97">
        <v>30.2</v>
      </c>
      <c r="AO97" s="4">
        <f>$F97+91</f>
        <v>44622</v>
      </c>
      <c r="BA97" s="4"/>
    </row>
    <row r="98" spans="1:53" x14ac:dyDescent="0.25">
      <c r="A98" t="s">
        <v>8</v>
      </c>
      <c r="B98" t="s">
        <v>622</v>
      </c>
      <c r="E98">
        <v>48</v>
      </c>
      <c r="F98" s="4">
        <v>44531</v>
      </c>
      <c r="G98">
        <v>71</v>
      </c>
      <c r="H98" t="s">
        <v>1</v>
      </c>
      <c r="AN98">
        <v>30.25</v>
      </c>
      <c r="AO98" s="4">
        <f>$F98+92</f>
        <v>44623</v>
      </c>
      <c r="AS98" s="4"/>
      <c r="AU98" s="4"/>
    </row>
    <row r="99" spans="1:53" x14ac:dyDescent="0.25">
      <c r="A99" t="s">
        <v>8</v>
      </c>
      <c r="B99" t="s">
        <v>623</v>
      </c>
      <c r="E99">
        <v>48</v>
      </c>
      <c r="F99" s="4">
        <v>44531</v>
      </c>
      <c r="G99">
        <v>71</v>
      </c>
      <c r="H99" t="s">
        <v>1</v>
      </c>
      <c r="AP99">
        <v>29</v>
      </c>
      <c r="AQ99" s="4">
        <f>$F99-1</f>
        <v>44530</v>
      </c>
      <c r="AS99" s="4"/>
      <c r="AY99" s="4"/>
    </row>
    <row r="100" spans="1:53" x14ac:dyDescent="0.25">
      <c r="A100" t="s">
        <v>8</v>
      </c>
      <c r="B100" t="s">
        <v>624</v>
      </c>
      <c r="E100">
        <v>48</v>
      </c>
      <c r="F100" s="4">
        <v>44531</v>
      </c>
      <c r="G100">
        <v>71</v>
      </c>
      <c r="H100" t="s">
        <v>1</v>
      </c>
      <c r="AP100">
        <v>29</v>
      </c>
      <c r="AQ100" s="4">
        <f>$F100-0</f>
        <v>44531</v>
      </c>
      <c r="AU100" s="4"/>
      <c r="AW100" s="4"/>
    </row>
    <row r="101" spans="1:53" x14ac:dyDescent="0.25">
      <c r="A101" t="s">
        <v>8</v>
      </c>
      <c r="B101" t="s">
        <v>625</v>
      </c>
      <c r="C101">
        <v>1.7</v>
      </c>
      <c r="D101" t="s">
        <v>95</v>
      </c>
      <c r="E101">
        <v>48</v>
      </c>
      <c r="F101" s="4">
        <v>44531</v>
      </c>
      <c r="G101">
        <v>71</v>
      </c>
      <c r="H101" t="s">
        <v>1</v>
      </c>
      <c r="AP101">
        <v>29.2</v>
      </c>
      <c r="AQ101" s="4">
        <f>$F101-91</f>
        <v>44440</v>
      </c>
      <c r="AW101" s="4"/>
      <c r="BA101" s="4"/>
    </row>
    <row r="102" spans="1:53" x14ac:dyDescent="0.25">
      <c r="A102" t="s">
        <v>8</v>
      </c>
      <c r="B102" t="s">
        <v>626</v>
      </c>
      <c r="C102">
        <v>170</v>
      </c>
      <c r="D102" t="s">
        <v>482</v>
      </c>
      <c r="E102">
        <v>48</v>
      </c>
      <c r="F102" s="4">
        <v>44531</v>
      </c>
      <c r="G102">
        <v>71</v>
      </c>
      <c r="H102" t="s">
        <v>1</v>
      </c>
      <c r="AP102">
        <v>29.25</v>
      </c>
      <c r="AQ102" s="4">
        <f>$F102-92</f>
        <v>44439</v>
      </c>
      <c r="AY102" s="4"/>
    </row>
    <row r="103" spans="1:53" x14ac:dyDescent="0.25">
      <c r="A103" t="s">
        <v>8</v>
      </c>
      <c r="B103" t="s">
        <v>627</v>
      </c>
      <c r="C103">
        <v>171.5</v>
      </c>
      <c r="E103">
        <v>48</v>
      </c>
      <c r="F103" s="4">
        <v>44531</v>
      </c>
      <c r="G103">
        <v>71</v>
      </c>
      <c r="H103" t="s">
        <v>1</v>
      </c>
      <c r="AN103">
        <v>30</v>
      </c>
      <c r="AO103" s="4">
        <f>$F103-0</f>
        <v>44531</v>
      </c>
      <c r="AP103">
        <v>29.2</v>
      </c>
      <c r="AQ103" s="4">
        <f>$F103-1</f>
        <v>44530</v>
      </c>
      <c r="BA103" s="4"/>
    </row>
    <row r="104" spans="1:53" x14ac:dyDescent="0.25">
      <c r="A104" t="s">
        <v>8</v>
      </c>
      <c r="B104" t="s">
        <v>628</v>
      </c>
      <c r="C104" t="s">
        <v>536</v>
      </c>
      <c r="D104" t="s">
        <v>95</v>
      </c>
      <c r="E104">
        <v>48</v>
      </c>
      <c r="F104" s="4">
        <v>44531</v>
      </c>
      <c r="G104">
        <v>71</v>
      </c>
      <c r="H104" t="s">
        <v>1</v>
      </c>
      <c r="AN104">
        <v>30</v>
      </c>
      <c r="AO104" s="4">
        <f>$F104+2</f>
        <v>44533</v>
      </c>
      <c r="AP104">
        <v>29.2</v>
      </c>
      <c r="AQ104" s="4">
        <f>$F104-1</f>
        <v>44530</v>
      </c>
    </row>
    <row r="105" spans="1:53" x14ac:dyDescent="0.25">
      <c r="A105" t="s">
        <v>8</v>
      </c>
      <c r="B105" t="s">
        <v>629</v>
      </c>
      <c r="C105">
        <v>170.5</v>
      </c>
      <c r="D105" t="s">
        <v>482</v>
      </c>
      <c r="E105">
        <v>48</v>
      </c>
      <c r="F105" s="4">
        <v>44531</v>
      </c>
      <c r="G105">
        <v>71</v>
      </c>
      <c r="H105" t="s">
        <v>1</v>
      </c>
      <c r="AN105">
        <v>30</v>
      </c>
      <c r="AO105" s="4">
        <f>$F105+1</f>
        <v>44532</v>
      </c>
      <c r="AP105">
        <v>29.2</v>
      </c>
      <c r="AQ105" s="4">
        <f>$F105-1</f>
        <v>44530</v>
      </c>
    </row>
    <row r="106" spans="1:53" x14ac:dyDescent="0.25">
      <c r="A106" t="s">
        <v>8</v>
      </c>
      <c r="B106" t="s">
        <v>630</v>
      </c>
      <c r="C106">
        <v>1.71</v>
      </c>
      <c r="D106" t="s">
        <v>95</v>
      </c>
      <c r="E106">
        <v>48</v>
      </c>
      <c r="F106" s="4">
        <v>44531</v>
      </c>
      <c r="G106">
        <v>71</v>
      </c>
      <c r="H106" t="s">
        <v>1</v>
      </c>
      <c r="AO106" s="4"/>
      <c r="AQ106" s="4"/>
      <c r="AR106">
        <v>28</v>
      </c>
      <c r="AS106" s="4">
        <f>$F106-274</f>
        <v>44257</v>
      </c>
      <c r="AW106" s="4"/>
      <c r="AY106" s="4"/>
      <c r="BA106" s="4"/>
    </row>
    <row r="107" spans="1:53" x14ac:dyDescent="0.25">
      <c r="A107" t="s">
        <v>8</v>
      </c>
      <c r="B107" t="s">
        <v>631</v>
      </c>
      <c r="C107">
        <v>1.71</v>
      </c>
      <c r="D107" t="s">
        <v>95</v>
      </c>
      <c r="E107">
        <v>48</v>
      </c>
      <c r="F107" s="4">
        <v>44531</v>
      </c>
      <c r="G107">
        <v>71</v>
      </c>
      <c r="H107" t="s">
        <v>1</v>
      </c>
      <c r="AR107">
        <v>28</v>
      </c>
      <c r="AS107" s="4">
        <f>$F107-273</f>
        <v>44258</v>
      </c>
    </row>
    <row r="108" spans="1:53" x14ac:dyDescent="0.25">
      <c r="A108" t="s">
        <v>8</v>
      </c>
      <c r="B108" t="s">
        <v>632</v>
      </c>
      <c r="C108">
        <v>1.7</v>
      </c>
      <c r="D108" t="s">
        <v>95</v>
      </c>
      <c r="E108">
        <v>48</v>
      </c>
      <c r="F108" s="4">
        <v>44531</v>
      </c>
      <c r="G108">
        <v>71</v>
      </c>
      <c r="H108" t="s">
        <v>1</v>
      </c>
      <c r="AR108">
        <v>28.2</v>
      </c>
      <c r="AS108" s="4">
        <f>$F108-364</f>
        <v>44167</v>
      </c>
    </row>
    <row r="109" spans="1:53" x14ac:dyDescent="0.25">
      <c r="A109" t="s">
        <v>8</v>
      </c>
      <c r="B109" t="s">
        <v>633</v>
      </c>
      <c r="C109">
        <v>1.71</v>
      </c>
      <c r="D109" t="s">
        <v>95</v>
      </c>
      <c r="E109">
        <v>48</v>
      </c>
      <c r="F109" s="4">
        <v>44531</v>
      </c>
      <c r="G109">
        <v>71</v>
      </c>
      <c r="H109" t="s">
        <v>1</v>
      </c>
      <c r="AR109">
        <v>28.25</v>
      </c>
      <c r="AS109" s="4">
        <f>$F109-365</f>
        <v>44166</v>
      </c>
    </row>
    <row r="110" spans="1:53" x14ac:dyDescent="0.25">
      <c r="A110" t="s">
        <v>8</v>
      </c>
      <c r="B110" t="s">
        <v>634</v>
      </c>
      <c r="C110">
        <v>1.7</v>
      </c>
      <c r="D110" t="s">
        <v>95</v>
      </c>
      <c r="E110">
        <v>48</v>
      </c>
      <c r="F110" s="4">
        <v>44531</v>
      </c>
      <c r="G110">
        <v>71</v>
      </c>
      <c r="H110" t="s">
        <v>1</v>
      </c>
      <c r="AT110">
        <v>27</v>
      </c>
      <c r="AU110" s="4">
        <f>$F110-365</f>
        <v>44166</v>
      </c>
    </row>
    <row r="111" spans="1:53" x14ac:dyDescent="0.25">
      <c r="A111" t="s">
        <v>8</v>
      </c>
      <c r="B111" t="s">
        <v>635</v>
      </c>
      <c r="C111">
        <v>1.7</v>
      </c>
      <c r="D111" t="s">
        <v>95</v>
      </c>
      <c r="E111">
        <v>48</v>
      </c>
      <c r="F111" s="4">
        <v>44531</v>
      </c>
      <c r="G111">
        <v>71</v>
      </c>
      <c r="H111" t="s">
        <v>1</v>
      </c>
      <c r="AT111">
        <v>27</v>
      </c>
      <c r="AU111" s="4">
        <f>$F111-364</f>
        <v>44167</v>
      </c>
    </row>
    <row r="112" spans="1:53" x14ac:dyDescent="0.25">
      <c r="A112" t="s">
        <v>8</v>
      </c>
      <c r="B112" t="s">
        <v>636</v>
      </c>
      <c r="C112">
        <v>1.71</v>
      </c>
      <c r="D112" t="s">
        <v>95</v>
      </c>
      <c r="E112">
        <v>48</v>
      </c>
      <c r="F112" s="4">
        <v>44531</v>
      </c>
      <c r="G112">
        <v>71</v>
      </c>
      <c r="H112" t="s">
        <v>1</v>
      </c>
      <c r="AT112">
        <v>27.2</v>
      </c>
      <c r="AU112" s="4">
        <f>$F112-455</f>
        <v>44076</v>
      </c>
    </row>
    <row r="113" spans="1:53" x14ac:dyDescent="0.25">
      <c r="A113" t="s">
        <v>8</v>
      </c>
      <c r="B113" t="s">
        <v>637</v>
      </c>
      <c r="C113">
        <v>1.7</v>
      </c>
      <c r="D113" t="s">
        <v>95</v>
      </c>
      <c r="E113">
        <v>48</v>
      </c>
      <c r="F113" s="4">
        <v>44531</v>
      </c>
      <c r="G113">
        <v>71</v>
      </c>
      <c r="H113" t="s">
        <v>1</v>
      </c>
      <c r="AT113">
        <v>27.25</v>
      </c>
      <c r="AU113" s="4">
        <f>$F113-456</f>
        <v>44075</v>
      </c>
    </row>
    <row r="114" spans="1:53" x14ac:dyDescent="0.25">
      <c r="A114" t="s">
        <v>8</v>
      </c>
      <c r="B114" t="s">
        <v>638</v>
      </c>
      <c r="C114">
        <v>1.71</v>
      </c>
      <c r="D114" t="s">
        <v>95</v>
      </c>
      <c r="E114">
        <v>48</v>
      </c>
      <c r="F114" s="4">
        <v>44531</v>
      </c>
      <c r="G114">
        <v>71</v>
      </c>
      <c r="H114" t="s">
        <v>1</v>
      </c>
      <c r="AR114">
        <v>28</v>
      </c>
      <c r="AS114" s="4">
        <f>$F114-364</f>
        <v>44167</v>
      </c>
      <c r="AT114">
        <v>27.2</v>
      </c>
      <c r="AU114" s="4">
        <f>$F114-366</f>
        <v>44165</v>
      </c>
    </row>
    <row r="115" spans="1:53" x14ac:dyDescent="0.25">
      <c r="A115" t="s">
        <v>8</v>
      </c>
      <c r="B115" t="s">
        <v>639</v>
      </c>
      <c r="C115">
        <v>1.71</v>
      </c>
      <c r="D115" t="s">
        <v>95</v>
      </c>
      <c r="E115">
        <v>48</v>
      </c>
      <c r="F115" s="4">
        <v>44531</v>
      </c>
      <c r="G115">
        <v>71</v>
      </c>
      <c r="H115" t="s">
        <v>1</v>
      </c>
      <c r="AR115">
        <v>28</v>
      </c>
      <c r="AS115" s="4">
        <f>$F115-363</f>
        <v>44168</v>
      </c>
      <c r="AT115">
        <v>27.2</v>
      </c>
      <c r="AU115" s="4">
        <f>$F115-365</f>
        <v>44166</v>
      </c>
    </row>
    <row r="116" spans="1:53" x14ac:dyDescent="0.25">
      <c r="A116" t="s">
        <v>8</v>
      </c>
      <c r="B116" t="s">
        <v>640</v>
      </c>
      <c r="C116">
        <v>1.7</v>
      </c>
      <c r="D116" t="s">
        <v>95</v>
      </c>
      <c r="E116">
        <v>48</v>
      </c>
      <c r="F116" s="4">
        <v>44531</v>
      </c>
      <c r="G116">
        <v>71</v>
      </c>
      <c r="H116" t="s">
        <v>1</v>
      </c>
      <c r="AR116">
        <v>28</v>
      </c>
      <c r="AS116" s="4">
        <f>$F116-364</f>
        <v>44167</v>
      </c>
      <c r="AT116">
        <v>27.2</v>
      </c>
      <c r="AU116" s="4">
        <f>$F116-365</f>
        <v>44166</v>
      </c>
    </row>
    <row r="117" spans="1:53" x14ac:dyDescent="0.25">
      <c r="A117" t="s">
        <v>8</v>
      </c>
      <c r="B117" t="s">
        <v>641</v>
      </c>
      <c r="C117">
        <v>1.71</v>
      </c>
      <c r="D117" t="s">
        <v>95</v>
      </c>
      <c r="E117">
        <v>48</v>
      </c>
      <c r="F117" s="4">
        <v>44531</v>
      </c>
      <c r="G117">
        <v>71</v>
      </c>
      <c r="H117" t="s">
        <v>1</v>
      </c>
      <c r="AV117">
        <v>26</v>
      </c>
      <c r="AW117" s="4">
        <f>$F117-456</f>
        <v>44075</v>
      </c>
    </row>
    <row r="118" spans="1:53" x14ac:dyDescent="0.25">
      <c r="A118" t="s">
        <v>8</v>
      </c>
      <c r="B118" t="s">
        <v>642</v>
      </c>
      <c r="C118">
        <v>1.71</v>
      </c>
      <c r="D118" t="s">
        <v>95</v>
      </c>
      <c r="E118">
        <v>48</v>
      </c>
      <c r="F118" s="4">
        <v>44531</v>
      </c>
      <c r="G118">
        <v>71</v>
      </c>
      <c r="H118" t="s">
        <v>1</v>
      </c>
      <c r="AV118">
        <v>26</v>
      </c>
      <c r="AW118" s="4">
        <f>$F118-455</f>
        <v>44076</v>
      </c>
    </row>
    <row r="119" spans="1:53" x14ac:dyDescent="0.25">
      <c r="A119" t="s">
        <v>8</v>
      </c>
      <c r="B119" t="s">
        <v>643</v>
      </c>
      <c r="C119">
        <v>1.7</v>
      </c>
      <c r="D119" t="s">
        <v>95</v>
      </c>
      <c r="E119">
        <v>48</v>
      </c>
      <c r="F119" s="4">
        <v>44531</v>
      </c>
      <c r="G119">
        <v>71</v>
      </c>
      <c r="H119" t="s">
        <v>1</v>
      </c>
      <c r="AV119">
        <v>26.2</v>
      </c>
      <c r="AW119" s="4">
        <f>$F119-546</f>
        <v>43985</v>
      </c>
    </row>
    <row r="120" spans="1:53" x14ac:dyDescent="0.25">
      <c r="A120" t="s">
        <v>8</v>
      </c>
      <c r="B120" t="s">
        <v>644</v>
      </c>
      <c r="C120">
        <v>1.71</v>
      </c>
      <c r="D120" t="s">
        <v>95</v>
      </c>
      <c r="E120">
        <v>48</v>
      </c>
      <c r="F120" s="4">
        <v>44531</v>
      </c>
      <c r="G120">
        <v>71</v>
      </c>
      <c r="H120" t="s">
        <v>1</v>
      </c>
      <c r="AV120">
        <v>26.25</v>
      </c>
      <c r="AW120" s="4">
        <f>$F120-547</f>
        <v>43984</v>
      </c>
    </row>
    <row r="121" spans="1:53" x14ac:dyDescent="0.25">
      <c r="A121" t="s">
        <v>8</v>
      </c>
      <c r="B121" t="s">
        <v>645</v>
      </c>
      <c r="C121">
        <v>1.71</v>
      </c>
      <c r="D121" t="s">
        <v>95</v>
      </c>
      <c r="E121">
        <v>48</v>
      </c>
      <c r="F121" s="4">
        <v>44531</v>
      </c>
      <c r="G121">
        <v>71</v>
      </c>
      <c r="H121" t="s">
        <v>1</v>
      </c>
      <c r="AX121">
        <v>25</v>
      </c>
      <c r="AY121" s="4">
        <f>$F121-92</f>
        <v>44439</v>
      </c>
    </row>
    <row r="122" spans="1:53" x14ac:dyDescent="0.25">
      <c r="A122" t="s">
        <v>8</v>
      </c>
      <c r="B122" t="s">
        <v>646</v>
      </c>
      <c r="C122">
        <v>1.7</v>
      </c>
      <c r="D122" t="s">
        <v>95</v>
      </c>
      <c r="E122">
        <v>48</v>
      </c>
      <c r="F122" s="4">
        <v>44531</v>
      </c>
      <c r="G122">
        <v>71</v>
      </c>
      <c r="H122" t="s">
        <v>1</v>
      </c>
      <c r="AX122">
        <v>25</v>
      </c>
      <c r="AY122" s="4">
        <f>$F122-91</f>
        <v>44440</v>
      </c>
    </row>
    <row r="123" spans="1:53" x14ac:dyDescent="0.25">
      <c r="A123" t="s">
        <v>8</v>
      </c>
      <c r="B123" t="s">
        <v>647</v>
      </c>
      <c r="C123">
        <v>1.78</v>
      </c>
      <c r="D123" t="s">
        <v>95</v>
      </c>
      <c r="E123">
        <v>48</v>
      </c>
      <c r="F123" s="4">
        <v>44531</v>
      </c>
      <c r="G123">
        <v>71</v>
      </c>
      <c r="H123" t="s">
        <v>1</v>
      </c>
      <c r="AX123">
        <v>25.2</v>
      </c>
      <c r="AY123" s="4">
        <f>$F123-273</f>
        <v>44258</v>
      </c>
    </row>
    <row r="124" spans="1:53" x14ac:dyDescent="0.25">
      <c r="A124" t="s">
        <v>8</v>
      </c>
      <c r="B124" t="s">
        <v>648</v>
      </c>
      <c r="E124">
        <v>48</v>
      </c>
      <c r="F124" s="4">
        <v>44531</v>
      </c>
      <c r="G124">
        <v>71</v>
      </c>
      <c r="H124" t="s">
        <v>1</v>
      </c>
      <c r="AX124">
        <v>25.25</v>
      </c>
      <c r="AY124" s="4">
        <f>$F124-274</f>
        <v>44257</v>
      </c>
    </row>
    <row r="125" spans="1:53" x14ac:dyDescent="0.25">
      <c r="A125" t="s">
        <v>8</v>
      </c>
      <c r="B125" t="s">
        <v>649</v>
      </c>
      <c r="E125">
        <v>48</v>
      </c>
      <c r="F125" s="4">
        <v>44531</v>
      </c>
      <c r="G125">
        <v>71</v>
      </c>
      <c r="H125" t="s">
        <v>1</v>
      </c>
      <c r="AZ125">
        <v>24</v>
      </c>
      <c r="BA125" s="4">
        <f>$F125-547</f>
        <v>43984</v>
      </c>
    </row>
    <row r="126" spans="1:53" x14ac:dyDescent="0.25">
      <c r="A126" t="s">
        <v>8</v>
      </c>
      <c r="B126" t="s">
        <v>650</v>
      </c>
      <c r="C126">
        <v>1.78</v>
      </c>
      <c r="D126" t="s">
        <v>95</v>
      </c>
      <c r="E126">
        <v>48</v>
      </c>
      <c r="F126" s="4">
        <v>44531</v>
      </c>
      <c r="G126">
        <v>71</v>
      </c>
      <c r="H126" t="s">
        <v>1</v>
      </c>
      <c r="AZ126">
        <v>24</v>
      </c>
      <c r="BA126" s="4">
        <f>$F126-546</f>
        <v>43985</v>
      </c>
    </row>
    <row r="127" spans="1:53" x14ac:dyDescent="0.25">
      <c r="A127" t="s">
        <v>8</v>
      </c>
      <c r="B127" t="s">
        <v>651</v>
      </c>
      <c r="C127">
        <v>1.78</v>
      </c>
      <c r="D127" t="s">
        <v>95</v>
      </c>
      <c r="E127">
        <v>48</v>
      </c>
      <c r="F127" s="4">
        <v>44531</v>
      </c>
      <c r="G127">
        <v>71</v>
      </c>
      <c r="H127" t="s">
        <v>1</v>
      </c>
      <c r="AZ127">
        <v>24.2</v>
      </c>
      <c r="BA127" s="4">
        <f>$F127-3652</f>
        <v>40879</v>
      </c>
    </row>
    <row r="128" spans="1:53" x14ac:dyDescent="0.25">
      <c r="A128" t="s">
        <v>8</v>
      </c>
      <c r="B128" t="s">
        <v>652</v>
      </c>
      <c r="C128">
        <v>1.78</v>
      </c>
      <c r="D128" t="s">
        <v>95</v>
      </c>
      <c r="E128">
        <v>48</v>
      </c>
      <c r="F128" s="4">
        <v>44531</v>
      </c>
      <c r="G128">
        <v>71</v>
      </c>
      <c r="H128" t="s">
        <v>1</v>
      </c>
      <c r="AZ128">
        <v>24.25</v>
      </c>
      <c r="BA128" s="4">
        <f>$F128-3653</f>
        <v>40878</v>
      </c>
    </row>
    <row r="129" spans="1:74" x14ac:dyDescent="0.25">
      <c r="A129" t="s">
        <v>8</v>
      </c>
      <c r="B129" t="s">
        <v>653</v>
      </c>
      <c r="C129">
        <v>1.78</v>
      </c>
      <c r="D129" t="s">
        <v>95</v>
      </c>
      <c r="E129">
        <v>48</v>
      </c>
      <c r="F129" s="4">
        <v>44531</v>
      </c>
      <c r="G129">
        <v>71</v>
      </c>
      <c r="H129" t="s">
        <v>1</v>
      </c>
      <c r="AR129">
        <v>28</v>
      </c>
      <c r="AS129" s="4">
        <f>$F129-364</f>
        <v>44167</v>
      </c>
      <c r="AT129">
        <v>27</v>
      </c>
      <c r="AU129" s="4">
        <f>$F129-366</f>
        <v>44165</v>
      </c>
      <c r="AV129">
        <v>26</v>
      </c>
      <c r="AW129" s="4">
        <f>$F129-456</f>
        <v>44075</v>
      </c>
      <c r="AX129">
        <v>25</v>
      </c>
      <c r="AY129" s="4">
        <f t="shared" ref="AY129:AY135" si="4">$F129-92</f>
        <v>44439</v>
      </c>
      <c r="AZ129">
        <v>24</v>
      </c>
      <c r="BA129" s="4">
        <f t="shared" ref="BA129:BA136" si="5">$F129-547</f>
        <v>43984</v>
      </c>
    </row>
    <row r="130" spans="1:74" x14ac:dyDescent="0.25">
      <c r="A130" t="s">
        <v>8</v>
      </c>
      <c r="B130" t="s">
        <v>654</v>
      </c>
      <c r="C130">
        <v>1.78</v>
      </c>
      <c r="D130" t="s">
        <v>95</v>
      </c>
      <c r="E130">
        <v>48</v>
      </c>
      <c r="F130" s="4">
        <v>44531</v>
      </c>
      <c r="G130">
        <v>71</v>
      </c>
      <c r="H130" t="s">
        <v>1</v>
      </c>
      <c r="AS130" s="4"/>
      <c r="AT130">
        <v>27</v>
      </c>
      <c r="AU130" s="4">
        <f>$F130-366</f>
        <v>44165</v>
      </c>
      <c r="AV130">
        <v>26</v>
      </c>
      <c r="AW130" s="4">
        <f>$F130-456</f>
        <v>44075</v>
      </c>
      <c r="AX130">
        <v>25</v>
      </c>
      <c r="AY130" s="4">
        <f t="shared" si="4"/>
        <v>44439</v>
      </c>
      <c r="AZ130">
        <v>24</v>
      </c>
      <c r="BA130" s="4">
        <f t="shared" si="5"/>
        <v>43984</v>
      </c>
    </row>
    <row r="131" spans="1:74" x14ac:dyDescent="0.25">
      <c r="A131" t="s">
        <v>8</v>
      </c>
      <c r="B131" t="s">
        <v>655</v>
      </c>
      <c r="C131">
        <v>1.78</v>
      </c>
      <c r="D131" t="s">
        <v>95</v>
      </c>
      <c r="E131">
        <v>48</v>
      </c>
      <c r="F131" s="4">
        <v>44531</v>
      </c>
      <c r="G131">
        <v>71</v>
      </c>
      <c r="H131" t="s">
        <v>1</v>
      </c>
      <c r="AV131">
        <v>26</v>
      </c>
      <c r="AW131" s="4">
        <f>$F131-456</f>
        <v>44075</v>
      </c>
      <c r="AX131">
        <v>25</v>
      </c>
      <c r="AY131" s="4">
        <f t="shared" si="4"/>
        <v>44439</v>
      </c>
      <c r="AZ131">
        <v>24</v>
      </c>
      <c r="BA131" s="4">
        <f t="shared" si="5"/>
        <v>43984</v>
      </c>
    </row>
    <row r="132" spans="1:74" x14ac:dyDescent="0.25">
      <c r="A132" t="s">
        <v>8</v>
      </c>
      <c r="B132" t="s">
        <v>656</v>
      </c>
      <c r="C132">
        <v>1.78</v>
      </c>
      <c r="D132" t="s">
        <v>95</v>
      </c>
      <c r="E132">
        <v>48</v>
      </c>
      <c r="F132" s="4">
        <v>44531</v>
      </c>
      <c r="G132">
        <v>71</v>
      </c>
      <c r="H132" t="s">
        <v>1</v>
      </c>
      <c r="AX132">
        <v>25</v>
      </c>
      <c r="AY132" s="4">
        <f t="shared" si="4"/>
        <v>44439</v>
      </c>
      <c r="AZ132">
        <v>24</v>
      </c>
      <c r="BA132" s="4">
        <f t="shared" si="5"/>
        <v>43984</v>
      </c>
    </row>
    <row r="133" spans="1:74" x14ac:dyDescent="0.25">
      <c r="A133" t="s">
        <v>8</v>
      </c>
      <c r="B133" t="s">
        <v>657</v>
      </c>
      <c r="C133">
        <v>1.7</v>
      </c>
      <c r="D133" t="s">
        <v>95</v>
      </c>
      <c r="E133">
        <v>48</v>
      </c>
      <c r="F133" s="4">
        <v>44531</v>
      </c>
      <c r="G133">
        <v>71</v>
      </c>
      <c r="H133" t="s">
        <v>1</v>
      </c>
      <c r="AR133">
        <v>28</v>
      </c>
      <c r="AS133" s="4">
        <f>$F133-273</f>
        <v>44258</v>
      </c>
      <c r="AT133">
        <v>27</v>
      </c>
      <c r="AU133" s="4">
        <f>$F133-366</f>
        <v>44165</v>
      </c>
      <c r="AV133">
        <v>26</v>
      </c>
      <c r="AW133" s="4">
        <f>$F133-456</f>
        <v>44075</v>
      </c>
      <c r="AX133">
        <v>25</v>
      </c>
      <c r="AY133" s="4">
        <f t="shared" si="4"/>
        <v>44439</v>
      </c>
      <c r="AZ133">
        <v>24</v>
      </c>
      <c r="BA133" s="4">
        <f t="shared" si="5"/>
        <v>43984</v>
      </c>
    </row>
    <row r="134" spans="1:74" x14ac:dyDescent="0.25">
      <c r="A134" t="s">
        <v>8</v>
      </c>
      <c r="B134" t="s">
        <v>658</v>
      </c>
      <c r="C134">
        <v>1.7</v>
      </c>
      <c r="D134" t="s">
        <v>95</v>
      </c>
      <c r="E134">
        <v>48</v>
      </c>
      <c r="F134" s="4">
        <v>44531</v>
      </c>
      <c r="G134">
        <v>71</v>
      </c>
      <c r="H134" t="s">
        <v>1</v>
      </c>
      <c r="AR134">
        <v>28</v>
      </c>
      <c r="AS134" s="4">
        <f>$F134-364</f>
        <v>44167</v>
      </c>
      <c r="AT134">
        <v>27</v>
      </c>
      <c r="AU134" s="4">
        <f>$F134-364</f>
        <v>44167</v>
      </c>
      <c r="AV134">
        <v>26</v>
      </c>
      <c r="AW134" s="4">
        <f>$F134-456</f>
        <v>44075</v>
      </c>
      <c r="AX134">
        <v>25</v>
      </c>
      <c r="AY134" s="4">
        <f t="shared" si="4"/>
        <v>44439</v>
      </c>
      <c r="AZ134">
        <v>24</v>
      </c>
      <c r="BA134" s="4">
        <f t="shared" si="5"/>
        <v>43984</v>
      </c>
    </row>
    <row r="135" spans="1:74" x14ac:dyDescent="0.25">
      <c r="A135" t="s">
        <v>8</v>
      </c>
      <c r="B135" t="s">
        <v>659</v>
      </c>
      <c r="C135">
        <v>170.5</v>
      </c>
      <c r="D135" t="s">
        <v>95</v>
      </c>
      <c r="E135">
        <v>48</v>
      </c>
      <c r="F135" s="4">
        <v>44531</v>
      </c>
      <c r="G135">
        <v>71</v>
      </c>
      <c r="H135" t="s">
        <v>1</v>
      </c>
      <c r="AR135">
        <v>28</v>
      </c>
      <c r="AS135" s="4">
        <f>$F135-364</f>
        <v>44167</v>
      </c>
      <c r="AT135">
        <v>27</v>
      </c>
      <c r="AU135" s="4">
        <f>$F135-366</f>
        <v>44165</v>
      </c>
      <c r="AV135">
        <v>26</v>
      </c>
      <c r="AW135" s="4">
        <f>$F135-455</f>
        <v>44076</v>
      </c>
      <c r="AX135">
        <v>25</v>
      </c>
      <c r="AY135" s="4">
        <f t="shared" si="4"/>
        <v>44439</v>
      </c>
      <c r="AZ135">
        <v>24</v>
      </c>
      <c r="BA135" s="4">
        <f t="shared" si="5"/>
        <v>43984</v>
      </c>
    </row>
    <row r="136" spans="1:74" x14ac:dyDescent="0.25">
      <c r="A136" t="s">
        <v>8</v>
      </c>
      <c r="B136" t="s">
        <v>660</v>
      </c>
      <c r="C136">
        <v>1.71</v>
      </c>
      <c r="D136" t="s">
        <v>95</v>
      </c>
      <c r="E136">
        <v>48</v>
      </c>
      <c r="F136" s="4">
        <v>44531</v>
      </c>
      <c r="G136">
        <v>71</v>
      </c>
      <c r="H136" t="s">
        <v>1</v>
      </c>
      <c r="AR136">
        <v>28</v>
      </c>
      <c r="AS136" s="4">
        <f>$F136-364</f>
        <v>44167</v>
      </c>
      <c r="AT136">
        <v>27</v>
      </c>
      <c r="AU136" s="4">
        <f>$F136-366</f>
        <v>44165</v>
      </c>
      <c r="AV136">
        <v>26</v>
      </c>
      <c r="AW136" s="4">
        <f>$F136-456</f>
        <v>44075</v>
      </c>
      <c r="AX136">
        <v>25</v>
      </c>
      <c r="AY136" s="4">
        <f>$F136-91</f>
        <v>44440</v>
      </c>
      <c r="AZ136">
        <v>24</v>
      </c>
      <c r="BA136" s="4">
        <f t="shared" si="5"/>
        <v>43984</v>
      </c>
    </row>
    <row r="137" spans="1:74" x14ac:dyDescent="0.25">
      <c r="A137" t="s">
        <v>8</v>
      </c>
      <c r="B137" t="s">
        <v>661</v>
      </c>
      <c r="C137">
        <v>1.71</v>
      </c>
      <c r="D137" t="s">
        <v>95</v>
      </c>
      <c r="E137">
        <v>48</v>
      </c>
      <c r="F137" s="4">
        <v>44531</v>
      </c>
      <c r="G137">
        <v>71</v>
      </c>
      <c r="H137" t="s">
        <v>1</v>
      </c>
      <c r="AR137">
        <v>28</v>
      </c>
      <c r="AS137" s="4">
        <f>$F137-364</f>
        <v>44167</v>
      </c>
      <c r="AT137">
        <v>27</v>
      </c>
      <c r="AU137" s="4">
        <f>$F137-366</f>
        <v>44165</v>
      </c>
      <c r="AV137">
        <v>26</v>
      </c>
      <c r="AW137" s="4">
        <f>$F137-456</f>
        <v>44075</v>
      </c>
      <c r="AX137">
        <v>25</v>
      </c>
      <c r="AY137" s="4">
        <f>$F137-92</f>
        <v>44439</v>
      </c>
      <c r="AZ137">
        <v>24</v>
      </c>
      <c r="BA137" s="4">
        <f>$F137-546</f>
        <v>43985</v>
      </c>
    </row>
    <row r="138" spans="1:74" x14ac:dyDescent="0.25">
      <c r="A138" t="s">
        <v>8</v>
      </c>
      <c r="B138" t="s">
        <v>662</v>
      </c>
      <c r="C138">
        <v>1.7</v>
      </c>
      <c r="D138" t="s">
        <v>95</v>
      </c>
      <c r="E138">
        <v>48</v>
      </c>
      <c r="F138" s="4">
        <v>44531</v>
      </c>
      <c r="G138">
        <v>71</v>
      </c>
      <c r="H138" t="s">
        <v>1</v>
      </c>
      <c r="AO138" s="4"/>
      <c r="AQ138" s="4"/>
      <c r="AR138">
        <v>28</v>
      </c>
      <c r="AS138" s="4">
        <f>$F138-273</f>
        <v>44258</v>
      </c>
      <c r="AT138">
        <v>27</v>
      </c>
      <c r="AU138" s="4">
        <f>$F138-364</f>
        <v>44167</v>
      </c>
      <c r="AV138">
        <v>26</v>
      </c>
      <c r="AW138" s="4">
        <f>$F138-455</f>
        <v>44076</v>
      </c>
      <c r="AX138">
        <v>25</v>
      </c>
      <c r="AY138" s="4">
        <f>$F138-91</f>
        <v>44440</v>
      </c>
      <c r="AZ138">
        <v>24</v>
      </c>
      <c r="BA138" s="4">
        <f>$F138-546</f>
        <v>43985</v>
      </c>
    </row>
    <row r="139" spans="1:74" x14ac:dyDescent="0.25">
      <c r="A139" t="s">
        <v>8</v>
      </c>
      <c r="B139" t="s">
        <v>663</v>
      </c>
      <c r="C139">
        <v>1.71</v>
      </c>
      <c r="D139" t="s">
        <v>95</v>
      </c>
      <c r="E139">
        <v>48</v>
      </c>
      <c r="F139" s="4">
        <v>44531</v>
      </c>
      <c r="G139">
        <v>71</v>
      </c>
      <c r="H139" t="s">
        <v>1</v>
      </c>
      <c r="AO139" s="4"/>
      <c r="AQ139" s="4"/>
      <c r="AR139">
        <v>28</v>
      </c>
      <c r="AS139" s="4">
        <f>$F139-273</f>
        <v>44258</v>
      </c>
      <c r="AT139">
        <v>27</v>
      </c>
      <c r="AU139" s="4">
        <f>$F139-363</f>
        <v>44168</v>
      </c>
      <c r="AV139">
        <v>26</v>
      </c>
      <c r="AW139" s="4">
        <f>$F139-453</f>
        <v>44078</v>
      </c>
      <c r="AX139">
        <v>25</v>
      </c>
      <c r="AY139" s="4">
        <f>$F139-88</f>
        <v>44443</v>
      </c>
      <c r="AZ139">
        <v>24</v>
      </c>
      <c r="BA139" s="4">
        <f>$F139-547</f>
        <v>43984</v>
      </c>
    </row>
    <row r="140" spans="1:74" x14ac:dyDescent="0.25">
      <c r="A140" t="s">
        <v>8</v>
      </c>
      <c r="B140" t="s">
        <v>664</v>
      </c>
      <c r="C140">
        <v>1.7</v>
      </c>
      <c r="D140" t="s">
        <v>95</v>
      </c>
      <c r="E140">
        <v>48</v>
      </c>
      <c r="F140">
        <v>44531</v>
      </c>
      <c r="G140">
        <v>71</v>
      </c>
      <c r="H140" t="s">
        <v>1</v>
      </c>
      <c r="AO140" s="4"/>
      <c r="AQ140" s="4"/>
      <c r="AR140">
        <v>28</v>
      </c>
      <c r="AS140" s="5">
        <f>$F140-273</f>
        <v>44258</v>
      </c>
      <c r="AT140">
        <v>27</v>
      </c>
      <c r="AU140" s="6">
        <f>$F140-363</f>
        <v>44168</v>
      </c>
      <c r="AV140">
        <v>26</v>
      </c>
      <c r="AW140" s="7">
        <f>$F140-453</f>
        <v>44078</v>
      </c>
      <c r="AX140">
        <v>25</v>
      </c>
      <c r="AY140" s="8">
        <f>$F140-88</f>
        <v>44443</v>
      </c>
      <c r="AZ140">
        <v>24</v>
      </c>
      <c r="BA140" s="9">
        <f>$F140-547</f>
        <v>43984</v>
      </c>
    </row>
    <row r="141" spans="1:74" x14ac:dyDescent="0.25">
      <c r="A141" t="s">
        <v>8</v>
      </c>
      <c r="B141" t="s">
        <v>665</v>
      </c>
      <c r="C141">
        <v>1.7</v>
      </c>
      <c r="D141" t="s">
        <v>95</v>
      </c>
      <c r="E141">
        <v>48</v>
      </c>
      <c r="F141" s="9">
        <v>44531</v>
      </c>
      <c r="G141">
        <v>71</v>
      </c>
      <c r="H141" t="s">
        <v>1</v>
      </c>
      <c r="AO141" s="4"/>
      <c r="AQ141" s="4"/>
      <c r="AR141">
        <v>28</v>
      </c>
      <c r="AS141">
        <f>$F141-364</f>
        <v>44167</v>
      </c>
      <c r="AT141">
        <v>27</v>
      </c>
      <c r="AU141" s="5">
        <f>$F141-363</f>
        <v>44168</v>
      </c>
      <c r="AV141">
        <v>26</v>
      </c>
      <c r="AW141" s="9">
        <f>$F141-453</f>
        <v>44078</v>
      </c>
      <c r="AX141">
        <v>25</v>
      </c>
      <c r="AY141">
        <f>$F141-88</f>
        <v>44443</v>
      </c>
      <c r="AZ141">
        <v>24</v>
      </c>
      <c r="BA141" s="10">
        <f>$F141-542</f>
        <v>43989</v>
      </c>
    </row>
    <row r="142" spans="1:74" x14ac:dyDescent="0.25">
      <c r="A142" t="s">
        <v>8</v>
      </c>
      <c r="B142" t="s">
        <v>666</v>
      </c>
      <c r="C142">
        <v>1.71</v>
      </c>
      <c r="D142" t="s">
        <v>95</v>
      </c>
      <c r="E142">
        <v>48</v>
      </c>
      <c r="F142" s="4">
        <v>44531</v>
      </c>
      <c r="G142">
        <v>71</v>
      </c>
      <c r="H142" t="s">
        <v>1</v>
      </c>
      <c r="BB142">
        <v>185</v>
      </c>
      <c r="BC142" t="s">
        <v>482</v>
      </c>
      <c r="BD142" s="4">
        <f>$F142-0</f>
        <v>44531</v>
      </c>
      <c r="BP142" s="4"/>
    </row>
    <row r="143" spans="1:74" x14ac:dyDescent="0.25">
      <c r="A143" t="s">
        <v>8</v>
      </c>
      <c r="B143" t="s">
        <v>667</v>
      </c>
      <c r="C143">
        <v>1.7</v>
      </c>
      <c r="D143" t="s">
        <v>95</v>
      </c>
      <c r="E143">
        <v>48</v>
      </c>
      <c r="F143" s="4">
        <v>44531</v>
      </c>
      <c r="G143">
        <v>71</v>
      </c>
      <c r="H143" t="s">
        <v>1</v>
      </c>
      <c r="BB143">
        <v>185</v>
      </c>
      <c r="BC143" t="s">
        <v>1669</v>
      </c>
      <c r="BD143" s="4">
        <f>$F143-1</f>
        <v>44530</v>
      </c>
      <c r="BS143" s="4"/>
    </row>
    <row r="144" spans="1:74" x14ac:dyDescent="0.25">
      <c r="A144" t="s">
        <v>8</v>
      </c>
      <c r="B144" t="s">
        <v>668</v>
      </c>
      <c r="C144">
        <v>1.71</v>
      </c>
      <c r="D144" t="s">
        <v>95</v>
      </c>
      <c r="E144">
        <v>48</v>
      </c>
      <c r="F144" s="4">
        <v>44531</v>
      </c>
      <c r="G144">
        <v>71</v>
      </c>
      <c r="H144" t="s">
        <v>1</v>
      </c>
      <c r="BB144">
        <v>185.2</v>
      </c>
      <c r="BC144" t="s">
        <v>482</v>
      </c>
      <c r="BD144" s="4">
        <f>$F144+91</f>
        <v>44622</v>
      </c>
      <c r="BV144" s="4"/>
    </row>
    <row r="145" spans="1:74" x14ac:dyDescent="0.25">
      <c r="A145" t="s">
        <v>8</v>
      </c>
      <c r="B145" t="s">
        <v>660</v>
      </c>
      <c r="C145">
        <v>1.71</v>
      </c>
      <c r="D145" t="s">
        <v>95</v>
      </c>
      <c r="E145">
        <v>48</v>
      </c>
      <c r="F145" s="4">
        <v>44531</v>
      </c>
      <c r="G145">
        <v>71</v>
      </c>
      <c r="H145" t="s">
        <v>2</v>
      </c>
      <c r="BB145">
        <v>185.25</v>
      </c>
      <c r="BC145" t="s">
        <v>482</v>
      </c>
      <c r="BD145" s="4">
        <f>$F145+92</f>
        <v>44623</v>
      </c>
      <c r="BJ145" s="4"/>
      <c r="BM145" s="4"/>
    </row>
    <row r="146" spans="1:74" x14ac:dyDescent="0.25">
      <c r="A146" t="s">
        <v>8</v>
      </c>
      <c r="B146" t="s">
        <v>661</v>
      </c>
      <c r="C146">
        <v>1.7</v>
      </c>
      <c r="D146" t="s">
        <v>95</v>
      </c>
      <c r="E146">
        <v>48</v>
      </c>
      <c r="F146" s="4">
        <v>44531</v>
      </c>
      <c r="G146">
        <v>71</v>
      </c>
      <c r="H146" t="s">
        <v>2</v>
      </c>
      <c r="BE146">
        <v>184</v>
      </c>
      <c r="BF146" t="s">
        <v>482</v>
      </c>
      <c r="BG146" s="4">
        <f>$F146-1</f>
        <v>44530</v>
      </c>
      <c r="BJ146" s="4"/>
      <c r="BS146" s="4"/>
    </row>
    <row r="147" spans="1:74" x14ac:dyDescent="0.25">
      <c r="A147" t="s">
        <v>8</v>
      </c>
      <c r="B147" t="s">
        <v>662</v>
      </c>
      <c r="C147">
        <v>1.71</v>
      </c>
      <c r="D147" t="s">
        <v>95</v>
      </c>
      <c r="E147">
        <v>48</v>
      </c>
      <c r="F147" s="4">
        <v>44531</v>
      </c>
      <c r="G147">
        <v>71</v>
      </c>
      <c r="H147" t="s">
        <v>2</v>
      </c>
      <c r="BE147">
        <v>184</v>
      </c>
      <c r="BF147" t="s">
        <v>1669</v>
      </c>
      <c r="BG147" s="4">
        <f>$F147-0</f>
        <v>44531</v>
      </c>
      <c r="BM147" s="4"/>
      <c r="BP147" s="4"/>
    </row>
    <row r="148" spans="1:74" x14ac:dyDescent="0.25">
      <c r="A148" t="s">
        <v>8</v>
      </c>
      <c r="B148" t="s">
        <v>663</v>
      </c>
      <c r="C148">
        <v>1.71</v>
      </c>
      <c r="D148" t="s">
        <v>95</v>
      </c>
      <c r="E148">
        <v>48</v>
      </c>
      <c r="F148" s="4">
        <v>44531</v>
      </c>
      <c r="G148">
        <v>71</v>
      </c>
      <c r="H148" t="s">
        <v>2</v>
      </c>
      <c r="BE148">
        <v>184.2</v>
      </c>
      <c r="BF148" t="s">
        <v>482</v>
      </c>
      <c r="BG148" s="4">
        <f>$F148-91</f>
        <v>44440</v>
      </c>
      <c r="BP148" s="4"/>
      <c r="BV148" s="4"/>
    </row>
    <row r="149" spans="1:74" x14ac:dyDescent="0.25">
      <c r="A149" t="s">
        <v>8</v>
      </c>
      <c r="B149" t="s">
        <v>664</v>
      </c>
      <c r="C149">
        <v>1.7</v>
      </c>
      <c r="D149" t="s">
        <v>95</v>
      </c>
      <c r="E149">
        <v>48</v>
      </c>
      <c r="F149" s="4">
        <v>44531</v>
      </c>
      <c r="G149">
        <v>71</v>
      </c>
      <c r="H149" t="s">
        <v>2</v>
      </c>
      <c r="BE149">
        <v>184.25</v>
      </c>
      <c r="BF149" t="s">
        <v>482</v>
      </c>
      <c r="BG149" s="4">
        <f>$F149-92</f>
        <v>44439</v>
      </c>
      <c r="BS149" s="4"/>
    </row>
    <row r="150" spans="1:74" x14ac:dyDescent="0.25">
      <c r="A150" t="s">
        <v>8</v>
      </c>
      <c r="B150" t="s">
        <v>665</v>
      </c>
      <c r="C150">
        <v>1.71</v>
      </c>
      <c r="D150" t="s">
        <v>95</v>
      </c>
      <c r="E150">
        <v>48</v>
      </c>
      <c r="F150" s="4">
        <v>44531</v>
      </c>
      <c r="G150">
        <v>71</v>
      </c>
      <c r="H150" t="s">
        <v>2</v>
      </c>
      <c r="BB150">
        <v>185</v>
      </c>
      <c r="BC150" t="s">
        <v>482</v>
      </c>
      <c r="BD150" s="4">
        <f>$F150-0</f>
        <v>44531</v>
      </c>
      <c r="BE150">
        <v>184.2</v>
      </c>
      <c r="BF150" t="s">
        <v>482</v>
      </c>
      <c r="BG150" s="4">
        <f>$F150-1</f>
        <v>44530</v>
      </c>
      <c r="BV150" s="4"/>
    </row>
    <row r="151" spans="1:74" x14ac:dyDescent="0.25">
      <c r="A151" t="s">
        <v>8</v>
      </c>
      <c r="B151" t="s">
        <v>666</v>
      </c>
      <c r="C151">
        <v>1.71</v>
      </c>
      <c r="D151" t="s">
        <v>95</v>
      </c>
      <c r="E151">
        <v>48</v>
      </c>
      <c r="F151" s="4">
        <v>44531</v>
      </c>
      <c r="G151">
        <v>71</v>
      </c>
      <c r="H151" t="s">
        <v>2</v>
      </c>
      <c r="BB151">
        <v>185</v>
      </c>
      <c r="BC151" t="s">
        <v>1669</v>
      </c>
      <c r="BD151" s="4">
        <f>$F151+2</f>
        <v>44533</v>
      </c>
      <c r="BE151">
        <v>184.2</v>
      </c>
      <c r="BF151" t="s">
        <v>482</v>
      </c>
      <c r="BG151" s="4">
        <f>$F151-1</f>
        <v>44530</v>
      </c>
    </row>
    <row r="152" spans="1:74" x14ac:dyDescent="0.25">
      <c r="A152" t="s">
        <v>8</v>
      </c>
      <c r="B152" t="s">
        <v>667</v>
      </c>
      <c r="C152">
        <v>1.7</v>
      </c>
      <c r="D152" t="s">
        <v>95</v>
      </c>
      <c r="E152">
        <v>48</v>
      </c>
      <c r="F152" s="4">
        <v>44531</v>
      </c>
      <c r="G152">
        <v>71</v>
      </c>
      <c r="H152" t="s">
        <v>2</v>
      </c>
      <c r="BB152">
        <v>185</v>
      </c>
      <c r="BC152" t="s">
        <v>1669</v>
      </c>
      <c r="BD152" s="4">
        <f>$F152+1</f>
        <v>44532</v>
      </c>
      <c r="BE152">
        <v>184.2</v>
      </c>
      <c r="BF152" t="s">
        <v>482</v>
      </c>
      <c r="BG152" s="4">
        <f>$F152-1</f>
        <v>44530</v>
      </c>
    </row>
    <row r="153" spans="1:74" x14ac:dyDescent="0.25">
      <c r="A153" t="s">
        <v>8</v>
      </c>
      <c r="B153" t="s">
        <v>668</v>
      </c>
      <c r="C153">
        <v>1.78</v>
      </c>
      <c r="D153" t="s">
        <v>95</v>
      </c>
      <c r="E153">
        <v>48</v>
      </c>
      <c r="F153" s="4">
        <v>44531</v>
      </c>
      <c r="G153">
        <v>71</v>
      </c>
      <c r="H153" t="s">
        <v>2</v>
      </c>
      <c r="BD153" s="4"/>
      <c r="BG153" s="4"/>
      <c r="BH153">
        <v>183</v>
      </c>
      <c r="BI153" t="s">
        <v>482</v>
      </c>
      <c r="BJ153" s="4">
        <f>$F153-274</f>
        <v>44257</v>
      </c>
      <c r="BP153" s="4"/>
      <c r="BS153" s="4"/>
      <c r="BV153" s="4"/>
    </row>
    <row r="154" spans="1:74" x14ac:dyDescent="0.25">
      <c r="A154" t="s">
        <v>8</v>
      </c>
      <c r="B154" t="s">
        <v>669</v>
      </c>
      <c r="D154" t="s">
        <v>95</v>
      </c>
      <c r="E154">
        <v>48</v>
      </c>
      <c r="F154" s="4">
        <v>44531</v>
      </c>
      <c r="G154">
        <v>71</v>
      </c>
      <c r="H154" t="s">
        <v>2</v>
      </c>
      <c r="BH154">
        <v>183</v>
      </c>
      <c r="BI154" t="s">
        <v>1669</v>
      </c>
      <c r="BJ154" s="4">
        <f>$F154-273</f>
        <v>44258</v>
      </c>
    </row>
    <row r="155" spans="1:74" x14ac:dyDescent="0.25">
      <c r="A155" t="s">
        <v>8</v>
      </c>
      <c r="B155" t="s">
        <v>1354</v>
      </c>
      <c r="D155" t="s">
        <v>95</v>
      </c>
      <c r="E155">
        <v>48</v>
      </c>
      <c r="F155" s="4">
        <v>44531</v>
      </c>
      <c r="G155">
        <v>71</v>
      </c>
      <c r="H155" t="s">
        <v>2</v>
      </c>
      <c r="BH155">
        <v>183.2</v>
      </c>
      <c r="BI155" t="s">
        <v>482</v>
      </c>
      <c r="BJ155" s="4">
        <f>$F155-364</f>
        <v>44167</v>
      </c>
    </row>
    <row r="156" spans="1:74" x14ac:dyDescent="0.25">
      <c r="A156" t="s">
        <v>8</v>
      </c>
      <c r="B156" t="s">
        <v>1355</v>
      </c>
      <c r="C156">
        <v>1.78</v>
      </c>
      <c r="D156" t="s">
        <v>95</v>
      </c>
      <c r="E156">
        <v>48</v>
      </c>
      <c r="F156" s="4">
        <v>44531</v>
      </c>
      <c r="G156">
        <v>71</v>
      </c>
      <c r="H156" t="s">
        <v>2</v>
      </c>
      <c r="BH156">
        <v>183.25</v>
      </c>
      <c r="BI156" t="s">
        <v>482</v>
      </c>
      <c r="BJ156" s="4">
        <f>$F156-365</f>
        <v>44166</v>
      </c>
    </row>
    <row r="157" spans="1:74" x14ac:dyDescent="0.25">
      <c r="A157" t="s">
        <v>8</v>
      </c>
      <c r="B157" t="s">
        <v>1356</v>
      </c>
      <c r="C157">
        <v>1.78</v>
      </c>
      <c r="D157" t="s">
        <v>95</v>
      </c>
      <c r="E157">
        <v>48</v>
      </c>
      <c r="F157" s="4">
        <v>44531</v>
      </c>
      <c r="G157">
        <v>71</v>
      </c>
      <c r="H157" t="s">
        <v>2</v>
      </c>
      <c r="BK157">
        <v>182</v>
      </c>
      <c r="BL157" t="s">
        <v>482</v>
      </c>
      <c r="BM157" s="4">
        <f>$F157-365</f>
        <v>44166</v>
      </c>
    </row>
    <row r="158" spans="1:74" x14ac:dyDescent="0.25">
      <c r="A158" t="s">
        <v>8</v>
      </c>
      <c r="B158" t="s">
        <v>1357</v>
      </c>
      <c r="C158">
        <v>1.78</v>
      </c>
      <c r="D158" t="s">
        <v>95</v>
      </c>
      <c r="E158">
        <v>48</v>
      </c>
      <c r="F158" s="4">
        <v>44531</v>
      </c>
      <c r="G158">
        <v>71</v>
      </c>
      <c r="H158" t="s">
        <v>2</v>
      </c>
      <c r="BK158">
        <v>182</v>
      </c>
      <c r="BL158" t="s">
        <v>1669</v>
      </c>
      <c r="BM158" s="4">
        <f>$F158-364</f>
        <v>44167</v>
      </c>
    </row>
    <row r="159" spans="1:74" x14ac:dyDescent="0.25">
      <c r="A159" t="s">
        <v>8</v>
      </c>
      <c r="B159" t="s">
        <v>1358</v>
      </c>
      <c r="C159">
        <v>1.78</v>
      </c>
      <c r="D159" t="s">
        <v>95</v>
      </c>
      <c r="E159">
        <v>48</v>
      </c>
      <c r="F159" s="4">
        <v>44531</v>
      </c>
      <c r="G159">
        <v>71</v>
      </c>
      <c r="H159" t="s">
        <v>2</v>
      </c>
      <c r="BK159">
        <v>182.2</v>
      </c>
      <c r="BL159" t="s">
        <v>482</v>
      </c>
      <c r="BM159" s="4">
        <f>$F159-455</f>
        <v>44076</v>
      </c>
    </row>
    <row r="160" spans="1:74" x14ac:dyDescent="0.25">
      <c r="A160" t="s">
        <v>8</v>
      </c>
      <c r="B160" t="s">
        <v>1359</v>
      </c>
      <c r="C160">
        <v>1.78</v>
      </c>
      <c r="D160" t="s">
        <v>95</v>
      </c>
      <c r="E160">
        <v>48</v>
      </c>
      <c r="F160" s="4">
        <v>44531</v>
      </c>
      <c r="G160">
        <v>71</v>
      </c>
      <c r="H160" t="s">
        <v>2</v>
      </c>
      <c r="BK160">
        <v>182.25</v>
      </c>
      <c r="BL160" t="s">
        <v>482</v>
      </c>
      <c r="BM160" s="4">
        <f>$F160-456</f>
        <v>44075</v>
      </c>
    </row>
    <row r="161" spans="1:74" x14ac:dyDescent="0.25">
      <c r="A161" t="s">
        <v>8</v>
      </c>
      <c r="B161" t="s">
        <v>1360</v>
      </c>
      <c r="C161">
        <v>1.78</v>
      </c>
      <c r="D161" t="s">
        <v>95</v>
      </c>
      <c r="E161">
        <v>48</v>
      </c>
      <c r="F161" s="4">
        <v>44531</v>
      </c>
      <c r="G161">
        <v>71</v>
      </c>
      <c r="H161" t="s">
        <v>2</v>
      </c>
      <c r="BH161">
        <v>183</v>
      </c>
      <c r="BI161" t="s">
        <v>482</v>
      </c>
      <c r="BJ161" s="4">
        <f>$F161-364</f>
        <v>44167</v>
      </c>
      <c r="BK161">
        <v>182.2</v>
      </c>
      <c r="BL161" t="s">
        <v>482</v>
      </c>
      <c r="BM161" s="4">
        <f>$F161-366</f>
        <v>44165</v>
      </c>
    </row>
    <row r="162" spans="1:74" x14ac:dyDescent="0.25">
      <c r="A162" t="s">
        <v>8</v>
      </c>
      <c r="B162" t="s">
        <v>1361</v>
      </c>
      <c r="C162">
        <v>1.78</v>
      </c>
      <c r="D162" t="s">
        <v>95</v>
      </c>
      <c r="E162">
        <v>48</v>
      </c>
      <c r="F162" s="4">
        <v>44531</v>
      </c>
      <c r="G162">
        <v>71</v>
      </c>
      <c r="H162" t="s">
        <v>2</v>
      </c>
      <c r="BH162">
        <v>183</v>
      </c>
      <c r="BI162" t="s">
        <v>1669</v>
      </c>
      <c r="BJ162" s="4">
        <f>$F162-363</f>
        <v>44168</v>
      </c>
      <c r="BK162">
        <v>182.2</v>
      </c>
      <c r="BL162" t="s">
        <v>482</v>
      </c>
      <c r="BM162" s="4">
        <f>$F162-365</f>
        <v>44166</v>
      </c>
    </row>
    <row r="163" spans="1:74" x14ac:dyDescent="0.25">
      <c r="A163" t="s">
        <v>8</v>
      </c>
      <c r="B163" t="s">
        <v>1362</v>
      </c>
      <c r="C163">
        <v>1.7</v>
      </c>
      <c r="D163" t="s">
        <v>95</v>
      </c>
      <c r="E163">
        <v>48</v>
      </c>
      <c r="F163" s="4">
        <v>44531</v>
      </c>
      <c r="G163">
        <v>71</v>
      </c>
      <c r="H163" t="s">
        <v>2</v>
      </c>
      <c r="BH163">
        <v>183</v>
      </c>
      <c r="BI163" t="s">
        <v>1669</v>
      </c>
      <c r="BJ163" s="4">
        <f>$F163-364</f>
        <v>44167</v>
      </c>
      <c r="BK163">
        <v>182.2</v>
      </c>
      <c r="BL163" t="s">
        <v>482</v>
      </c>
      <c r="BM163" s="4">
        <f>$F163-365</f>
        <v>44166</v>
      </c>
    </row>
    <row r="164" spans="1:74" x14ac:dyDescent="0.25">
      <c r="A164" t="s">
        <v>8</v>
      </c>
      <c r="B164" t="s">
        <v>1363</v>
      </c>
      <c r="C164">
        <v>1.7</v>
      </c>
      <c r="D164" t="s">
        <v>95</v>
      </c>
      <c r="E164">
        <v>48</v>
      </c>
      <c r="F164" s="4">
        <v>44531</v>
      </c>
      <c r="G164">
        <v>71</v>
      </c>
      <c r="H164" t="s">
        <v>2</v>
      </c>
      <c r="BN164">
        <v>181</v>
      </c>
      <c r="BO164" t="s">
        <v>482</v>
      </c>
      <c r="BP164" s="4">
        <f>$F164-456</f>
        <v>44075</v>
      </c>
    </row>
    <row r="165" spans="1:74" x14ac:dyDescent="0.25">
      <c r="A165" t="s">
        <v>8</v>
      </c>
      <c r="B165" t="s">
        <v>1364</v>
      </c>
      <c r="C165">
        <v>1.71</v>
      </c>
      <c r="D165" t="s">
        <v>95</v>
      </c>
      <c r="E165">
        <v>48</v>
      </c>
      <c r="F165" s="4">
        <v>44531</v>
      </c>
      <c r="G165">
        <v>71</v>
      </c>
      <c r="H165" t="s">
        <v>2</v>
      </c>
      <c r="BN165">
        <v>181</v>
      </c>
      <c r="BO165" t="s">
        <v>1669</v>
      </c>
      <c r="BP165" s="4">
        <f>$F165-455</f>
        <v>44076</v>
      </c>
    </row>
    <row r="166" spans="1:74" x14ac:dyDescent="0.25">
      <c r="A166" t="s">
        <v>8</v>
      </c>
      <c r="B166" t="s">
        <v>1365</v>
      </c>
      <c r="C166">
        <v>1.7</v>
      </c>
      <c r="D166" t="s">
        <v>95</v>
      </c>
      <c r="E166">
        <v>48</v>
      </c>
      <c r="F166" s="4">
        <v>44531</v>
      </c>
      <c r="G166">
        <v>71</v>
      </c>
      <c r="H166" t="s">
        <v>2</v>
      </c>
      <c r="BN166">
        <v>181.2</v>
      </c>
      <c r="BO166" t="s">
        <v>482</v>
      </c>
      <c r="BP166" s="4">
        <f>$F166-546</f>
        <v>43985</v>
      </c>
    </row>
    <row r="167" spans="1:74" x14ac:dyDescent="0.25">
      <c r="A167" t="s">
        <v>8</v>
      </c>
      <c r="B167" t="s">
        <v>1366</v>
      </c>
      <c r="C167">
        <v>1.71</v>
      </c>
      <c r="D167" t="s">
        <v>95</v>
      </c>
      <c r="E167">
        <v>48</v>
      </c>
      <c r="F167" s="4">
        <v>44531</v>
      </c>
      <c r="G167">
        <v>71</v>
      </c>
      <c r="H167" t="s">
        <v>2</v>
      </c>
      <c r="BN167">
        <v>181.25</v>
      </c>
      <c r="BO167" t="s">
        <v>482</v>
      </c>
      <c r="BP167" s="4">
        <f>$F167-547</f>
        <v>43984</v>
      </c>
    </row>
    <row r="168" spans="1:74" x14ac:dyDescent="0.25">
      <c r="A168" t="s">
        <v>8</v>
      </c>
      <c r="B168" t="s">
        <v>1367</v>
      </c>
      <c r="C168">
        <v>1.71</v>
      </c>
      <c r="D168" t="s">
        <v>95</v>
      </c>
      <c r="E168">
        <v>48</v>
      </c>
      <c r="F168" s="4">
        <v>44531</v>
      </c>
      <c r="G168">
        <v>71</v>
      </c>
      <c r="H168" t="s">
        <v>2</v>
      </c>
      <c r="BQ168">
        <v>180</v>
      </c>
      <c r="BR168" t="s">
        <v>482</v>
      </c>
      <c r="BS168" s="4">
        <f>$F168-92</f>
        <v>44439</v>
      </c>
    </row>
    <row r="169" spans="1:74" x14ac:dyDescent="0.25">
      <c r="A169" t="s">
        <v>8</v>
      </c>
      <c r="B169" t="s">
        <v>1368</v>
      </c>
      <c r="C169">
        <v>1.7</v>
      </c>
      <c r="D169" t="s">
        <v>95</v>
      </c>
      <c r="E169">
        <v>48</v>
      </c>
      <c r="F169" s="4">
        <v>44531</v>
      </c>
      <c r="G169">
        <v>71</v>
      </c>
      <c r="H169" t="s">
        <v>2</v>
      </c>
      <c r="BQ169">
        <v>180</v>
      </c>
      <c r="BR169" t="s">
        <v>1669</v>
      </c>
      <c r="BS169" s="4">
        <f>$F169-91</f>
        <v>44440</v>
      </c>
    </row>
    <row r="170" spans="1:74" x14ac:dyDescent="0.25">
      <c r="A170" t="s">
        <v>8</v>
      </c>
      <c r="B170" t="s">
        <v>1369</v>
      </c>
      <c r="C170">
        <v>1.71</v>
      </c>
      <c r="D170" t="s">
        <v>95</v>
      </c>
      <c r="E170">
        <v>48</v>
      </c>
      <c r="F170" s="4">
        <v>44531</v>
      </c>
      <c r="G170">
        <v>71</v>
      </c>
      <c r="H170" t="s">
        <v>2</v>
      </c>
      <c r="BQ170">
        <v>180.2</v>
      </c>
      <c r="BR170" t="s">
        <v>482</v>
      </c>
      <c r="BS170" s="4">
        <f>$F170-273</f>
        <v>44258</v>
      </c>
    </row>
    <row r="171" spans="1:74" x14ac:dyDescent="0.25">
      <c r="A171" t="s">
        <v>8</v>
      </c>
      <c r="B171" t="s">
        <v>1370</v>
      </c>
      <c r="C171">
        <v>1.71</v>
      </c>
      <c r="D171" t="s">
        <v>95</v>
      </c>
      <c r="E171">
        <v>48</v>
      </c>
      <c r="F171" s="4">
        <v>44531</v>
      </c>
      <c r="G171">
        <v>71</v>
      </c>
      <c r="H171" t="s">
        <v>2</v>
      </c>
      <c r="BQ171">
        <v>180.25</v>
      </c>
      <c r="BR171" t="s">
        <v>482</v>
      </c>
      <c r="BS171" s="4">
        <f>$F171-274</f>
        <v>44257</v>
      </c>
    </row>
    <row r="172" spans="1:74" x14ac:dyDescent="0.25">
      <c r="A172" t="s">
        <v>8</v>
      </c>
      <c r="B172" t="s">
        <v>1371</v>
      </c>
      <c r="C172">
        <v>1.7</v>
      </c>
      <c r="D172" t="s">
        <v>95</v>
      </c>
      <c r="E172">
        <v>48</v>
      </c>
      <c r="F172" s="4">
        <v>44531</v>
      </c>
      <c r="G172">
        <v>71</v>
      </c>
      <c r="H172" t="s">
        <v>2</v>
      </c>
      <c r="BT172">
        <v>179</v>
      </c>
      <c r="BU172" t="s">
        <v>482</v>
      </c>
      <c r="BV172" s="4">
        <f>$F172-547</f>
        <v>43984</v>
      </c>
    </row>
    <row r="173" spans="1:74" x14ac:dyDescent="0.25">
      <c r="A173" t="s">
        <v>8</v>
      </c>
      <c r="B173" t="s">
        <v>1372</v>
      </c>
      <c r="C173">
        <v>1.78</v>
      </c>
      <c r="D173" t="s">
        <v>95</v>
      </c>
      <c r="E173">
        <v>48</v>
      </c>
      <c r="F173" s="4">
        <v>44531</v>
      </c>
      <c r="G173">
        <v>71</v>
      </c>
      <c r="H173" t="s">
        <v>2</v>
      </c>
      <c r="BT173">
        <v>179</v>
      </c>
      <c r="BU173" t="s">
        <v>1669</v>
      </c>
      <c r="BV173" s="4">
        <f>$F173-546</f>
        <v>43985</v>
      </c>
    </row>
    <row r="174" spans="1:74" x14ac:dyDescent="0.25">
      <c r="A174" t="s">
        <v>8</v>
      </c>
      <c r="B174" t="s">
        <v>1373</v>
      </c>
      <c r="D174" t="s">
        <v>95</v>
      </c>
      <c r="E174">
        <v>48</v>
      </c>
      <c r="F174" s="4">
        <v>44531</v>
      </c>
      <c r="G174">
        <v>71</v>
      </c>
      <c r="H174" t="s">
        <v>2</v>
      </c>
      <c r="BT174">
        <v>179.2</v>
      </c>
      <c r="BU174" t="s">
        <v>482</v>
      </c>
      <c r="BV174" s="4">
        <f>$F174-3652</f>
        <v>40879</v>
      </c>
    </row>
    <row r="175" spans="1:74" x14ac:dyDescent="0.25">
      <c r="A175" t="s">
        <v>8</v>
      </c>
      <c r="B175" t="s">
        <v>1374</v>
      </c>
      <c r="D175" t="s">
        <v>95</v>
      </c>
      <c r="E175">
        <v>48</v>
      </c>
      <c r="F175" s="4">
        <v>44531</v>
      </c>
      <c r="G175">
        <v>71</v>
      </c>
      <c r="H175" t="s">
        <v>2</v>
      </c>
      <c r="BT175">
        <v>179.25</v>
      </c>
      <c r="BU175" t="s">
        <v>482</v>
      </c>
      <c r="BV175" s="4">
        <f>$F175-3653</f>
        <v>40878</v>
      </c>
    </row>
    <row r="176" spans="1:74" x14ac:dyDescent="0.25">
      <c r="A176" t="s">
        <v>8</v>
      </c>
      <c r="B176" t="s">
        <v>1375</v>
      </c>
      <c r="C176">
        <v>1.78</v>
      </c>
      <c r="D176" t="s">
        <v>95</v>
      </c>
      <c r="E176">
        <v>48</v>
      </c>
      <c r="F176" s="4">
        <v>44531</v>
      </c>
      <c r="G176">
        <v>71</v>
      </c>
      <c r="H176" t="s">
        <v>2</v>
      </c>
      <c r="BH176">
        <v>1.83</v>
      </c>
      <c r="BI176" t="s">
        <v>95</v>
      </c>
      <c r="BJ176" s="4">
        <f>$F176-364</f>
        <v>44167</v>
      </c>
      <c r="BK176">
        <v>182</v>
      </c>
      <c r="BL176" t="s">
        <v>482</v>
      </c>
      <c r="BM176" s="4">
        <f>$F176-366</f>
        <v>44165</v>
      </c>
      <c r="BN176">
        <v>181</v>
      </c>
      <c r="BO176" t="s">
        <v>482</v>
      </c>
      <c r="BP176" s="4">
        <f>$F176-456</f>
        <v>44075</v>
      </c>
      <c r="BQ176">
        <v>180</v>
      </c>
      <c r="BR176" t="s">
        <v>482</v>
      </c>
      <c r="BS176" s="4">
        <f t="shared" ref="BS176:BS182" si="6">$F176-92</f>
        <v>44439</v>
      </c>
      <c r="BT176">
        <v>179</v>
      </c>
      <c r="BU176" t="s">
        <v>482</v>
      </c>
      <c r="BV176" s="4">
        <f t="shared" ref="BV176:BV183" si="7">$F176-547</f>
        <v>43984</v>
      </c>
    </row>
    <row r="177" spans="1:79" x14ac:dyDescent="0.25">
      <c r="A177" t="s">
        <v>8</v>
      </c>
      <c r="B177" t="s">
        <v>1376</v>
      </c>
      <c r="C177">
        <v>1.78</v>
      </c>
      <c r="D177" t="s">
        <v>95</v>
      </c>
      <c r="E177">
        <v>48</v>
      </c>
      <c r="F177" s="4">
        <v>44531</v>
      </c>
      <c r="G177">
        <v>71</v>
      </c>
      <c r="H177" t="s">
        <v>2</v>
      </c>
      <c r="BJ177" s="4"/>
      <c r="BK177">
        <v>182</v>
      </c>
      <c r="BL177" t="s">
        <v>482</v>
      </c>
      <c r="BM177" s="4">
        <f>$F177-366</f>
        <v>44165</v>
      </c>
      <c r="BN177">
        <v>181</v>
      </c>
      <c r="BO177" t="s">
        <v>482</v>
      </c>
      <c r="BP177" s="4">
        <f>$F177-456</f>
        <v>44075</v>
      </c>
      <c r="BQ177">
        <v>180</v>
      </c>
      <c r="BR177" t="s">
        <v>482</v>
      </c>
      <c r="BS177" s="4">
        <f t="shared" si="6"/>
        <v>44439</v>
      </c>
      <c r="BT177">
        <v>179</v>
      </c>
      <c r="BU177" t="s">
        <v>482</v>
      </c>
      <c r="BV177" s="4">
        <f t="shared" si="7"/>
        <v>43984</v>
      </c>
    </row>
    <row r="178" spans="1:79" x14ac:dyDescent="0.25">
      <c r="A178" t="s">
        <v>8</v>
      </c>
      <c r="B178" t="s">
        <v>1377</v>
      </c>
      <c r="C178">
        <v>1.78</v>
      </c>
      <c r="D178" t="s">
        <v>95</v>
      </c>
      <c r="E178">
        <v>48</v>
      </c>
      <c r="F178" s="4">
        <v>44531</v>
      </c>
      <c r="G178">
        <v>71</v>
      </c>
      <c r="H178" t="s">
        <v>2</v>
      </c>
      <c r="BN178">
        <v>181</v>
      </c>
      <c r="BO178" t="s">
        <v>482</v>
      </c>
      <c r="BP178" s="4">
        <f>$F178-456</f>
        <v>44075</v>
      </c>
      <c r="BQ178">
        <v>180</v>
      </c>
      <c r="BR178" t="s">
        <v>482</v>
      </c>
      <c r="BS178" s="4">
        <f t="shared" si="6"/>
        <v>44439</v>
      </c>
      <c r="BT178">
        <v>179</v>
      </c>
      <c r="BU178" t="s">
        <v>482</v>
      </c>
      <c r="BV178" s="4">
        <f t="shared" si="7"/>
        <v>43984</v>
      </c>
    </row>
    <row r="179" spans="1:79" x14ac:dyDescent="0.25">
      <c r="A179" t="s">
        <v>8</v>
      </c>
      <c r="B179" t="s">
        <v>1378</v>
      </c>
      <c r="C179">
        <v>1.78</v>
      </c>
      <c r="D179" t="s">
        <v>95</v>
      </c>
      <c r="E179">
        <v>48</v>
      </c>
      <c r="F179" s="4">
        <v>44531</v>
      </c>
      <c r="G179">
        <v>71</v>
      </c>
      <c r="H179" t="s">
        <v>2</v>
      </c>
      <c r="BQ179">
        <v>180</v>
      </c>
      <c r="BR179" t="s">
        <v>482</v>
      </c>
      <c r="BS179" s="4">
        <f t="shared" si="6"/>
        <v>44439</v>
      </c>
      <c r="BT179">
        <v>179</v>
      </c>
      <c r="BU179" t="s">
        <v>482</v>
      </c>
      <c r="BV179" s="4">
        <f t="shared" si="7"/>
        <v>43984</v>
      </c>
    </row>
    <row r="180" spans="1:79" x14ac:dyDescent="0.25">
      <c r="A180" t="s">
        <v>8</v>
      </c>
      <c r="B180" t="s">
        <v>1379</v>
      </c>
      <c r="C180">
        <v>1.78</v>
      </c>
      <c r="D180" t="s">
        <v>95</v>
      </c>
      <c r="E180">
        <v>48</v>
      </c>
      <c r="F180" s="4">
        <v>44531</v>
      </c>
      <c r="G180">
        <v>71</v>
      </c>
      <c r="H180" t="s">
        <v>2</v>
      </c>
      <c r="BH180">
        <v>1.83</v>
      </c>
      <c r="BI180" t="s">
        <v>95</v>
      </c>
      <c r="BJ180" s="4">
        <f>$F180-273</f>
        <v>44258</v>
      </c>
      <c r="BK180">
        <v>182</v>
      </c>
      <c r="BL180" t="s">
        <v>482</v>
      </c>
      <c r="BM180" s="4">
        <f>$F180-366</f>
        <v>44165</v>
      </c>
      <c r="BN180">
        <v>181</v>
      </c>
      <c r="BO180" t="s">
        <v>482</v>
      </c>
      <c r="BP180" s="4">
        <f>$F180-456</f>
        <v>44075</v>
      </c>
      <c r="BQ180">
        <v>180</v>
      </c>
      <c r="BR180" t="s">
        <v>482</v>
      </c>
      <c r="BS180" s="4">
        <f t="shared" si="6"/>
        <v>44439</v>
      </c>
      <c r="BT180">
        <v>179</v>
      </c>
      <c r="BU180" t="s">
        <v>482</v>
      </c>
      <c r="BV180" s="4">
        <f t="shared" si="7"/>
        <v>43984</v>
      </c>
    </row>
    <row r="181" spans="1:79" x14ac:dyDescent="0.25">
      <c r="A181" t="s">
        <v>8</v>
      </c>
      <c r="B181" t="s">
        <v>1380</v>
      </c>
      <c r="C181">
        <v>1.78</v>
      </c>
      <c r="D181" t="s">
        <v>95</v>
      </c>
      <c r="E181">
        <v>48</v>
      </c>
      <c r="F181" s="4">
        <v>44531</v>
      </c>
      <c r="G181">
        <v>71</v>
      </c>
      <c r="H181" t="s">
        <v>2</v>
      </c>
      <c r="BH181">
        <v>183</v>
      </c>
      <c r="BI181" t="s">
        <v>482</v>
      </c>
      <c r="BJ181" s="4">
        <f>$F181-364</f>
        <v>44167</v>
      </c>
      <c r="BK181">
        <v>182</v>
      </c>
      <c r="BL181" t="s">
        <v>482</v>
      </c>
      <c r="BM181" s="4">
        <f>$F181-364</f>
        <v>44167</v>
      </c>
      <c r="BN181">
        <v>181</v>
      </c>
      <c r="BO181" t="s">
        <v>482</v>
      </c>
      <c r="BP181" s="4">
        <f>$F181-456</f>
        <v>44075</v>
      </c>
      <c r="BQ181">
        <v>180</v>
      </c>
      <c r="BR181" t="s">
        <v>482</v>
      </c>
      <c r="BS181" s="4">
        <f t="shared" si="6"/>
        <v>44439</v>
      </c>
      <c r="BT181">
        <v>179</v>
      </c>
      <c r="BU181" t="s">
        <v>482</v>
      </c>
      <c r="BV181" s="4">
        <f t="shared" si="7"/>
        <v>43984</v>
      </c>
    </row>
    <row r="182" spans="1:79" x14ac:dyDescent="0.25">
      <c r="A182" t="s">
        <v>8</v>
      </c>
      <c r="B182" t="s">
        <v>1381</v>
      </c>
      <c r="C182">
        <v>1.78</v>
      </c>
      <c r="D182" t="s">
        <v>95</v>
      </c>
      <c r="E182">
        <v>48</v>
      </c>
      <c r="F182" s="4">
        <v>44531</v>
      </c>
      <c r="G182">
        <v>71</v>
      </c>
      <c r="H182" t="s">
        <v>2</v>
      </c>
      <c r="BH182">
        <v>183</v>
      </c>
      <c r="BI182" t="s">
        <v>482</v>
      </c>
      <c r="BJ182" s="4">
        <f>$F182-364</f>
        <v>44167</v>
      </c>
      <c r="BK182">
        <v>182</v>
      </c>
      <c r="BL182" t="s">
        <v>482</v>
      </c>
      <c r="BM182" s="4">
        <f>$F182-366</f>
        <v>44165</v>
      </c>
      <c r="BN182">
        <v>181</v>
      </c>
      <c r="BO182" t="s">
        <v>482</v>
      </c>
      <c r="BP182" s="4">
        <f>$F182-455</f>
        <v>44076</v>
      </c>
      <c r="BQ182">
        <v>180</v>
      </c>
      <c r="BR182" t="s">
        <v>482</v>
      </c>
      <c r="BS182" s="4">
        <f t="shared" si="6"/>
        <v>44439</v>
      </c>
      <c r="BT182">
        <v>179</v>
      </c>
      <c r="BU182" t="s">
        <v>482</v>
      </c>
      <c r="BV182" s="4">
        <f t="shared" si="7"/>
        <v>43984</v>
      </c>
    </row>
    <row r="183" spans="1:79" x14ac:dyDescent="0.25">
      <c r="A183" t="s">
        <v>8</v>
      </c>
      <c r="B183" t="s">
        <v>1382</v>
      </c>
      <c r="C183">
        <v>1.71</v>
      </c>
      <c r="D183" t="s">
        <v>95</v>
      </c>
      <c r="E183">
        <v>48</v>
      </c>
      <c r="F183" s="4">
        <v>44531</v>
      </c>
      <c r="G183">
        <v>71</v>
      </c>
      <c r="H183" t="s">
        <v>2</v>
      </c>
      <c r="BH183">
        <v>183</v>
      </c>
      <c r="BI183" t="s">
        <v>482</v>
      </c>
      <c r="BJ183" s="4">
        <f>$F183-364</f>
        <v>44167</v>
      </c>
      <c r="BK183">
        <v>182</v>
      </c>
      <c r="BL183" t="s">
        <v>482</v>
      </c>
      <c r="BM183" s="4">
        <f>$F183-366</f>
        <v>44165</v>
      </c>
      <c r="BN183">
        <v>181</v>
      </c>
      <c r="BO183" t="s">
        <v>482</v>
      </c>
      <c r="BP183" s="4">
        <f>$F183-456</f>
        <v>44075</v>
      </c>
      <c r="BQ183">
        <v>180</v>
      </c>
      <c r="BR183" t="s">
        <v>482</v>
      </c>
      <c r="BS183" s="4">
        <f>$F183-91</f>
        <v>44440</v>
      </c>
      <c r="BT183">
        <v>179</v>
      </c>
      <c r="BU183" t="s">
        <v>482</v>
      </c>
      <c r="BV183" s="4">
        <f t="shared" si="7"/>
        <v>43984</v>
      </c>
    </row>
    <row r="184" spans="1:79" x14ac:dyDescent="0.25">
      <c r="A184" t="s">
        <v>8</v>
      </c>
      <c r="B184" t="s">
        <v>1383</v>
      </c>
      <c r="C184">
        <v>1.7</v>
      </c>
      <c r="D184" t="s">
        <v>95</v>
      </c>
      <c r="E184">
        <v>48</v>
      </c>
      <c r="F184" s="4">
        <v>44531</v>
      </c>
      <c r="G184">
        <v>71</v>
      </c>
      <c r="H184" t="s">
        <v>2</v>
      </c>
      <c r="BH184">
        <v>183</v>
      </c>
      <c r="BI184" t="s">
        <v>482</v>
      </c>
      <c r="BJ184" s="4">
        <f>$F184-364</f>
        <v>44167</v>
      </c>
      <c r="BK184">
        <v>182</v>
      </c>
      <c r="BL184" t="s">
        <v>482</v>
      </c>
      <c r="BM184" s="4">
        <f>$F184-366</f>
        <v>44165</v>
      </c>
      <c r="BN184">
        <v>181</v>
      </c>
      <c r="BO184" t="s">
        <v>482</v>
      </c>
      <c r="BP184" s="4">
        <f>$F184-456</f>
        <v>44075</v>
      </c>
      <c r="BQ184">
        <v>180</v>
      </c>
      <c r="BR184" t="s">
        <v>482</v>
      </c>
      <c r="BS184" s="4">
        <f>$F184-92</f>
        <v>44439</v>
      </c>
      <c r="BT184">
        <v>179</v>
      </c>
      <c r="BU184" t="s">
        <v>482</v>
      </c>
      <c r="BV184" s="4">
        <f>$F184-546</f>
        <v>43985</v>
      </c>
    </row>
    <row r="185" spans="1:79" x14ac:dyDescent="0.25">
      <c r="A185" t="s">
        <v>8</v>
      </c>
      <c r="B185" t="s">
        <v>1384</v>
      </c>
      <c r="C185">
        <v>1.71</v>
      </c>
      <c r="D185" t="s">
        <v>95</v>
      </c>
      <c r="E185">
        <v>48</v>
      </c>
      <c r="F185" s="4">
        <v>44531</v>
      </c>
      <c r="G185">
        <v>71</v>
      </c>
      <c r="H185" t="s">
        <v>2</v>
      </c>
      <c r="BD185" s="4"/>
      <c r="BG185" s="4"/>
      <c r="BH185">
        <v>183</v>
      </c>
      <c r="BI185" t="s">
        <v>482</v>
      </c>
      <c r="BJ185" s="4">
        <f>$F185-273</f>
        <v>44258</v>
      </c>
      <c r="BK185">
        <v>182</v>
      </c>
      <c r="BL185" t="s">
        <v>482</v>
      </c>
      <c r="BM185" s="4">
        <f>$F185-364</f>
        <v>44167</v>
      </c>
      <c r="BN185">
        <v>181</v>
      </c>
      <c r="BO185" t="s">
        <v>482</v>
      </c>
      <c r="BP185" s="4">
        <f>$F185-455</f>
        <v>44076</v>
      </c>
      <c r="BQ185">
        <v>180</v>
      </c>
      <c r="BR185" t="s">
        <v>482</v>
      </c>
      <c r="BS185" s="4">
        <f>$F185-91</f>
        <v>44440</v>
      </c>
      <c r="BT185">
        <v>179</v>
      </c>
      <c r="BU185" t="s">
        <v>482</v>
      </c>
      <c r="BV185" s="4">
        <f>$F185-546</f>
        <v>43985</v>
      </c>
    </row>
    <row r="186" spans="1:79" x14ac:dyDescent="0.25">
      <c r="A186" t="s">
        <v>8</v>
      </c>
      <c r="B186" t="s">
        <v>1385</v>
      </c>
      <c r="C186">
        <v>1.71</v>
      </c>
      <c r="D186" t="s">
        <v>95</v>
      </c>
      <c r="E186">
        <v>48</v>
      </c>
      <c r="F186" s="4">
        <v>44531</v>
      </c>
      <c r="G186">
        <v>71</v>
      </c>
      <c r="H186" t="s">
        <v>2</v>
      </c>
      <c r="BD186" s="4"/>
      <c r="BG186" s="4"/>
      <c r="BH186">
        <v>183</v>
      </c>
      <c r="BI186" t="s">
        <v>482</v>
      </c>
      <c r="BJ186" s="4">
        <f>$F186-273</f>
        <v>44258</v>
      </c>
      <c r="BK186">
        <v>182</v>
      </c>
      <c r="BL186" t="s">
        <v>482</v>
      </c>
      <c r="BM186" s="4">
        <f>$F186-363</f>
        <v>44168</v>
      </c>
      <c r="BN186">
        <v>181</v>
      </c>
      <c r="BO186" t="s">
        <v>482</v>
      </c>
      <c r="BP186" s="4">
        <f>$F186-453</f>
        <v>44078</v>
      </c>
      <c r="BQ186">
        <v>180</v>
      </c>
      <c r="BR186" t="s">
        <v>482</v>
      </c>
      <c r="BS186" s="4">
        <f>$F186-88</f>
        <v>44443</v>
      </c>
      <c r="BT186">
        <v>179</v>
      </c>
      <c r="BU186" t="s">
        <v>482</v>
      </c>
      <c r="BV186" s="4">
        <f>$F186-547</f>
        <v>43984</v>
      </c>
    </row>
    <row r="187" spans="1:79" x14ac:dyDescent="0.25">
      <c r="A187" t="s">
        <v>8</v>
      </c>
      <c r="B187" t="s">
        <v>1386</v>
      </c>
      <c r="C187">
        <v>1.7</v>
      </c>
      <c r="D187" t="s">
        <v>95</v>
      </c>
      <c r="E187">
        <v>48</v>
      </c>
      <c r="F187" s="4">
        <v>44531</v>
      </c>
      <c r="G187">
        <v>71</v>
      </c>
      <c r="H187" t="s">
        <v>2</v>
      </c>
      <c r="BD187" s="4"/>
      <c r="BG187" s="4"/>
      <c r="BH187">
        <v>183</v>
      </c>
      <c r="BI187" t="s">
        <v>482</v>
      </c>
      <c r="BJ187" s="5">
        <f>$F187-273</f>
        <v>44258</v>
      </c>
      <c r="BK187">
        <v>182</v>
      </c>
      <c r="BL187" t="s">
        <v>482</v>
      </c>
      <c r="BM187" s="6">
        <f>$F187-363</f>
        <v>44168</v>
      </c>
      <c r="BN187">
        <v>181</v>
      </c>
      <c r="BO187" t="s">
        <v>482</v>
      </c>
      <c r="BP187" s="7">
        <f>$F187-453</f>
        <v>44078</v>
      </c>
      <c r="BQ187">
        <v>180</v>
      </c>
      <c r="BR187" t="s">
        <v>482</v>
      </c>
      <c r="BS187" s="8">
        <f>$F187-88</f>
        <v>44443</v>
      </c>
      <c r="BT187">
        <v>179</v>
      </c>
      <c r="BU187" t="s">
        <v>482</v>
      </c>
      <c r="BV187" s="9">
        <f>$F187-547</f>
        <v>43984</v>
      </c>
    </row>
    <row r="188" spans="1:79" x14ac:dyDescent="0.25">
      <c r="A188" t="s">
        <v>8</v>
      </c>
      <c r="B188" t="s">
        <v>1387</v>
      </c>
      <c r="C188">
        <v>1.71</v>
      </c>
      <c r="D188" t="s">
        <v>95</v>
      </c>
      <c r="E188">
        <v>48</v>
      </c>
      <c r="F188" s="4">
        <v>44531</v>
      </c>
      <c r="G188">
        <v>71</v>
      </c>
      <c r="H188" t="s">
        <v>2</v>
      </c>
      <c r="BD188" s="4"/>
      <c r="BG188" s="4"/>
      <c r="BH188">
        <v>183</v>
      </c>
      <c r="BI188" t="s">
        <v>482</v>
      </c>
      <c r="BJ188">
        <f>$F188-364</f>
        <v>44167</v>
      </c>
      <c r="BK188">
        <v>182</v>
      </c>
      <c r="BL188" t="s">
        <v>482</v>
      </c>
      <c r="BM188" s="5">
        <f>$F188-363</f>
        <v>44168</v>
      </c>
      <c r="BN188">
        <v>181</v>
      </c>
      <c r="BO188" t="s">
        <v>482</v>
      </c>
      <c r="BP188" s="9">
        <f>$F188-453</f>
        <v>44078</v>
      </c>
      <c r="BQ188">
        <v>180</v>
      </c>
      <c r="BR188" t="s">
        <v>482</v>
      </c>
      <c r="BS188">
        <f>$F188-88</f>
        <v>44443</v>
      </c>
      <c r="BT188">
        <v>179</v>
      </c>
      <c r="BU188" t="s">
        <v>482</v>
      </c>
      <c r="BV188" s="10">
        <f>$F188-542</f>
        <v>43989</v>
      </c>
    </row>
    <row r="189" spans="1:79" x14ac:dyDescent="0.25">
      <c r="A189" t="s">
        <v>8</v>
      </c>
      <c r="B189" t="s">
        <v>1388</v>
      </c>
      <c r="C189">
        <v>1.71</v>
      </c>
      <c r="D189" t="s">
        <v>95</v>
      </c>
      <c r="E189">
        <v>48</v>
      </c>
      <c r="F189" s="4">
        <v>44531</v>
      </c>
      <c r="G189">
        <v>71</v>
      </c>
      <c r="H189" t="s">
        <v>2</v>
      </c>
      <c r="BW189" s="4">
        <f>$F189-1</f>
        <v>44530</v>
      </c>
      <c r="BX189">
        <v>50</v>
      </c>
    </row>
    <row r="190" spans="1:79" x14ac:dyDescent="0.25">
      <c r="A190" t="s">
        <v>8</v>
      </c>
      <c r="B190" t="s">
        <v>1389</v>
      </c>
      <c r="C190">
        <v>1.7</v>
      </c>
      <c r="D190" t="s">
        <v>95</v>
      </c>
      <c r="E190">
        <v>48</v>
      </c>
      <c r="F190" s="4">
        <v>44531</v>
      </c>
      <c r="G190">
        <v>71</v>
      </c>
      <c r="H190" t="s">
        <v>2</v>
      </c>
      <c r="BW190" s="8">
        <f>$F190</f>
        <v>44531</v>
      </c>
      <c r="BX190">
        <v>71</v>
      </c>
    </row>
    <row r="191" spans="1:79" x14ac:dyDescent="0.25">
      <c r="A191" t="s">
        <v>8</v>
      </c>
      <c r="B191" t="s">
        <v>1390</v>
      </c>
      <c r="C191">
        <v>1.78</v>
      </c>
      <c r="D191" t="s">
        <v>95</v>
      </c>
      <c r="E191">
        <v>48</v>
      </c>
      <c r="F191" s="4">
        <v>44531</v>
      </c>
      <c r="G191">
        <v>71</v>
      </c>
      <c r="H191" t="s">
        <v>2</v>
      </c>
      <c r="BW191" s="12">
        <f>$F191+1</f>
        <v>44532</v>
      </c>
      <c r="BX191">
        <v>75</v>
      </c>
    </row>
    <row r="192" spans="1:79" x14ac:dyDescent="0.25">
      <c r="A192" t="s">
        <v>8</v>
      </c>
      <c r="B192" t="s">
        <v>1391</v>
      </c>
      <c r="D192" t="s">
        <v>95</v>
      </c>
      <c r="E192">
        <v>48</v>
      </c>
      <c r="F192" s="4">
        <v>44531</v>
      </c>
      <c r="G192">
        <v>71</v>
      </c>
      <c r="H192" t="s">
        <v>2</v>
      </c>
      <c r="BY192">
        <v>0.01</v>
      </c>
      <c r="BZ192" t="s">
        <v>494</v>
      </c>
      <c r="CA192" s="5">
        <f>$F192-1</f>
        <v>44530</v>
      </c>
    </row>
    <row r="193" spans="1:82" x14ac:dyDescent="0.25">
      <c r="A193" t="s">
        <v>8</v>
      </c>
      <c r="B193" t="s">
        <v>1392</v>
      </c>
      <c r="D193" t="s">
        <v>95</v>
      </c>
      <c r="E193">
        <v>48</v>
      </c>
      <c r="F193" s="4">
        <v>44531</v>
      </c>
      <c r="G193">
        <v>71</v>
      </c>
      <c r="H193" t="s">
        <v>2</v>
      </c>
      <c r="BY193" t="s">
        <v>520</v>
      </c>
      <c r="BZ193" t="s">
        <v>494</v>
      </c>
      <c r="CA193" s="10">
        <f>$F193</f>
        <v>44531</v>
      </c>
    </row>
    <row r="194" spans="1:82" x14ac:dyDescent="0.25">
      <c r="A194" t="s">
        <v>8</v>
      </c>
      <c r="B194" t="s">
        <v>1393</v>
      </c>
      <c r="C194">
        <v>1.78</v>
      </c>
      <c r="D194" t="s">
        <v>95</v>
      </c>
      <c r="E194">
        <v>48</v>
      </c>
      <c r="F194" s="4">
        <v>44531</v>
      </c>
      <c r="G194">
        <v>71</v>
      </c>
      <c r="H194" t="s">
        <v>2</v>
      </c>
      <c r="BY194" t="s">
        <v>534</v>
      </c>
      <c r="BZ194" t="s">
        <v>494</v>
      </c>
      <c r="CA194" s="7">
        <f>$F194+1</f>
        <v>44532</v>
      </c>
    </row>
    <row r="195" spans="1:82" x14ac:dyDescent="0.25">
      <c r="A195" t="s">
        <v>8</v>
      </c>
      <c r="B195" t="s">
        <v>1394</v>
      </c>
      <c r="C195">
        <v>1.78</v>
      </c>
      <c r="D195" t="s">
        <v>95</v>
      </c>
      <c r="E195">
        <v>48</v>
      </c>
      <c r="F195" s="4">
        <v>44531</v>
      </c>
      <c r="G195">
        <v>71</v>
      </c>
      <c r="H195" t="s">
        <v>2</v>
      </c>
      <c r="CB195">
        <v>0.01</v>
      </c>
      <c r="CC195" t="s">
        <v>495</v>
      </c>
      <c r="CD195">
        <f>$F195-1</f>
        <v>44530</v>
      </c>
    </row>
    <row r="196" spans="1:82" x14ac:dyDescent="0.25">
      <c r="A196" t="s">
        <v>8</v>
      </c>
      <c r="B196" t="s">
        <v>1395</v>
      </c>
      <c r="C196">
        <v>1.78</v>
      </c>
      <c r="D196" t="s">
        <v>95</v>
      </c>
      <c r="E196">
        <v>48</v>
      </c>
      <c r="F196" s="4">
        <v>44531</v>
      </c>
      <c r="G196">
        <v>71</v>
      </c>
      <c r="H196" t="s">
        <v>2</v>
      </c>
      <c r="CB196" t="s">
        <v>521</v>
      </c>
      <c r="CC196" t="s">
        <v>495</v>
      </c>
      <c r="CD196" s="6">
        <f>$F196</f>
        <v>44531</v>
      </c>
    </row>
    <row r="197" spans="1:82" x14ac:dyDescent="0.25">
      <c r="A197" t="s">
        <v>8</v>
      </c>
      <c r="B197" t="s">
        <v>1396</v>
      </c>
      <c r="C197">
        <v>1.78</v>
      </c>
      <c r="D197" t="s">
        <v>95</v>
      </c>
      <c r="E197">
        <v>48</v>
      </c>
      <c r="F197" s="4">
        <v>44531</v>
      </c>
      <c r="G197">
        <v>71</v>
      </c>
      <c r="H197" t="s">
        <v>2</v>
      </c>
      <c r="CB197" t="s">
        <v>533</v>
      </c>
      <c r="CC197" t="s">
        <v>495</v>
      </c>
      <c r="CD197" s="4">
        <f>$F197+1</f>
        <v>44532</v>
      </c>
    </row>
    <row r="198" spans="1:82" x14ac:dyDescent="0.25">
      <c r="A198" t="s">
        <v>8</v>
      </c>
      <c r="B198" t="s">
        <v>1397</v>
      </c>
      <c r="C198">
        <v>1.8</v>
      </c>
      <c r="D198" t="s">
        <v>95</v>
      </c>
      <c r="E198">
        <v>48</v>
      </c>
      <c r="F198" s="4">
        <v>44531</v>
      </c>
      <c r="G198">
        <v>49</v>
      </c>
      <c r="H198" t="s">
        <v>1</v>
      </c>
    </row>
    <row r="199" spans="1:82" x14ac:dyDescent="0.25">
      <c r="A199" t="s">
        <v>532</v>
      </c>
      <c r="B199" t="s">
        <v>1398</v>
      </c>
      <c r="C199">
        <v>1.78</v>
      </c>
      <c r="D199" t="s">
        <v>95</v>
      </c>
      <c r="E199">
        <v>101</v>
      </c>
      <c r="F199" s="4">
        <v>45088</v>
      </c>
      <c r="G199">
        <v>101</v>
      </c>
      <c r="H199" t="s">
        <v>2</v>
      </c>
      <c r="I199">
        <v>45</v>
      </c>
      <c r="J199" s="4">
        <v>44814</v>
      </c>
      <c r="K199">
        <v>44</v>
      </c>
      <c r="L199" s="4">
        <v>44632</v>
      </c>
      <c r="M199">
        <v>46</v>
      </c>
      <c r="N199" s="4">
        <v>44905</v>
      </c>
      <c r="O199">
        <v>47</v>
      </c>
      <c r="P199" s="4">
        <v>44996</v>
      </c>
      <c r="Q199">
        <v>43</v>
      </c>
      <c r="R199" s="4">
        <v>44541</v>
      </c>
      <c r="S199">
        <v>100</v>
      </c>
      <c r="T199" t="s">
        <v>96</v>
      </c>
      <c r="U199" s="4">
        <f>$F199</f>
        <v>45088</v>
      </c>
      <c r="V199">
        <v>101</v>
      </c>
      <c r="W199" t="s">
        <v>96</v>
      </c>
      <c r="X199" s="4">
        <v>45087</v>
      </c>
      <c r="Y199">
        <v>102</v>
      </c>
      <c r="Z199" t="s">
        <v>96</v>
      </c>
      <c r="AA199" s="4">
        <v>44814</v>
      </c>
      <c r="AB199">
        <v>103</v>
      </c>
      <c r="AC199" t="s">
        <v>96</v>
      </c>
      <c r="AD199" s="4">
        <v>44723</v>
      </c>
      <c r="AE199">
        <v>104</v>
      </c>
      <c r="AF199" t="s">
        <v>96</v>
      </c>
      <c r="AG199" s="4">
        <v>44632</v>
      </c>
      <c r="AH199">
        <v>105</v>
      </c>
      <c r="AI199" t="s">
        <v>96</v>
      </c>
      <c r="AJ199" s="4">
        <v>44996</v>
      </c>
      <c r="AK199">
        <v>106</v>
      </c>
      <c r="AL199" t="s">
        <v>96</v>
      </c>
      <c r="AM199" s="4">
        <v>44541</v>
      </c>
      <c r="AN199">
        <v>30</v>
      </c>
      <c r="AO199" s="4">
        <f>$F199-0</f>
        <v>45088</v>
      </c>
      <c r="AP199">
        <v>29.2</v>
      </c>
      <c r="AQ199" s="4">
        <f>$F199-1</f>
        <v>45087</v>
      </c>
      <c r="AR199">
        <v>28</v>
      </c>
      <c r="AS199" s="4">
        <f>$F199-364</f>
        <v>44724</v>
      </c>
      <c r="AT199">
        <v>27</v>
      </c>
      <c r="AU199" s="4">
        <f>$F199-366</f>
        <v>44722</v>
      </c>
      <c r="AV199">
        <v>26</v>
      </c>
      <c r="AW199" s="4">
        <f>$F199-456</f>
        <v>44632</v>
      </c>
      <c r="AX199">
        <v>25</v>
      </c>
      <c r="AY199" s="4">
        <f>$F199-92</f>
        <v>44996</v>
      </c>
      <c r="AZ199">
        <v>24</v>
      </c>
      <c r="BA199" s="4">
        <f>$F199-547</f>
        <v>44541</v>
      </c>
      <c r="BB199">
        <v>185</v>
      </c>
      <c r="BC199" t="s">
        <v>482</v>
      </c>
      <c r="BD199" s="4">
        <f>$F199-0</f>
        <v>45088</v>
      </c>
      <c r="BE199">
        <v>184.2</v>
      </c>
      <c r="BF199" t="s">
        <v>482</v>
      </c>
      <c r="BG199" s="4">
        <f>$F199-1</f>
        <v>45087</v>
      </c>
      <c r="BH199">
        <v>1.83</v>
      </c>
      <c r="BI199" t="s">
        <v>95</v>
      </c>
      <c r="BJ199" s="4">
        <f>$F199-364</f>
        <v>44724</v>
      </c>
      <c r="BK199">
        <v>182</v>
      </c>
      <c r="BL199" t="s">
        <v>482</v>
      </c>
      <c r="BM199" s="4">
        <f>$F199-366</f>
        <v>44722</v>
      </c>
      <c r="BN199">
        <v>181</v>
      </c>
      <c r="BO199" t="s">
        <v>482</v>
      </c>
      <c r="BP199" s="4">
        <f>$F199-456</f>
        <v>44632</v>
      </c>
      <c r="BQ199">
        <v>180</v>
      </c>
      <c r="BR199" t="s">
        <v>482</v>
      </c>
      <c r="BS199" s="4">
        <f>$F199-92</f>
        <v>44996</v>
      </c>
      <c r="BT199">
        <v>179</v>
      </c>
      <c r="BU199" t="s">
        <v>482</v>
      </c>
      <c r="BV199" s="4">
        <f>$F199-547</f>
        <v>44541</v>
      </c>
      <c r="BW199" s="4">
        <f>$F199</f>
        <v>45088</v>
      </c>
      <c r="BX199">
        <v>50</v>
      </c>
      <c r="BY199">
        <v>0.01</v>
      </c>
      <c r="BZ199" t="s">
        <v>494</v>
      </c>
      <c r="CA199" s="5">
        <f>$F199-1</f>
        <v>45087</v>
      </c>
      <c r="CB199">
        <v>0.01</v>
      </c>
      <c r="CC199" t="s">
        <v>495</v>
      </c>
      <c r="CD199" s="4">
        <f>$F199+1</f>
        <v>45089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74BAC-90A4-46E3-9EE9-81DC1E6964EF}">
  <sheetPr codeName="Sheet6"/>
  <dimension ref="A1:XFD1358"/>
  <sheetViews>
    <sheetView tabSelected="1" zoomScale="85" zoomScaleNormal="85" workbookViewId="0">
      <selection activeCell="B26" sqref="B26"/>
    </sheetView>
  </sheetViews>
  <sheetFormatPr defaultRowHeight="15" x14ac:dyDescent="0.25"/>
  <cols>
    <col min="2" max="2" width="86.5703125" customWidth="1"/>
    <col min="3" max="3" width="22.28515625" customWidth="1"/>
    <col min="4" max="4" width="13.140625" customWidth="1"/>
    <col min="5" max="5" width="12.42578125" customWidth="1"/>
    <col min="6" max="6" width="10.140625" customWidth="1"/>
    <col min="7" max="7" width="25.7109375" customWidth="1"/>
  </cols>
  <sheetData>
    <row r="1" spans="1:7" x14ac:dyDescent="0.25">
      <c r="A1" s="3" t="s">
        <v>3</v>
      </c>
      <c r="B1" s="3" t="s">
        <v>93</v>
      </c>
      <c r="C1" s="3" t="s">
        <v>92</v>
      </c>
      <c r="D1" s="3" t="s">
        <v>4</v>
      </c>
      <c r="E1" s="3" t="s">
        <v>5</v>
      </c>
      <c r="F1" s="3" t="s">
        <v>487</v>
      </c>
      <c r="G1" s="3" t="s">
        <v>1933</v>
      </c>
    </row>
    <row r="2" spans="1:7" x14ac:dyDescent="0.25">
      <c r="A2" t="s">
        <v>690</v>
      </c>
      <c r="B2" t="s">
        <v>887</v>
      </c>
      <c r="C2" t="s">
        <v>7</v>
      </c>
      <c r="D2" t="s">
        <v>7</v>
      </c>
      <c r="E2" t="str">
        <f ca="1">INDIRECT("'Sheet1'!A1")</f>
        <v>Please copy and paste your data into this cell</v>
      </c>
      <c r="F2" t="b">
        <f ca="1">E2=D2</f>
        <v>0</v>
      </c>
    </row>
    <row r="3" spans="1:7" x14ac:dyDescent="0.25">
      <c r="A3" t="s">
        <v>691</v>
      </c>
      <c r="B3" t="s">
        <v>888</v>
      </c>
      <c r="C3" t="s">
        <v>9</v>
      </c>
      <c r="D3" t="s">
        <v>9</v>
      </c>
      <c r="E3">
        <f ca="1">INDIRECT("'Sheet1'!B1")</f>
        <v>0</v>
      </c>
      <c r="F3" t="b">
        <f t="shared" ref="F3:F66" ca="1" si="0">E3=D3</f>
        <v>0</v>
      </c>
    </row>
    <row r="4" spans="1:7" x14ac:dyDescent="0.25">
      <c r="A4" t="s">
        <v>692</v>
      </c>
      <c r="B4" t="s">
        <v>889</v>
      </c>
      <c r="C4" t="s">
        <v>10</v>
      </c>
      <c r="D4" t="s">
        <v>10</v>
      </c>
      <c r="E4">
        <f ca="1">INDIRECT("'Sheet1'!C1")</f>
        <v>0</v>
      </c>
      <c r="F4" t="b">
        <f t="shared" ca="1" si="0"/>
        <v>0</v>
      </c>
    </row>
    <row r="5" spans="1:7" x14ac:dyDescent="0.25">
      <c r="A5" t="s">
        <v>693</v>
      </c>
      <c r="B5" t="s">
        <v>890</v>
      </c>
      <c r="C5" t="s">
        <v>11</v>
      </c>
      <c r="D5" t="s">
        <v>11</v>
      </c>
      <c r="E5">
        <f ca="1">INDIRECT("'Sheet1'!D1")</f>
        <v>0</v>
      </c>
      <c r="F5" t="b">
        <f t="shared" ca="1" si="0"/>
        <v>0</v>
      </c>
    </row>
    <row r="6" spans="1:7" x14ac:dyDescent="0.25">
      <c r="A6" t="s">
        <v>694</v>
      </c>
      <c r="B6" t="s">
        <v>891</v>
      </c>
      <c r="C6" t="s">
        <v>12</v>
      </c>
      <c r="D6" t="s">
        <v>12</v>
      </c>
      <c r="E6">
        <f ca="1">INDIRECT("'Sheet1'!E1")</f>
        <v>0</v>
      </c>
      <c r="F6" t="b">
        <f t="shared" ca="1" si="0"/>
        <v>0</v>
      </c>
    </row>
    <row r="7" spans="1:7" x14ac:dyDescent="0.25">
      <c r="A7" t="s">
        <v>695</v>
      </c>
      <c r="B7" t="s">
        <v>892</v>
      </c>
      <c r="C7" t="s">
        <v>13</v>
      </c>
      <c r="D7" t="s">
        <v>13</v>
      </c>
      <c r="E7">
        <f ca="1">INDIRECT("'Sheet1'!F1")</f>
        <v>0</v>
      </c>
      <c r="F7" t="b">
        <f t="shared" ca="1" si="0"/>
        <v>0</v>
      </c>
    </row>
    <row r="8" spans="1:7" x14ac:dyDescent="0.25">
      <c r="A8" t="s">
        <v>696</v>
      </c>
      <c r="B8" t="s">
        <v>893</v>
      </c>
      <c r="C8" t="s">
        <v>14</v>
      </c>
      <c r="D8" t="s">
        <v>14</v>
      </c>
      <c r="E8">
        <f ca="1">INDIRECT("'Sheet1'!G1")</f>
        <v>0</v>
      </c>
      <c r="F8" t="b">
        <f t="shared" ca="1" si="0"/>
        <v>0</v>
      </c>
    </row>
    <row r="9" spans="1:7" x14ac:dyDescent="0.25">
      <c r="A9" t="s">
        <v>697</v>
      </c>
      <c r="B9" t="s">
        <v>894</v>
      </c>
      <c r="C9" t="s">
        <v>0</v>
      </c>
      <c r="D9" t="s">
        <v>0</v>
      </c>
      <c r="E9">
        <f ca="1">INDIRECT("'Sheet1'!H1")</f>
        <v>0</v>
      </c>
      <c r="F9" t="b">
        <f t="shared" ca="1" si="0"/>
        <v>0</v>
      </c>
    </row>
    <row r="10" spans="1:7" x14ac:dyDescent="0.25">
      <c r="A10" t="s">
        <v>698</v>
      </c>
      <c r="B10" t="s">
        <v>895</v>
      </c>
      <c r="C10" t="s">
        <v>15</v>
      </c>
      <c r="D10" t="s">
        <v>15</v>
      </c>
      <c r="E10">
        <f ca="1">INDIRECT("'Sheet1'!I1")</f>
        <v>0</v>
      </c>
      <c r="F10" t="b">
        <f t="shared" ca="1" si="0"/>
        <v>0</v>
      </c>
    </row>
    <row r="11" spans="1:7" x14ac:dyDescent="0.25">
      <c r="A11" t="s">
        <v>699</v>
      </c>
      <c r="B11" t="s">
        <v>896</v>
      </c>
      <c r="C11" t="s">
        <v>16</v>
      </c>
      <c r="D11" t="s">
        <v>16</v>
      </c>
      <c r="E11">
        <f ca="1">INDIRECT("'Sheet1'!J1")</f>
        <v>0</v>
      </c>
      <c r="F11" t="b">
        <f t="shared" ca="1" si="0"/>
        <v>0</v>
      </c>
    </row>
    <row r="12" spans="1:7" x14ac:dyDescent="0.25">
      <c r="A12" t="s">
        <v>700</v>
      </c>
      <c r="B12" t="s">
        <v>897</v>
      </c>
      <c r="C12" t="s">
        <v>17</v>
      </c>
      <c r="D12" t="s">
        <v>17</v>
      </c>
      <c r="E12">
        <f ca="1">INDIRECT("'Sheet1'!K1")</f>
        <v>0</v>
      </c>
      <c r="F12" t="b">
        <f t="shared" ca="1" si="0"/>
        <v>0</v>
      </c>
    </row>
    <row r="13" spans="1:7" x14ac:dyDescent="0.25">
      <c r="A13" t="s">
        <v>701</v>
      </c>
      <c r="B13" t="s">
        <v>898</v>
      </c>
      <c r="C13" t="s">
        <v>18</v>
      </c>
      <c r="D13" t="s">
        <v>18</v>
      </c>
      <c r="E13">
        <f ca="1">INDIRECT("'Sheet1'!L1")</f>
        <v>0</v>
      </c>
      <c r="F13" t="b">
        <f t="shared" ca="1" si="0"/>
        <v>0</v>
      </c>
    </row>
    <row r="14" spans="1:7" x14ac:dyDescent="0.25">
      <c r="A14" t="s">
        <v>702</v>
      </c>
      <c r="B14" t="s">
        <v>899</v>
      </c>
      <c r="C14" t="s">
        <v>19</v>
      </c>
      <c r="D14" t="s">
        <v>19</v>
      </c>
      <c r="E14">
        <f ca="1">INDIRECT("'Sheet1'!M1")</f>
        <v>0</v>
      </c>
      <c r="F14" t="b">
        <f t="shared" ca="1" si="0"/>
        <v>0</v>
      </c>
    </row>
    <row r="15" spans="1:7" x14ac:dyDescent="0.25">
      <c r="A15" t="s">
        <v>703</v>
      </c>
      <c r="B15" t="s">
        <v>900</v>
      </c>
      <c r="C15" t="s">
        <v>20</v>
      </c>
      <c r="D15" t="s">
        <v>20</v>
      </c>
      <c r="E15">
        <f ca="1">INDIRECT("'Sheet1'!N1")</f>
        <v>0</v>
      </c>
      <c r="F15" t="b">
        <f t="shared" ca="1" si="0"/>
        <v>0</v>
      </c>
    </row>
    <row r="16" spans="1:7" x14ac:dyDescent="0.25">
      <c r="A16" t="s">
        <v>704</v>
      </c>
      <c r="B16" t="s">
        <v>901</v>
      </c>
      <c r="C16" t="s">
        <v>21</v>
      </c>
      <c r="D16" t="s">
        <v>21</v>
      </c>
      <c r="E16">
        <f ca="1">INDIRECT("'Sheet1'!O1")</f>
        <v>0</v>
      </c>
      <c r="F16" t="b">
        <f t="shared" ca="1" si="0"/>
        <v>0</v>
      </c>
    </row>
    <row r="17" spans="1:6" x14ac:dyDescent="0.25">
      <c r="A17" t="s">
        <v>705</v>
      </c>
      <c r="B17" t="s">
        <v>902</v>
      </c>
      <c r="C17" t="s">
        <v>22</v>
      </c>
      <c r="D17" t="s">
        <v>22</v>
      </c>
      <c r="E17">
        <f ca="1">INDIRECT("'Sheet1'!P1")</f>
        <v>0</v>
      </c>
      <c r="F17" t="b">
        <f t="shared" ca="1" si="0"/>
        <v>0</v>
      </c>
    </row>
    <row r="18" spans="1:6" x14ac:dyDescent="0.25">
      <c r="A18" t="s">
        <v>706</v>
      </c>
      <c r="B18" t="s">
        <v>903</v>
      </c>
      <c r="C18" t="s">
        <v>23</v>
      </c>
      <c r="D18" t="s">
        <v>23</v>
      </c>
      <c r="E18">
        <f ca="1">INDIRECT("'Sheet1'!Q1")</f>
        <v>0</v>
      </c>
      <c r="F18" t="b">
        <f t="shared" ca="1" si="0"/>
        <v>0</v>
      </c>
    </row>
    <row r="19" spans="1:6" x14ac:dyDescent="0.25">
      <c r="A19" t="s">
        <v>707</v>
      </c>
      <c r="B19" t="s">
        <v>904</v>
      </c>
      <c r="C19" t="s">
        <v>24</v>
      </c>
      <c r="D19" t="s">
        <v>24</v>
      </c>
      <c r="E19">
        <f ca="1">INDIRECT("'Sheet1'!R1")</f>
        <v>0</v>
      </c>
      <c r="F19" t="b">
        <f t="shared" ca="1" si="0"/>
        <v>0</v>
      </c>
    </row>
    <row r="20" spans="1:6" x14ac:dyDescent="0.25">
      <c r="A20" t="s">
        <v>708</v>
      </c>
      <c r="B20" t="s">
        <v>905</v>
      </c>
      <c r="C20" t="s">
        <v>25</v>
      </c>
      <c r="D20" t="s">
        <v>25</v>
      </c>
      <c r="E20">
        <f ca="1">INDIRECT("'Sheet1'!S1")</f>
        <v>0</v>
      </c>
      <c r="F20" t="b">
        <f t="shared" ca="1" si="0"/>
        <v>0</v>
      </c>
    </row>
    <row r="21" spans="1:6" x14ac:dyDescent="0.25">
      <c r="A21" t="s">
        <v>709</v>
      </c>
      <c r="B21" t="s">
        <v>906</v>
      </c>
      <c r="C21" t="s">
        <v>26</v>
      </c>
      <c r="D21" t="s">
        <v>26</v>
      </c>
      <c r="E21">
        <f ca="1">INDIRECT("'Sheet1'!T1")</f>
        <v>0</v>
      </c>
      <c r="F21" t="b">
        <f t="shared" ca="1" si="0"/>
        <v>0</v>
      </c>
    </row>
    <row r="22" spans="1:6" x14ac:dyDescent="0.25">
      <c r="A22" t="s">
        <v>710</v>
      </c>
      <c r="B22" t="s">
        <v>907</v>
      </c>
      <c r="C22" t="s">
        <v>27</v>
      </c>
      <c r="D22" t="s">
        <v>27</v>
      </c>
      <c r="E22">
        <f ca="1">INDIRECT("'Sheet1'!U1")</f>
        <v>0</v>
      </c>
      <c r="F22" t="b">
        <f t="shared" ca="1" si="0"/>
        <v>0</v>
      </c>
    </row>
    <row r="23" spans="1:6" x14ac:dyDescent="0.25">
      <c r="A23" t="s">
        <v>711</v>
      </c>
      <c r="B23" t="s">
        <v>908</v>
      </c>
      <c r="C23" t="s">
        <v>28</v>
      </c>
      <c r="D23" t="s">
        <v>28</v>
      </c>
      <c r="E23">
        <f ca="1">INDIRECT("'Sheet1'!V1")</f>
        <v>0</v>
      </c>
      <c r="F23" t="b">
        <f t="shared" ca="1" si="0"/>
        <v>0</v>
      </c>
    </row>
    <row r="24" spans="1:6" x14ac:dyDescent="0.25">
      <c r="A24" t="s">
        <v>712</v>
      </c>
      <c r="B24" t="s">
        <v>909</v>
      </c>
      <c r="C24" t="s">
        <v>29</v>
      </c>
      <c r="D24" t="s">
        <v>29</v>
      </c>
      <c r="E24">
        <f ca="1">INDIRECT("'Sheet1'!W1")</f>
        <v>0</v>
      </c>
      <c r="F24" t="b">
        <f t="shared" ca="1" si="0"/>
        <v>0</v>
      </c>
    </row>
    <row r="25" spans="1:6" x14ac:dyDescent="0.25">
      <c r="A25" t="s">
        <v>713</v>
      </c>
      <c r="B25" t="s">
        <v>910</v>
      </c>
      <c r="C25" t="s">
        <v>30</v>
      </c>
      <c r="D25" t="s">
        <v>30</v>
      </c>
      <c r="E25">
        <f ca="1">INDIRECT("'Sheet1'!X1")</f>
        <v>0</v>
      </c>
      <c r="F25" t="b">
        <f t="shared" ca="1" si="0"/>
        <v>0</v>
      </c>
    </row>
    <row r="26" spans="1:6" x14ac:dyDescent="0.25">
      <c r="A26" t="s">
        <v>714</v>
      </c>
      <c r="B26" t="s">
        <v>911</v>
      </c>
      <c r="C26" t="s">
        <v>31</v>
      </c>
      <c r="D26" t="s">
        <v>31</v>
      </c>
      <c r="E26">
        <f ca="1">INDIRECT("'Sheet1'!Y1")</f>
        <v>0</v>
      </c>
      <c r="F26" t="b">
        <f t="shared" ca="1" si="0"/>
        <v>0</v>
      </c>
    </row>
    <row r="27" spans="1:6" x14ac:dyDescent="0.25">
      <c r="A27" t="s">
        <v>715</v>
      </c>
      <c r="B27" t="s">
        <v>912</v>
      </c>
      <c r="C27" t="s">
        <v>32</v>
      </c>
      <c r="D27" t="s">
        <v>32</v>
      </c>
      <c r="E27">
        <f ca="1">INDIRECT("'Sheet1'!Z1")</f>
        <v>0</v>
      </c>
      <c r="F27" t="b">
        <f t="shared" ca="1" si="0"/>
        <v>0</v>
      </c>
    </row>
    <row r="28" spans="1:6" x14ac:dyDescent="0.25">
      <c r="A28" t="s">
        <v>716</v>
      </c>
      <c r="B28" t="s">
        <v>913</v>
      </c>
      <c r="C28" t="s">
        <v>33</v>
      </c>
      <c r="D28" t="s">
        <v>33</v>
      </c>
      <c r="E28">
        <f ca="1">INDIRECT("'Sheet1'!AA1")</f>
        <v>0</v>
      </c>
      <c r="F28" t="b">
        <f t="shared" ca="1" si="0"/>
        <v>0</v>
      </c>
    </row>
    <row r="29" spans="1:6" x14ac:dyDescent="0.25">
      <c r="A29" t="s">
        <v>717</v>
      </c>
      <c r="B29" t="s">
        <v>914</v>
      </c>
      <c r="C29" t="s">
        <v>34</v>
      </c>
      <c r="D29" t="s">
        <v>34</v>
      </c>
      <c r="E29">
        <f ca="1">INDIRECT("'Sheet1'!AB1")</f>
        <v>0</v>
      </c>
      <c r="F29" t="b">
        <f t="shared" ca="1" si="0"/>
        <v>0</v>
      </c>
    </row>
    <row r="30" spans="1:6" x14ac:dyDescent="0.25">
      <c r="A30" t="s">
        <v>718</v>
      </c>
      <c r="B30" t="s">
        <v>915</v>
      </c>
      <c r="C30" t="s">
        <v>35</v>
      </c>
      <c r="D30" t="s">
        <v>35</v>
      </c>
      <c r="E30">
        <f ca="1">INDIRECT("'Sheet1'!AC1")</f>
        <v>0</v>
      </c>
      <c r="F30" t="b">
        <f t="shared" ca="1" si="0"/>
        <v>0</v>
      </c>
    </row>
    <row r="31" spans="1:6" x14ac:dyDescent="0.25">
      <c r="A31" t="s">
        <v>719</v>
      </c>
      <c r="B31" t="s">
        <v>916</v>
      </c>
      <c r="C31" t="s">
        <v>36</v>
      </c>
      <c r="D31" t="s">
        <v>36</v>
      </c>
      <c r="E31">
        <f ca="1">INDIRECT("'Sheet1'!AD1")</f>
        <v>0</v>
      </c>
      <c r="F31" t="b">
        <f t="shared" ca="1" si="0"/>
        <v>0</v>
      </c>
    </row>
    <row r="32" spans="1:6" x14ac:dyDescent="0.25">
      <c r="A32" t="s">
        <v>720</v>
      </c>
      <c r="B32" t="s">
        <v>917</v>
      </c>
      <c r="C32" t="s">
        <v>37</v>
      </c>
      <c r="D32" t="s">
        <v>37</v>
      </c>
      <c r="E32">
        <f ca="1">INDIRECT("'Sheet1'!AE1")</f>
        <v>0</v>
      </c>
      <c r="F32" t="b">
        <f t="shared" ca="1" si="0"/>
        <v>0</v>
      </c>
    </row>
    <row r="33" spans="1:6" x14ac:dyDescent="0.25">
      <c r="A33" t="s">
        <v>721</v>
      </c>
      <c r="B33" t="s">
        <v>918</v>
      </c>
      <c r="C33" t="s">
        <v>38</v>
      </c>
      <c r="D33" t="s">
        <v>38</v>
      </c>
      <c r="E33">
        <f ca="1">INDIRECT("'Sheet1'!AF1")</f>
        <v>0</v>
      </c>
      <c r="F33" t="b">
        <f t="shared" ca="1" si="0"/>
        <v>0</v>
      </c>
    </row>
    <row r="34" spans="1:6" x14ac:dyDescent="0.25">
      <c r="A34" t="s">
        <v>722</v>
      </c>
      <c r="B34" t="s">
        <v>919</v>
      </c>
      <c r="C34" t="s">
        <v>39</v>
      </c>
      <c r="D34" t="s">
        <v>39</v>
      </c>
      <c r="E34">
        <f ca="1">INDIRECT("'Sheet1'!AG1")</f>
        <v>0</v>
      </c>
      <c r="F34" t="b">
        <f t="shared" ca="1" si="0"/>
        <v>0</v>
      </c>
    </row>
    <row r="35" spans="1:6" x14ac:dyDescent="0.25">
      <c r="A35" t="s">
        <v>723</v>
      </c>
      <c r="B35" t="s">
        <v>920</v>
      </c>
      <c r="C35" t="s">
        <v>40</v>
      </c>
      <c r="D35" t="s">
        <v>40</v>
      </c>
      <c r="E35">
        <f ca="1">INDIRECT("'Sheet1'!AH1")</f>
        <v>0</v>
      </c>
      <c r="F35" t="b">
        <f t="shared" ca="1" si="0"/>
        <v>0</v>
      </c>
    </row>
    <row r="36" spans="1:6" x14ac:dyDescent="0.25">
      <c r="A36" t="s">
        <v>724</v>
      </c>
      <c r="B36" t="s">
        <v>921</v>
      </c>
      <c r="C36" t="s">
        <v>41</v>
      </c>
      <c r="D36" t="s">
        <v>41</v>
      </c>
      <c r="E36">
        <f ca="1">INDIRECT("'Sheet1'!AI1")</f>
        <v>0</v>
      </c>
      <c r="F36" t="b">
        <f t="shared" ca="1" si="0"/>
        <v>0</v>
      </c>
    </row>
    <row r="37" spans="1:6" x14ac:dyDescent="0.25">
      <c r="A37" t="s">
        <v>725</v>
      </c>
      <c r="B37" t="s">
        <v>922</v>
      </c>
      <c r="C37" t="s">
        <v>42</v>
      </c>
      <c r="D37" t="s">
        <v>42</v>
      </c>
      <c r="E37">
        <f ca="1">INDIRECT("'Sheet1'!AJ1")</f>
        <v>0</v>
      </c>
      <c r="F37" t="b">
        <f t="shared" ca="1" si="0"/>
        <v>0</v>
      </c>
    </row>
    <row r="38" spans="1:6" x14ac:dyDescent="0.25">
      <c r="A38" t="s">
        <v>726</v>
      </c>
      <c r="B38" t="s">
        <v>923</v>
      </c>
      <c r="C38" t="s">
        <v>43</v>
      </c>
      <c r="D38" t="s">
        <v>43</v>
      </c>
      <c r="E38">
        <f ca="1">INDIRECT("'Sheet1'!AK1")</f>
        <v>0</v>
      </c>
      <c r="F38" t="b">
        <f t="shared" ca="1" si="0"/>
        <v>0</v>
      </c>
    </row>
    <row r="39" spans="1:6" x14ac:dyDescent="0.25">
      <c r="A39" t="s">
        <v>727</v>
      </c>
      <c r="B39" t="s">
        <v>924</v>
      </c>
      <c r="C39" t="s">
        <v>44</v>
      </c>
      <c r="D39" t="s">
        <v>44</v>
      </c>
      <c r="E39">
        <f ca="1">INDIRECT("'Sheet1'!AL1")</f>
        <v>0</v>
      </c>
      <c r="F39" t="b">
        <f t="shared" ca="1" si="0"/>
        <v>0</v>
      </c>
    </row>
    <row r="40" spans="1:6" x14ac:dyDescent="0.25">
      <c r="A40" t="s">
        <v>728</v>
      </c>
      <c r="B40" t="s">
        <v>925</v>
      </c>
      <c r="C40" t="s">
        <v>45</v>
      </c>
      <c r="D40" t="s">
        <v>45</v>
      </c>
      <c r="E40">
        <f ca="1">INDIRECT("'Sheet1'!AM1")</f>
        <v>0</v>
      </c>
      <c r="F40" t="b">
        <f t="shared" ca="1" si="0"/>
        <v>0</v>
      </c>
    </row>
    <row r="41" spans="1:6" x14ac:dyDescent="0.25">
      <c r="A41" t="s">
        <v>729</v>
      </c>
      <c r="B41" t="s">
        <v>926</v>
      </c>
      <c r="C41" t="s">
        <v>46</v>
      </c>
      <c r="D41" t="s">
        <v>46</v>
      </c>
      <c r="E41">
        <f ca="1">INDIRECT("'Sheet1'!AN1")</f>
        <v>0</v>
      </c>
      <c r="F41" t="b">
        <f t="shared" ca="1" si="0"/>
        <v>0</v>
      </c>
    </row>
    <row r="42" spans="1:6" x14ac:dyDescent="0.25">
      <c r="A42" t="s">
        <v>730</v>
      </c>
      <c r="B42" t="s">
        <v>927</v>
      </c>
      <c r="C42" t="s">
        <v>47</v>
      </c>
      <c r="D42" t="s">
        <v>47</v>
      </c>
      <c r="E42">
        <f ca="1">INDIRECT("'Sheet1'!AO1")</f>
        <v>0</v>
      </c>
      <c r="F42" t="b">
        <f t="shared" ca="1" si="0"/>
        <v>0</v>
      </c>
    </row>
    <row r="43" spans="1:6" x14ac:dyDescent="0.25">
      <c r="A43" t="s">
        <v>731</v>
      </c>
      <c r="B43" t="s">
        <v>928</v>
      </c>
      <c r="C43" t="s">
        <v>48</v>
      </c>
      <c r="D43" t="s">
        <v>48</v>
      </c>
      <c r="E43">
        <f ca="1">INDIRECT("'Sheet1'!AP1")</f>
        <v>0</v>
      </c>
      <c r="F43" t="b">
        <f t="shared" ca="1" si="0"/>
        <v>0</v>
      </c>
    </row>
    <row r="44" spans="1:6" x14ac:dyDescent="0.25">
      <c r="A44" t="s">
        <v>732</v>
      </c>
      <c r="B44" t="s">
        <v>929</v>
      </c>
      <c r="C44" t="s">
        <v>49</v>
      </c>
      <c r="D44" t="s">
        <v>49</v>
      </c>
      <c r="E44">
        <f ca="1">INDIRECT("'Sheet1'!AQ1")</f>
        <v>0</v>
      </c>
      <c r="F44" t="b">
        <f t="shared" ca="1" si="0"/>
        <v>0</v>
      </c>
    </row>
    <row r="45" spans="1:6" x14ac:dyDescent="0.25">
      <c r="A45" t="s">
        <v>733</v>
      </c>
      <c r="B45" t="s">
        <v>930</v>
      </c>
      <c r="C45" t="s">
        <v>50</v>
      </c>
      <c r="D45" t="s">
        <v>50</v>
      </c>
      <c r="E45">
        <f ca="1">INDIRECT("'Sheet1'!AR1")</f>
        <v>0</v>
      </c>
      <c r="F45" t="b">
        <f t="shared" ca="1" si="0"/>
        <v>0</v>
      </c>
    </row>
    <row r="46" spans="1:6" x14ac:dyDescent="0.25">
      <c r="A46" t="s">
        <v>734</v>
      </c>
      <c r="B46" t="s">
        <v>931</v>
      </c>
      <c r="C46" t="s">
        <v>51</v>
      </c>
      <c r="D46" t="s">
        <v>51</v>
      </c>
      <c r="E46">
        <f ca="1">INDIRECT("'Sheet1'!AS1")</f>
        <v>0</v>
      </c>
      <c r="F46" t="b">
        <f t="shared" ca="1" si="0"/>
        <v>0</v>
      </c>
    </row>
    <row r="47" spans="1:6" x14ac:dyDescent="0.25">
      <c r="A47" t="s">
        <v>735</v>
      </c>
      <c r="B47" t="s">
        <v>932</v>
      </c>
      <c r="C47" t="s">
        <v>52</v>
      </c>
      <c r="D47" t="s">
        <v>52</v>
      </c>
      <c r="E47">
        <f ca="1">INDIRECT("'Sheet1'!AT1")</f>
        <v>0</v>
      </c>
      <c r="F47" t="b">
        <f t="shared" ca="1" si="0"/>
        <v>0</v>
      </c>
    </row>
    <row r="48" spans="1:6" x14ac:dyDescent="0.25">
      <c r="A48" t="s">
        <v>736</v>
      </c>
      <c r="B48" t="s">
        <v>933</v>
      </c>
      <c r="C48" t="s">
        <v>53</v>
      </c>
      <c r="D48" t="s">
        <v>53</v>
      </c>
      <c r="E48">
        <f ca="1">INDIRECT("'Sheet1'!AU1")</f>
        <v>0</v>
      </c>
      <c r="F48" t="b">
        <f t="shared" ca="1" si="0"/>
        <v>0</v>
      </c>
    </row>
    <row r="49" spans="1:6" x14ac:dyDescent="0.25">
      <c r="A49" t="s">
        <v>737</v>
      </c>
      <c r="B49" t="s">
        <v>934</v>
      </c>
      <c r="C49" t="s">
        <v>54</v>
      </c>
      <c r="D49" t="s">
        <v>54</v>
      </c>
      <c r="E49">
        <f ca="1">INDIRECT("'Sheet1'!AV1")</f>
        <v>0</v>
      </c>
      <c r="F49" t="b">
        <f t="shared" ca="1" si="0"/>
        <v>0</v>
      </c>
    </row>
    <row r="50" spans="1:6" x14ac:dyDescent="0.25">
      <c r="A50" t="s">
        <v>738</v>
      </c>
      <c r="B50" t="s">
        <v>935</v>
      </c>
      <c r="C50" t="s">
        <v>55</v>
      </c>
      <c r="D50" t="s">
        <v>55</v>
      </c>
      <c r="E50">
        <f ca="1">INDIRECT("'Sheet1'!AW1")</f>
        <v>0</v>
      </c>
      <c r="F50" t="b">
        <f t="shared" ca="1" si="0"/>
        <v>0</v>
      </c>
    </row>
    <row r="51" spans="1:6" x14ac:dyDescent="0.25">
      <c r="A51" t="s">
        <v>739</v>
      </c>
      <c r="B51" t="s">
        <v>936</v>
      </c>
      <c r="C51" t="s">
        <v>56</v>
      </c>
      <c r="D51" t="s">
        <v>56</v>
      </c>
      <c r="E51">
        <f ca="1">INDIRECT("'Sheet1'!AX1")</f>
        <v>0</v>
      </c>
      <c r="F51" t="b">
        <f t="shared" ca="1" si="0"/>
        <v>0</v>
      </c>
    </row>
    <row r="52" spans="1:6" x14ac:dyDescent="0.25">
      <c r="A52" t="s">
        <v>740</v>
      </c>
      <c r="B52" t="s">
        <v>937</v>
      </c>
      <c r="C52" t="s">
        <v>57</v>
      </c>
      <c r="D52" t="s">
        <v>57</v>
      </c>
      <c r="E52">
        <f ca="1">INDIRECT("'Sheet1'!AY1")</f>
        <v>0</v>
      </c>
      <c r="F52" t="b">
        <f t="shared" ca="1" si="0"/>
        <v>0</v>
      </c>
    </row>
    <row r="53" spans="1:6" x14ac:dyDescent="0.25">
      <c r="A53" t="s">
        <v>741</v>
      </c>
      <c r="B53" t="s">
        <v>938</v>
      </c>
      <c r="C53" t="s">
        <v>58</v>
      </c>
      <c r="D53" t="s">
        <v>58</v>
      </c>
      <c r="E53">
        <f ca="1">INDIRECT("'Sheet1'!AZ1")</f>
        <v>0</v>
      </c>
      <c r="F53" t="b">
        <f t="shared" ca="1" si="0"/>
        <v>0</v>
      </c>
    </row>
    <row r="54" spans="1:6" x14ac:dyDescent="0.25">
      <c r="A54" t="s">
        <v>742</v>
      </c>
      <c r="B54" t="s">
        <v>939</v>
      </c>
      <c r="C54" t="s">
        <v>59</v>
      </c>
      <c r="D54" t="s">
        <v>59</v>
      </c>
      <c r="E54">
        <f ca="1">INDIRECT("'Sheet1'!BA1")</f>
        <v>0</v>
      </c>
      <c r="F54" t="b">
        <f t="shared" ca="1" si="0"/>
        <v>0</v>
      </c>
    </row>
    <row r="55" spans="1:6" x14ac:dyDescent="0.25">
      <c r="A55" t="s">
        <v>743</v>
      </c>
      <c r="B55" t="s">
        <v>940</v>
      </c>
      <c r="C55" t="s">
        <v>60</v>
      </c>
      <c r="D55" t="s">
        <v>60</v>
      </c>
      <c r="E55">
        <f ca="1">INDIRECT("'Sheet1'!BB1")</f>
        <v>0</v>
      </c>
      <c r="F55" t="b">
        <f t="shared" ca="1" si="0"/>
        <v>0</v>
      </c>
    </row>
    <row r="56" spans="1:6" x14ac:dyDescent="0.25">
      <c r="A56" t="s">
        <v>744</v>
      </c>
      <c r="B56" t="s">
        <v>941</v>
      </c>
      <c r="C56" t="s">
        <v>61</v>
      </c>
      <c r="D56" t="s">
        <v>61</v>
      </c>
      <c r="E56">
        <f ca="1">INDIRECT("'Sheet1'!BC1")</f>
        <v>0</v>
      </c>
      <c r="F56" t="b">
        <f t="shared" ca="1" si="0"/>
        <v>0</v>
      </c>
    </row>
    <row r="57" spans="1:6" x14ac:dyDescent="0.25">
      <c r="A57" t="s">
        <v>745</v>
      </c>
      <c r="B57" t="s">
        <v>942</v>
      </c>
      <c r="C57" t="s">
        <v>62</v>
      </c>
      <c r="D57" t="s">
        <v>62</v>
      </c>
      <c r="E57">
        <f ca="1">INDIRECT("'Sheet1'!BD1")</f>
        <v>0</v>
      </c>
      <c r="F57" t="b">
        <f t="shared" ca="1" si="0"/>
        <v>0</v>
      </c>
    </row>
    <row r="58" spans="1:6" x14ac:dyDescent="0.25">
      <c r="A58" t="s">
        <v>746</v>
      </c>
      <c r="B58" t="s">
        <v>943</v>
      </c>
      <c r="C58" t="s">
        <v>63</v>
      </c>
      <c r="D58" t="s">
        <v>63</v>
      </c>
      <c r="E58">
        <f ca="1">INDIRECT("'Sheet1'!BE1")</f>
        <v>0</v>
      </c>
      <c r="F58" t="b">
        <f t="shared" ca="1" si="0"/>
        <v>0</v>
      </c>
    </row>
    <row r="59" spans="1:6" x14ac:dyDescent="0.25">
      <c r="A59" t="s">
        <v>747</v>
      </c>
      <c r="B59" t="s">
        <v>944</v>
      </c>
      <c r="C59" t="s">
        <v>64</v>
      </c>
      <c r="D59" t="s">
        <v>64</v>
      </c>
      <c r="E59">
        <f ca="1">INDIRECT("'Sheet1'!BF1")</f>
        <v>0</v>
      </c>
      <c r="F59" t="b">
        <f t="shared" ca="1" si="0"/>
        <v>0</v>
      </c>
    </row>
    <row r="60" spans="1:6" x14ac:dyDescent="0.25">
      <c r="A60" t="s">
        <v>748</v>
      </c>
      <c r="B60" t="s">
        <v>945</v>
      </c>
      <c r="C60" t="s">
        <v>65</v>
      </c>
      <c r="D60" t="s">
        <v>65</v>
      </c>
      <c r="E60">
        <f ca="1">INDIRECT("'Sheet1'!BG1")</f>
        <v>0</v>
      </c>
      <c r="F60" t="b">
        <f t="shared" ca="1" si="0"/>
        <v>0</v>
      </c>
    </row>
    <row r="61" spans="1:6" x14ac:dyDescent="0.25">
      <c r="A61" t="s">
        <v>749</v>
      </c>
      <c r="B61" t="s">
        <v>946</v>
      </c>
      <c r="C61" t="s">
        <v>66</v>
      </c>
      <c r="D61" t="s">
        <v>66</v>
      </c>
      <c r="E61">
        <f ca="1">INDIRECT("'Sheet1'!BH1")</f>
        <v>0</v>
      </c>
      <c r="F61" t="b">
        <f t="shared" ca="1" si="0"/>
        <v>0</v>
      </c>
    </row>
    <row r="62" spans="1:6" x14ac:dyDescent="0.25">
      <c r="A62" t="s">
        <v>750</v>
      </c>
      <c r="B62" t="s">
        <v>947</v>
      </c>
      <c r="C62" t="s">
        <v>67</v>
      </c>
      <c r="D62" t="s">
        <v>67</v>
      </c>
      <c r="E62">
        <f ca="1">INDIRECT("'Sheet1'!BI1")</f>
        <v>0</v>
      </c>
      <c r="F62" t="b">
        <f t="shared" ca="1" si="0"/>
        <v>0</v>
      </c>
    </row>
    <row r="63" spans="1:6" x14ac:dyDescent="0.25">
      <c r="A63" t="s">
        <v>751</v>
      </c>
      <c r="B63" t="s">
        <v>948</v>
      </c>
      <c r="C63" t="s">
        <v>68</v>
      </c>
      <c r="D63" t="s">
        <v>68</v>
      </c>
      <c r="E63">
        <f ca="1">INDIRECT("'Sheet1'!BJ1")</f>
        <v>0</v>
      </c>
      <c r="F63" t="b">
        <f t="shared" ca="1" si="0"/>
        <v>0</v>
      </c>
    </row>
    <row r="64" spans="1:6" x14ac:dyDescent="0.25">
      <c r="A64" t="s">
        <v>752</v>
      </c>
      <c r="B64" t="s">
        <v>949</v>
      </c>
      <c r="C64" t="s">
        <v>69</v>
      </c>
      <c r="D64" t="s">
        <v>69</v>
      </c>
      <c r="E64">
        <f ca="1">INDIRECT("'Sheet1'!BK1")</f>
        <v>0</v>
      </c>
      <c r="F64" t="b">
        <f t="shared" ca="1" si="0"/>
        <v>0</v>
      </c>
    </row>
    <row r="65" spans="1:6" x14ac:dyDescent="0.25">
      <c r="A65" t="s">
        <v>753</v>
      </c>
      <c r="B65" t="s">
        <v>950</v>
      </c>
      <c r="C65" t="s">
        <v>70</v>
      </c>
      <c r="D65" t="s">
        <v>70</v>
      </c>
      <c r="E65">
        <f ca="1">INDIRECT("'Sheet1'!BL1")</f>
        <v>0</v>
      </c>
      <c r="F65" t="b">
        <f t="shared" ca="1" si="0"/>
        <v>0</v>
      </c>
    </row>
    <row r="66" spans="1:6" x14ac:dyDescent="0.25">
      <c r="A66" t="s">
        <v>754</v>
      </c>
      <c r="B66" t="s">
        <v>951</v>
      </c>
      <c r="C66" t="s">
        <v>71</v>
      </c>
      <c r="D66" t="s">
        <v>71</v>
      </c>
      <c r="E66">
        <f ca="1">INDIRECT("'Sheet1'!BM1")</f>
        <v>0</v>
      </c>
      <c r="F66" t="b">
        <f t="shared" ca="1" si="0"/>
        <v>0</v>
      </c>
    </row>
    <row r="67" spans="1:6" x14ac:dyDescent="0.25">
      <c r="A67" t="s">
        <v>755</v>
      </c>
      <c r="B67" t="s">
        <v>952</v>
      </c>
      <c r="C67" t="s">
        <v>72</v>
      </c>
      <c r="D67" t="s">
        <v>72</v>
      </c>
      <c r="E67">
        <f ca="1">INDIRECT("'Sheet1'!BN1")</f>
        <v>0</v>
      </c>
      <c r="F67" t="b">
        <f t="shared" ref="F67:F110" ca="1" si="1">E67=D67</f>
        <v>0</v>
      </c>
    </row>
    <row r="68" spans="1:6" x14ac:dyDescent="0.25">
      <c r="A68" t="s">
        <v>756</v>
      </c>
      <c r="B68" t="s">
        <v>953</v>
      </c>
      <c r="C68" t="s">
        <v>73</v>
      </c>
      <c r="D68" t="s">
        <v>73</v>
      </c>
      <c r="E68">
        <f ca="1">INDIRECT("'Sheet1'!BO1")</f>
        <v>0</v>
      </c>
      <c r="F68" t="b">
        <f t="shared" ca="1" si="1"/>
        <v>0</v>
      </c>
    </row>
    <row r="69" spans="1:6" x14ac:dyDescent="0.25">
      <c r="A69" t="s">
        <v>757</v>
      </c>
      <c r="B69" t="s">
        <v>954</v>
      </c>
      <c r="C69" t="s">
        <v>74</v>
      </c>
      <c r="D69" t="s">
        <v>74</v>
      </c>
      <c r="E69">
        <f ca="1">INDIRECT("'Sheet1'!BP1")</f>
        <v>0</v>
      </c>
      <c r="F69" t="b">
        <f t="shared" ca="1" si="1"/>
        <v>0</v>
      </c>
    </row>
    <row r="70" spans="1:6" x14ac:dyDescent="0.25">
      <c r="A70" t="s">
        <v>758</v>
      </c>
      <c r="B70" t="s">
        <v>955</v>
      </c>
      <c r="C70" t="s">
        <v>75</v>
      </c>
      <c r="D70" t="s">
        <v>75</v>
      </c>
      <c r="E70">
        <f ca="1">INDIRECT("'Sheet1'!BQ1")</f>
        <v>0</v>
      </c>
      <c r="F70" t="b">
        <f t="shared" ca="1" si="1"/>
        <v>0</v>
      </c>
    </row>
    <row r="71" spans="1:6" x14ac:dyDescent="0.25">
      <c r="A71" t="s">
        <v>759</v>
      </c>
      <c r="B71" t="s">
        <v>956</v>
      </c>
      <c r="C71" t="s">
        <v>76</v>
      </c>
      <c r="D71" t="s">
        <v>76</v>
      </c>
      <c r="E71">
        <f ca="1">INDIRECT("'Sheet1'!BR1")</f>
        <v>0</v>
      </c>
      <c r="F71" t="b">
        <f t="shared" ca="1" si="1"/>
        <v>0</v>
      </c>
    </row>
    <row r="72" spans="1:6" x14ac:dyDescent="0.25">
      <c r="A72" t="s">
        <v>760</v>
      </c>
      <c r="B72" t="s">
        <v>957</v>
      </c>
      <c r="C72" t="s">
        <v>77</v>
      </c>
      <c r="D72" t="s">
        <v>77</v>
      </c>
      <c r="E72">
        <f ca="1">INDIRECT("'Sheet1'!BS1")</f>
        <v>0</v>
      </c>
      <c r="F72" t="b">
        <f t="shared" ca="1" si="1"/>
        <v>0</v>
      </c>
    </row>
    <row r="73" spans="1:6" x14ac:dyDescent="0.25">
      <c r="A73" t="s">
        <v>761</v>
      </c>
      <c r="B73" t="s">
        <v>958</v>
      </c>
      <c r="C73" t="s">
        <v>78</v>
      </c>
      <c r="D73" t="s">
        <v>78</v>
      </c>
      <c r="E73">
        <f ca="1">INDIRECT("'Sheet1'!BT1")</f>
        <v>0</v>
      </c>
      <c r="F73" t="b">
        <f t="shared" ca="1" si="1"/>
        <v>0</v>
      </c>
    </row>
    <row r="74" spans="1:6" x14ac:dyDescent="0.25">
      <c r="A74" t="s">
        <v>762</v>
      </c>
      <c r="B74" t="s">
        <v>959</v>
      </c>
      <c r="C74" t="s">
        <v>79</v>
      </c>
      <c r="D74" t="s">
        <v>79</v>
      </c>
      <c r="E74">
        <f ca="1">INDIRECT("'Sheet1'!BU1")</f>
        <v>0</v>
      </c>
      <c r="F74" t="b">
        <f t="shared" ca="1" si="1"/>
        <v>0</v>
      </c>
    </row>
    <row r="75" spans="1:6" x14ac:dyDescent="0.25">
      <c r="A75" t="s">
        <v>763</v>
      </c>
      <c r="B75" t="s">
        <v>960</v>
      </c>
      <c r="C75" t="s">
        <v>80</v>
      </c>
      <c r="D75" t="s">
        <v>80</v>
      </c>
      <c r="E75">
        <f ca="1">INDIRECT("'Sheet1'!BV1")</f>
        <v>0</v>
      </c>
      <c r="F75" t="b">
        <f t="shared" ca="1" si="1"/>
        <v>0</v>
      </c>
    </row>
    <row r="76" spans="1:6" x14ac:dyDescent="0.25">
      <c r="A76" t="s">
        <v>764</v>
      </c>
      <c r="B76" t="s">
        <v>961</v>
      </c>
      <c r="C76" t="s">
        <v>81</v>
      </c>
      <c r="D76" t="s">
        <v>81</v>
      </c>
      <c r="E76">
        <f ca="1">INDIRECT("'Sheet1'!BW1")</f>
        <v>0</v>
      </c>
      <c r="F76" t="b">
        <f t="shared" ca="1" si="1"/>
        <v>0</v>
      </c>
    </row>
    <row r="77" spans="1:6" x14ac:dyDescent="0.25">
      <c r="A77" t="s">
        <v>765</v>
      </c>
      <c r="B77" t="s">
        <v>962</v>
      </c>
      <c r="C77" t="s">
        <v>82</v>
      </c>
      <c r="D77" t="s">
        <v>82</v>
      </c>
      <c r="E77">
        <f ca="1">INDIRECT("'Sheet1'!BX1")</f>
        <v>0</v>
      </c>
      <c r="F77" t="b">
        <f t="shared" ca="1" si="1"/>
        <v>0</v>
      </c>
    </row>
    <row r="78" spans="1:6" x14ac:dyDescent="0.25">
      <c r="A78" t="s">
        <v>766</v>
      </c>
      <c r="B78" t="s">
        <v>963</v>
      </c>
      <c r="C78" t="s">
        <v>83</v>
      </c>
      <c r="D78" t="s">
        <v>83</v>
      </c>
      <c r="E78">
        <f ca="1">INDIRECT("'Sheet1'!BY1")</f>
        <v>0</v>
      </c>
      <c r="F78" t="b">
        <f t="shared" ca="1" si="1"/>
        <v>0</v>
      </c>
    </row>
    <row r="79" spans="1:6" x14ac:dyDescent="0.25">
      <c r="A79" t="s">
        <v>767</v>
      </c>
      <c r="B79" t="s">
        <v>964</v>
      </c>
      <c r="C79" t="s">
        <v>84</v>
      </c>
      <c r="D79" t="s">
        <v>84</v>
      </c>
      <c r="E79">
        <f ca="1">INDIRECT("'Sheet1'!BZ1")</f>
        <v>0</v>
      </c>
      <c r="F79" t="b">
        <f t="shared" ca="1" si="1"/>
        <v>0</v>
      </c>
    </row>
    <row r="80" spans="1:6" x14ac:dyDescent="0.25">
      <c r="A80" t="s">
        <v>768</v>
      </c>
      <c r="B80" t="s">
        <v>965</v>
      </c>
      <c r="C80" t="s">
        <v>85</v>
      </c>
      <c r="D80" t="s">
        <v>85</v>
      </c>
      <c r="E80">
        <f ca="1">INDIRECT("'Sheet1'!CA1")</f>
        <v>0</v>
      </c>
      <c r="F80" t="b">
        <f t="shared" ca="1" si="1"/>
        <v>0</v>
      </c>
    </row>
    <row r="81" spans="1:6" x14ac:dyDescent="0.25">
      <c r="A81" t="s">
        <v>769</v>
      </c>
      <c r="B81" t="s">
        <v>966</v>
      </c>
      <c r="C81" t="s">
        <v>86</v>
      </c>
      <c r="D81" t="s">
        <v>86</v>
      </c>
      <c r="E81">
        <f ca="1">INDIRECT("'Sheet1'!CB1")</f>
        <v>0</v>
      </c>
      <c r="F81" t="b">
        <f t="shared" ca="1" si="1"/>
        <v>0</v>
      </c>
    </row>
    <row r="82" spans="1:6" x14ac:dyDescent="0.25">
      <c r="A82" t="s">
        <v>770</v>
      </c>
      <c r="B82" t="s">
        <v>967</v>
      </c>
      <c r="C82" t="s">
        <v>87</v>
      </c>
      <c r="D82" t="s">
        <v>87</v>
      </c>
      <c r="E82">
        <f ca="1">INDIRECT("'Sheet1'!CC1")</f>
        <v>0</v>
      </c>
      <c r="F82" t="b">
        <f t="shared" ca="1" si="1"/>
        <v>0</v>
      </c>
    </row>
    <row r="83" spans="1:6" x14ac:dyDescent="0.25">
      <c r="A83" t="s">
        <v>771</v>
      </c>
      <c r="B83" t="s">
        <v>968</v>
      </c>
      <c r="C83" t="s">
        <v>88</v>
      </c>
      <c r="D83" t="s">
        <v>88</v>
      </c>
      <c r="E83">
        <f ca="1">INDIRECT("'Sheet1'!CD1")</f>
        <v>0</v>
      </c>
      <c r="F83" t="b">
        <f t="shared" ca="1" si="1"/>
        <v>0</v>
      </c>
    </row>
    <row r="84" spans="1:6" x14ac:dyDescent="0.25">
      <c r="A84" t="s">
        <v>772</v>
      </c>
      <c r="B84" t="s">
        <v>789</v>
      </c>
      <c r="C84" t="s">
        <v>94</v>
      </c>
      <c r="D84" t="s">
        <v>684</v>
      </c>
      <c r="E84">
        <f ca="1">INDIRECT("'Sheet1'!CE1")</f>
        <v>0</v>
      </c>
      <c r="F84" t="b">
        <f t="shared" ca="1" si="1"/>
        <v>0</v>
      </c>
    </row>
    <row r="86" spans="1:6" x14ac:dyDescent="0.25">
      <c r="A86" t="s">
        <v>773</v>
      </c>
      <c r="B86" t="s">
        <v>798</v>
      </c>
      <c r="C86" t="s">
        <v>7</v>
      </c>
      <c r="D86" t="s">
        <v>8</v>
      </c>
      <c r="E86">
        <f ca="1">INDIRECT("'Sheet1'!A2")</f>
        <v>0</v>
      </c>
      <c r="F86" t="b">
        <f t="shared" ca="1" si="1"/>
        <v>0</v>
      </c>
    </row>
    <row r="87" spans="1:6" x14ac:dyDescent="0.25">
      <c r="A87" t="s">
        <v>774</v>
      </c>
      <c r="B87" t="s">
        <v>685</v>
      </c>
      <c r="C87" t="s">
        <v>9</v>
      </c>
      <c r="D87" t="s">
        <v>670</v>
      </c>
      <c r="E87">
        <f ca="1">INDIRECT("'Sheet1'!B2")</f>
        <v>0</v>
      </c>
      <c r="F87" t="b">
        <f t="shared" ca="1" si="1"/>
        <v>0</v>
      </c>
    </row>
    <row r="88" spans="1:6" x14ac:dyDescent="0.25">
      <c r="A88" t="s">
        <v>775</v>
      </c>
      <c r="B88" t="s">
        <v>89</v>
      </c>
      <c r="C88" t="s">
        <v>0</v>
      </c>
      <c r="D88" t="s">
        <v>2</v>
      </c>
      <c r="E88">
        <f ca="1">INDIRECT("'Sheet1'!H2")</f>
        <v>0</v>
      </c>
      <c r="F88" t="b">
        <f t="shared" ca="1" si="1"/>
        <v>0</v>
      </c>
    </row>
    <row r="89" spans="1:6" x14ac:dyDescent="0.25">
      <c r="A89" t="s">
        <v>776</v>
      </c>
      <c r="B89" t="s">
        <v>1045</v>
      </c>
      <c r="C89" t="s">
        <v>12</v>
      </c>
      <c r="D89">
        <v>50</v>
      </c>
      <c r="E89">
        <f ca="1">INDIRECT("'Sheet1'!E2")</f>
        <v>0</v>
      </c>
      <c r="F89" t="b">
        <f t="shared" ca="1" si="1"/>
        <v>0</v>
      </c>
    </row>
    <row r="90" spans="1:6" x14ac:dyDescent="0.25">
      <c r="A90" t="s">
        <v>777</v>
      </c>
      <c r="B90" t="s">
        <v>790</v>
      </c>
      <c r="C90" t="s">
        <v>13</v>
      </c>
      <c r="D90" s="2" t="s">
        <v>670</v>
      </c>
      <c r="E90" s="4">
        <f ca="1">INDIRECT("'Sheet1'!F2")</f>
        <v>0</v>
      </c>
      <c r="F90" t="b">
        <f t="shared" ca="1" si="1"/>
        <v>0</v>
      </c>
    </row>
    <row r="91" spans="1:6" x14ac:dyDescent="0.25">
      <c r="A91" t="s">
        <v>778</v>
      </c>
      <c r="B91" t="s">
        <v>688</v>
      </c>
      <c r="C91" t="s">
        <v>14</v>
      </c>
      <c r="D91" t="s">
        <v>671</v>
      </c>
      <c r="E91">
        <f ca="1">INDIRECT("'Sheet1'!G2")</f>
        <v>0</v>
      </c>
      <c r="F91" t="b">
        <f t="shared" ca="1" si="1"/>
        <v>0</v>
      </c>
    </row>
    <row r="92" spans="1:6" x14ac:dyDescent="0.25">
      <c r="A92" t="s">
        <v>779</v>
      </c>
      <c r="B92" t="s">
        <v>791</v>
      </c>
      <c r="C92" t="s">
        <v>147</v>
      </c>
      <c r="E92">
        <f ca="1">SUM(INDIRECT("'Sheet1'!I2:R5"))</f>
        <v>0</v>
      </c>
      <c r="F92" t="b">
        <f t="shared" ca="1" si="1"/>
        <v>1</v>
      </c>
    </row>
    <row r="93" spans="1:6" x14ac:dyDescent="0.25">
      <c r="A93" t="s">
        <v>780</v>
      </c>
      <c r="B93" t="s">
        <v>792</v>
      </c>
      <c r="C93" t="s">
        <v>148</v>
      </c>
      <c r="E93">
        <f ca="1">SUM(INDIRECT("'Sheet1'!S2:R38"))</f>
        <v>0</v>
      </c>
      <c r="F93" t="b">
        <f t="shared" ca="1" si="1"/>
        <v>1</v>
      </c>
    </row>
    <row r="94" spans="1:6" x14ac:dyDescent="0.25">
      <c r="A94" t="s">
        <v>781</v>
      </c>
      <c r="B94" t="s">
        <v>793</v>
      </c>
      <c r="C94" t="s">
        <v>149</v>
      </c>
      <c r="E94">
        <f ca="1">SUM(INDIRECT("'Sheet1'!AN2:BA85"))</f>
        <v>0</v>
      </c>
      <c r="F94" t="b">
        <f t="shared" ca="1" si="1"/>
        <v>1</v>
      </c>
    </row>
    <row r="95" spans="1:6" x14ac:dyDescent="0.25">
      <c r="A95" t="s">
        <v>782</v>
      </c>
      <c r="B95" t="s">
        <v>794</v>
      </c>
      <c r="C95" t="s">
        <v>150</v>
      </c>
      <c r="E95">
        <f ca="1">SUM(INDIRECT("'Sheet1'!BB2:BV132"))</f>
        <v>0</v>
      </c>
      <c r="F95" t="b">
        <f t="shared" ca="1" si="1"/>
        <v>1</v>
      </c>
    </row>
    <row r="96" spans="1:6" x14ac:dyDescent="0.25">
      <c r="A96" t="s">
        <v>783</v>
      </c>
      <c r="B96" t="s">
        <v>795</v>
      </c>
      <c r="C96" t="s">
        <v>152</v>
      </c>
      <c r="E96">
        <f ca="1">SUM(INDIRECT("'Sheet1'!BW2:BX179"))</f>
        <v>0</v>
      </c>
      <c r="F96" t="b">
        <f t="shared" ca="1" si="1"/>
        <v>1</v>
      </c>
    </row>
    <row r="97" spans="1:6 16384:16384" x14ac:dyDescent="0.25">
      <c r="A97" t="s">
        <v>784</v>
      </c>
      <c r="B97" t="s">
        <v>796</v>
      </c>
      <c r="C97" t="s">
        <v>151</v>
      </c>
      <c r="E97">
        <f ca="1">SUM(INDIRECT("'Sheet1'!BY2:CA39"))</f>
        <v>0</v>
      </c>
      <c r="F97" t="b">
        <f t="shared" ca="1" si="1"/>
        <v>1</v>
      </c>
    </row>
    <row r="98" spans="1:6 16384:16384" x14ac:dyDescent="0.25">
      <c r="A98" t="s">
        <v>785</v>
      </c>
      <c r="B98" t="s">
        <v>797</v>
      </c>
      <c r="C98" t="s">
        <v>153</v>
      </c>
      <c r="E98">
        <f ca="1">SUM(INDIRECT("'Sheet1'!CB2:CD39"))</f>
        <v>0</v>
      </c>
      <c r="F98" t="b">
        <f t="shared" ca="1" si="1"/>
        <v>1</v>
      </c>
    </row>
    <row r="100" spans="1:6 16384:16384" x14ac:dyDescent="0.25">
      <c r="A100" t="s">
        <v>99</v>
      </c>
      <c r="B100" t="s">
        <v>799</v>
      </c>
      <c r="C100" t="s">
        <v>7</v>
      </c>
      <c r="D100" t="s">
        <v>91</v>
      </c>
      <c r="E100">
        <f ca="1">INDIRECT("'Sheet1'!A3")</f>
        <v>0</v>
      </c>
      <c r="F100" t="b">
        <f t="shared" ca="1" si="1"/>
        <v>0</v>
      </c>
    </row>
    <row r="101" spans="1:6 16384:16384" x14ac:dyDescent="0.25">
      <c r="A101" t="s">
        <v>100</v>
      </c>
      <c r="B101" t="s">
        <v>89</v>
      </c>
      <c r="C101" t="s">
        <v>0</v>
      </c>
      <c r="D101" t="s">
        <v>1</v>
      </c>
      <c r="E101" s="1">
        <f ca="1">INDIRECT("'Sheet1'!H3")</f>
        <v>0</v>
      </c>
      <c r="F101" t="b">
        <f t="shared" ca="1" si="1"/>
        <v>0</v>
      </c>
    </row>
    <row r="102" spans="1:6 16384:16384" x14ac:dyDescent="0.25">
      <c r="A102" t="s">
        <v>101</v>
      </c>
      <c r="B102" t="s">
        <v>1045</v>
      </c>
      <c r="C102" t="s">
        <v>12</v>
      </c>
      <c r="D102">
        <v>52</v>
      </c>
      <c r="E102">
        <f ca="1">INDIRECT("'Sheet1'!E3")</f>
        <v>0</v>
      </c>
      <c r="F102" t="b">
        <f t="shared" ca="1" si="1"/>
        <v>0</v>
      </c>
    </row>
    <row r="103" spans="1:6 16384:16384" x14ac:dyDescent="0.25">
      <c r="A103" t="s">
        <v>102</v>
      </c>
      <c r="B103" t="s">
        <v>790</v>
      </c>
      <c r="C103" t="s">
        <v>13</v>
      </c>
      <c r="D103" s="4" t="s">
        <v>670</v>
      </c>
      <c r="E103" s="4">
        <f ca="1">INDIRECT("'Sheet1'!F3")</f>
        <v>0</v>
      </c>
      <c r="F103" t="b">
        <f t="shared" ca="1" si="1"/>
        <v>0</v>
      </c>
    </row>
    <row r="104" spans="1:6 16384:16384" x14ac:dyDescent="0.25">
      <c r="A104" t="s">
        <v>103</v>
      </c>
      <c r="B104" t="s">
        <v>688</v>
      </c>
      <c r="C104" t="s">
        <v>14</v>
      </c>
      <c r="D104" t="s">
        <v>672</v>
      </c>
      <c r="E104">
        <f ca="1">INDIRECT("'Sheet1'!G3")</f>
        <v>0</v>
      </c>
      <c r="F104" t="b">
        <f t="shared" ca="1" si="1"/>
        <v>0</v>
      </c>
    </row>
    <row r="106" spans="1:6 16384:16384" x14ac:dyDescent="0.25">
      <c r="A106" t="s">
        <v>104</v>
      </c>
      <c r="B106" t="s">
        <v>800</v>
      </c>
      <c r="C106" t="s">
        <v>7</v>
      </c>
      <c r="D106" t="s">
        <v>90</v>
      </c>
      <c r="E106">
        <f ca="1">INDIRECT("'Sheet1'!A4")</f>
        <v>0</v>
      </c>
      <c r="F106" t="b">
        <f t="shared" ca="1" si="1"/>
        <v>0</v>
      </c>
      <c r="XFD106" t="s">
        <v>6</v>
      </c>
    </row>
    <row r="107" spans="1:6 16384:16384" x14ac:dyDescent="0.25">
      <c r="A107" t="s">
        <v>105</v>
      </c>
      <c r="B107" t="s">
        <v>1043</v>
      </c>
      <c r="C107" t="s">
        <v>9</v>
      </c>
      <c r="E107">
        <f ca="1">INDIRECT("'Sheet1'!B4")</f>
        <v>0</v>
      </c>
      <c r="F107" t="b">
        <f t="shared" ca="1" si="1"/>
        <v>1</v>
      </c>
    </row>
    <row r="108" spans="1:6 16384:16384" x14ac:dyDescent="0.25">
      <c r="A108" t="s">
        <v>1047</v>
      </c>
      <c r="B108" t="s">
        <v>1050</v>
      </c>
      <c r="C108" t="s">
        <v>10</v>
      </c>
      <c r="E108">
        <f ca="1">INDIRECT("'Sheet1'!C4")</f>
        <v>0</v>
      </c>
      <c r="F108" t="b">
        <f t="shared" ca="1" si="1"/>
        <v>1</v>
      </c>
    </row>
    <row r="109" spans="1:6 16384:16384" x14ac:dyDescent="0.25">
      <c r="A109" t="s">
        <v>1048</v>
      </c>
      <c r="B109" t="s">
        <v>1051</v>
      </c>
      <c r="C109" t="s">
        <v>11</v>
      </c>
      <c r="E109">
        <f ca="1">INDIRECT("'Sheet1'!D4")</f>
        <v>0</v>
      </c>
      <c r="F109" t="b">
        <f t="shared" ca="1" si="1"/>
        <v>1</v>
      </c>
    </row>
    <row r="110" spans="1:6 16384:16384" x14ac:dyDescent="0.25">
      <c r="A110" t="s">
        <v>1049</v>
      </c>
      <c r="B110" t="s">
        <v>98</v>
      </c>
      <c r="C110" t="s">
        <v>0</v>
      </c>
      <c r="E110">
        <f ca="1">INDIRECT("'Sheet1'!H4")</f>
        <v>0</v>
      </c>
      <c r="F110" t="b">
        <f t="shared" ca="1" si="1"/>
        <v>1</v>
      </c>
    </row>
    <row r="112" spans="1:6 16384:16384" x14ac:dyDescent="0.25">
      <c r="A112" t="s">
        <v>106</v>
      </c>
      <c r="B112" t="s">
        <v>687</v>
      </c>
      <c r="C112" t="s">
        <v>7</v>
      </c>
      <c r="E112">
        <f ca="1">INDIRECT("'Sheet1'!A5")</f>
        <v>0</v>
      </c>
      <c r="F112" t="b">
        <f ca="1">E112=D112</f>
        <v>1</v>
      </c>
    </row>
    <row r="113" spans="1:6" x14ac:dyDescent="0.25">
      <c r="A113" t="s">
        <v>531</v>
      </c>
      <c r="B113" t="s">
        <v>1054</v>
      </c>
      <c r="C113" t="s">
        <v>10</v>
      </c>
      <c r="D113">
        <v>186</v>
      </c>
      <c r="E113">
        <f ca="1">INDIRECT("'Sheet1'!C5")</f>
        <v>0</v>
      </c>
      <c r="F113" t="b">
        <f ca="1">E113=D113</f>
        <v>0</v>
      </c>
    </row>
    <row r="114" spans="1:6" x14ac:dyDescent="0.25">
      <c r="A114" t="s">
        <v>1052</v>
      </c>
      <c r="B114" t="s">
        <v>1055</v>
      </c>
      <c r="C114" t="s">
        <v>11</v>
      </c>
      <c r="D114" t="s">
        <v>482</v>
      </c>
      <c r="E114">
        <f ca="1">INDIRECT("'Sheet1'!D5")</f>
        <v>0</v>
      </c>
      <c r="F114" t="b">
        <f ca="1">E114=D114</f>
        <v>0</v>
      </c>
    </row>
    <row r="115" spans="1:6" x14ac:dyDescent="0.25">
      <c r="A115" t="s">
        <v>1052</v>
      </c>
      <c r="B115" t="s">
        <v>688</v>
      </c>
      <c r="C115" t="s">
        <v>14</v>
      </c>
      <c r="D115" t="s">
        <v>671</v>
      </c>
      <c r="E115">
        <f ca="1">INDIRECT("'Sheet1'!G5")</f>
        <v>0</v>
      </c>
      <c r="F115" t="b">
        <f ca="1">E115=D115</f>
        <v>0</v>
      </c>
    </row>
    <row r="116" spans="1:6" x14ac:dyDescent="0.25">
      <c r="A116" t="s">
        <v>1053</v>
      </c>
      <c r="B116" t="s">
        <v>1046</v>
      </c>
      <c r="C116" t="s">
        <v>12</v>
      </c>
      <c r="D116">
        <v>51.5</v>
      </c>
      <c r="E116">
        <f ca="1">INDIRECT("'Sheet1'!E5")</f>
        <v>0</v>
      </c>
      <c r="F116" t="b">
        <f ca="1">E116=D116</f>
        <v>0</v>
      </c>
    </row>
    <row r="118" spans="1:6" x14ac:dyDescent="0.25">
      <c r="A118" t="s">
        <v>107</v>
      </c>
      <c r="B118" t="s">
        <v>803</v>
      </c>
      <c r="C118" t="s">
        <v>15</v>
      </c>
      <c r="D118">
        <v>47</v>
      </c>
      <c r="E118">
        <f ca="1">INDIRECT("'Sheet1'!I6")</f>
        <v>0</v>
      </c>
      <c r="F118" t="b">
        <f ca="1">E118=D118</f>
        <v>0</v>
      </c>
    </row>
    <row r="119" spans="1:6" x14ac:dyDescent="0.25">
      <c r="A119" t="s">
        <v>535</v>
      </c>
      <c r="B119" t="s">
        <v>856</v>
      </c>
      <c r="C119" t="s">
        <v>16</v>
      </c>
      <c r="D119" t="s">
        <v>673</v>
      </c>
      <c r="E119">
        <f ca="1">INDIRECT("'Sheet1'!J6")</f>
        <v>0</v>
      </c>
      <c r="F119" t="b">
        <f ca="1">E119=D119</f>
        <v>0</v>
      </c>
    </row>
    <row r="121" spans="1:6" x14ac:dyDescent="0.25">
      <c r="A121" t="s">
        <v>108</v>
      </c>
      <c r="B121" t="s">
        <v>803</v>
      </c>
      <c r="C121" t="s">
        <v>15</v>
      </c>
      <c r="D121">
        <v>47</v>
      </c>
      <c r="E121">
        <f ca="1">INDIRECT("'Sheet1'!I7")</f>
        <v>0</v>
      </c>
      <c r="F121" t="b">
        <f ca="1">E121=D121</f>
        <v>0</v>
      </c>
    </row>
    <row r="122" spans="1:6" x14ac:dyDescent="0.25">
      <c r="A122" t="s">
        <v>123</v>
      </c>
      <c r="B122" t="s">
        <v>873</v>
      </c>
      <c r="C122" t="s">
        <v>16</v>
      </c>
      <c r="D122" t="s">
        <v>871</v>
      </c>
      <c r="E122">
        <f ca="1">INDIRECT("'Sheet1'!J7")</f>
        <v>0</v>
      </c>
      <c r="F122" t="b">
        <f t="shared" ref="F122" ca="1" si="2">E122=D122</f>
        <v>0</v>
      </c>
    </row>
    <row r="124" spans="1:6" x14ac:dyDescent="0.25">
      <c r="A124" t="s">
        <v>109</v>
      </c>
      <c r="B124" t="s">
        <v>803</v>
      </c>
      <c r="C124" t="s">
        <v>15</v>
      </c>
      <c r="D124">
        <v>47.5</v>
      </c>
      <c r="E124">
        <f ca="1">INDIRECT("'Sheet1'!I8")</f>
        <v>0</v>
      </c>
      <c r="F124" t="b">
        <f ca="1">E124=D124</f>
        <v>0</v>
      </c>
    </row>
    <row r="125" spans="1:6" x14ac:dyDescent="0.25">
      <c r="A125" t="s">
        <v>110</v>
      </c>
      <c r="B125" t="s">
        <v>856</v>
      </c>
      <c r="C125" t="s">
        <v>16</v>
      </c>
      <c r="D125" t="s">
        <v>673</v>
      </c>
      <c r="E125">
        <f ca="1">INDIRECT("'Sheet1'!J8")</f>
        <v>0</v>
      </c>
      <c r="F125" t="b">
        <f t="shared" ref="F125" ca="1" si="3">E125=D125</f>
        <v>0</v>
      </c>
    </row>
    <row r="127" spans="1:6" x14ac:dyDescent="0.25">
      <c r="A127" t="s">
        <v>111</v>
      </c>
      <c r="B127" t="s">
        <v>803</v>
      </c>
      <c r="C127" t="s">
        <v>15</v>
      </c>
      <c r="D127">
        <v>47.5</v>
      </c>
      <c r="E127">
        <f ca="1">INDIRECT("'Sheet1'!I9")</f>
        <v>0</v>
      </c>
      <c r="F127" t="b">
        <f ca="1">E127=D127</f>
        <v>0</v>
      </c>
    </row>
    <row r="128" spans="1:6" x14ac:dyDescent="0.25">
      <c r="A128" t="s">
        <v>112</v>
      </c>
      <c r="B128" t="s">
        <v>874</v>
      </c>
      <c r="C128" t="s">
        <v>16</v>
      </c>
      <c r="D128" t="s">
        <v>872</v>
      </c>
      <c r="E128">
        <f ca="1">INDIRECT("'Sheet1'!J9")</f>
        <v>0</v>
      </c>
      <c r="F128" t="b">
        <f t="shared" ref="F128:F152" ca="1" si="4">E128=D128</f>
        <v>0</v>
      </c>
    </row>
    <row r="130" spans="1:6" x14ac:dyDescent="0.25">
      <c r="A130" t="s">
        <v>113</v>
      </c>
      <c r="B130" t="s">
        <v>875</v>
      </c>
      <c r="C130" t="s">
        <v>17</v>
      </c>
      <c r="D130">
        <v>46</v>
      </c>
      <c r="E130">
        <f ca="1">INDIRECT("'Sheet1'!K10")</f>
        <v>0</v>
      </c>
      <c r="F130" t="b">
        <f t="shared" ca="1" si="4"/>
        <v>0</v>
      </c>
    </row>
    <row r="131" spans="1:6" x14ac:dyDescent="0.25">
      <c r="A131" t="s">
        <v>114</v>
      </c>
      <c r="B131" t="s">
        <v>857</v>
      </c>
      <c r="C131" t="s">
        <v>18</v>
      </c>
      <c r="D131" t="s">
        <v>673</v>
      </c>
      <c r="E131" s="4">
        <f ca="1">INDIRECT("'Sheet1'!L10")</f>
        <v>0</v>
      </c>
      <c r="F131" t="b">
        <f t="shared" ca="1" si="4"/>
        <v>0</v>
      </c>
    </row>
    <row r="133" spans="1:6" x14ac:dyDescent="0.25">
      <c r="A133" t="s">
        <v>115</v>
      </c>
      <c r="B133" t="s">
        <v>875</v>
      </c>
      <c r="C133" t="s">
        <v>17</v>
      </c>
      <c r="D133">
        <v>46</v>
      </c>
      <c r="E133">
        <f ca="1">INDIRECT("'Sheet1'!K11")</f>
        <v>0</v>
      </c>
      <c r="F133" t="b">
        <f t="shared" ca="1" si="4"/>
        <v>0</v>
      </c>
    </row>
    <row r="134" spans="1:6" x14ac:dyDescent="0.25">
      <c r="A134" t="s">
        <v>116</v>
      </c>
      <c r="B134" t="s">
        <v>877</v>
      </c>
      <c r="C134" t="s">
        <v>18</v>
      </c>
      <c r="D134" t="s">
        <v>871</v>
      </c>
      <c r="E134" s="4">
        <f ca="1">INDIRECT("'Sheet1'!L11")</f>
        <v>0</v>
      </c>
      <c r="F134" t="b">
        <f t="shared" ca="1" si="4"/>
        <v>0</v>
      </c>
    </row>
    <row r="136" spans="1:6" x14ac:dyDescent="0.25">
      <c r="A136" t="s">
        <v>117</v>
      </c>
      <c r="B136" t="s">
        <v>875</v>
      </c>
      <c r="C136" t="s">
        <v>17</v>
      </c>
      <c r="D136">
        <v>46.4</v>
      </c>
      <c r="E136">
        <f ca="1">INDIRECT("'Sheet1'!K12")</f>
        <v>0</v>
      </c>
      <c r="F136" t="b">
        <f t="shared" ca="1" si="4"/>
        <v>0</v>
      </c>
    </row>
    <row r="137" spans="1:6" x14ac:dyDescent="0.25">
      <c r="A137" t="s">
        <v>118</v>
      </c>
      <c r="B137" t="s">
        <v>857</v>
      </c>
      <c r="C137" t="s">
        <v>18</v>
      </c>
      <c r="D137" t="s">
        <v>673</v>
      </c>
      <c r="E137" s="4">
        <f ca="1">INDIRECT("'Sheet1'!L12")</f>
        <v>0</v>
      </c>
      <c r="F137" t="b">
        <f t="shared" ca="1" si="4"/>
        <v>0</v>
      </c>
    </row>
    <row r="139" spans="1:6" x14ac:dyDescent="0.25">
      <c r="A139" t="s">
        <v>119</v>
      </c>
      <c r="B139" t="s">
        <v>875</v>
      </c>
      <c r="C139" t="s">
        <v>17</v>
      </c>
      <c r="D139">
        <v>46.4</v>
      </c>
      <c r="E139">
        <f ca="1">INDIRECT("'Sheet1'!K13")</f>
        <v>0</v>
      </c>
      <c r="F139" t="b">
        <f t="shared" ca="1" si="4"/>
        <v>0</v>
      </c>
    </row>
    <row r="140" spans="1:6" x14ac:dyDescent="0.25">
      <c r="A140" t="s">
        <v>120</v>
      </c>
      <c r="B140" t="s">
        <v>876</v>
      </c>
      <c r="C140" t="s">
        <v>18</v>
      </c>
      <c r="D140" t="s">
        <v>872</v>
      </c>
      <c r="E140" s="4">
        <f ca="1">INDIRECT("'Sheet1'!L13")</f>
        <v>0</v>
      </c>
      <c r="F140" t="b">
        <f t="shared" ca="1" si="4"/>
        <v>0</v>
      </c>
    </row>
    <row r="142" spans="1:6" x14ac:dyDescent="0.25">
      <c r="A142" t="s">
        <v>121</v>
      </c>
      <c r="B142" t="s">
        <v>878</v>
      </c>
      <c r="C142" t="s">
        <v>19</v>
      </c>
      <c r="D142">
        <v>45</v>
      </c>
      <c r="E142">
        <f ca="1">INDIRECT("'Sheet1'!M14")</f>
        <v>0</v>
      </c>
      <c r="F142" t="b">
        <f t="shared" ca="1" si="4"/>
        <v>0</v>
      </c>
    </row>
    <row r="143" spans="1:6" x14ac:dyDescent="0.25">
      <c r="A143" t="s">
        <v>122</v>
      </c>
      <c r="B143" t="s">
        <v>858</v>
      </c>
      <c r="C143" t="s">
        <v>20</v>
      </c>
      <c r="D143" t="s">
        <v>673</v>
      </c>
      <c r="E143" s="4">
        <f ca="1">INDIRECT("'Sheet1'!N14")</f>
        <v>0</v>
      </c>
      <c r="F143" t="b">
        <f t="shared" ca="1" si="4"/>
        <v>0</v>
      </c>
    </row>
    <row r="145" spans="1:6" x14ac:dyDescent="0.25">
      <c r="A145" t="s">
        <v>124</v>
      </c>
      <c r="B145" t="s">
        <v>878</v>
      </c>
      <c r="C145" t="s">
        <v>19</v>
      </c>
      <c r="D145">
        <v>45</v>
      </c>
      <c r="E145">
        <f ca="1">INDIRECT("'Sheet1'!M15")</f>
        <v>0</v>
      </c>
      <c r="F145" t="b">
        <f t="shared" ca="1" si="4"/>
        <v>0</v>
      </c>
    </row>
    <row r="146" spans="1:6" x14ac:dyDescent="0.25">
      <c r="A146" t="s">
        <v>125</v>
      </c>
      <c r="B146" t="s">
        <v>880</v>
      </c>
      <c r="C146" t="s">
        <v>20</v>
      </c>
      <c r="D146" t="s">
        <v>871</v>
      </c>
      <c r="E146" s="4">
        <f ca="1">INDIRECT("'Sheet1'!N15")</f>
        <v>0</v>
      </c>
      <c r="F146" t="b">
        <f t="shared" ca="1" si="4"/>
        <v>0</v>
      </c>
    </row>
    <row r="148" spans="1:6" x14ac:dyDescent="0.25">
      <c r="A148" t="s">
        <v>126</v>
      </c>
      <c r="B148" t="s">
        <v>878</v>
      </c>
      <c r="C148" t="s">
        <v>19</v>
      </c>
      <c r="D148">
        <v>45.3</v>
      </c>
      <c r="E148">
        <f ca="1">INDIRECT("'Sheet1'!M16")</f>
        <v>0</v>
      </c>
      <c r="F148" t="b">
        <f t="shared" ca="1" si="4"/>
        <v>0</v>
      </c>
    </row>
    <row r="149" spans="1:6" x14ac:dyDescent="0.25">
      <c r="A149" t="s">
        <v>127</v>
      </c>
      <c r="B149" t="s">
        <v>858</v>
      </c>
      <c r="C149" t="s">
        <v>20</v>
      </c>
      <c r="D149" t="s">
        <v>673</v>
      </c>
      <c r="E149" s="4">
        <f ca="1">INDIRECT("'Sheet1'!N16")</f>
        <v>0</v>
      </c>
      <c r="F149" t="b">
        <f t="shared" ca="1" si="4"/>
        <v>0</v>
      </c>
    </row>
    <row r="151" spans="1:6" x14ac:dyDescent="0.25">
      <c r="A151" t="s">
        <v>128</v>
      </c>
      <c r="B151" t="s">
        <v>878</v>
      </c>
      <c r="C151" t="s">
        <v>19</v>
      </c>
      <c r="D151">
        <v>45.3</v>
      </c>
      <c r="E151">
        <f ca="1">INDIRECT("'Sheet1'!M17")</f>
        <v>0</v>
      </c>
      <c r="F151" t="b">
        <f t="shared" ca="1" si="4"/>
        <v>0</v>
      </c>
    </row>
    <row r="152" spans="1:6" x14ac:dyDescent="0.25">
      <c r="A152" t="s">
        <v>129</v>
      </c>
      <c r="B152" t="s">
        <v>879</v>
      </c>
      <c r="C152" t="s">
        <v>20</v>
      </c>
      <c r="D152" t="s">
        <v>872</v>
      </c>
      <c r="E152" s="4">
        <f ca="1">INDIRECT("'Sheet1'!N17")</f>
        <v>0</v>
      </c>
      <c r="F152" t="b">
        <f t="shared" ca="1" si="4"/>
        <v>0</v>
      </c>
    </row>
    <row r="153" spans="1:6" x14ac:dyDescent="0.25">
      <c r="E153" s="4"/>
    </row>
    <row r="154" spans="1:6" x14ac:dyDescent="0.25">
      <c r="A154" t="s">
        <v>130</v>
      </c>
      <c r="B154" t="s">
        <v>881</v>
      </c>
      <c r="C154" t="s">
        <v>21</v>
      </c>
      <c r="D154">
        <v>44</v>
      </c>
      <c r="E154">
        <f ca="1">INDIRECT("'Sheet1'!O18")</f>
        <v>0</v>
      </c>
      <c r="F154" t="b">
        <f t="shared" ref="F154:F155" ca="1" si="5">E154=D154</f>
        <v>0</v>
      </c>
    </row>
    <row r="155" spans="1:6" x14ac:dyDescent="0.25">
      <c r="A155" t="s">
        <v>131</v>
      </c>
      <c r="B155" t="s">
        <v>859</v>
      </c>
      <c r="C155" t="s">
        <v>22</v>
      </c>
      <c r="D155" t="s">
        <v>673</v>
      </c>
      <c r="E155">
        <f ca="1">INDIRECT("'Sheet1'!P18")</f>
        <v>0</v>
      </c>
      <c r="F155" t="b">
        <f t="shared" ca="1" si="5"/>
        <v>0</v>
      </c>
    </row>
    <row r="157" spans="1:6" x14ac:dyDescent="0.25">
      <c r="A157" t="s">
        <v>132</v>
      </c>
      <c r="B157" t="s">
        <v>881</v>
      </c>
      <c r="C157" t="s">
        <v>21</v>
      </c>
      <c r="D157">
        <v>44</v>
      </c>
      <c r="E157">
        <f ca="1">INDIRECT("'Sheet1'!O19")</f>
        <v>0</v>
      </c>
      <c r="F157" t="b">
        <f t="shared" ref="F157:F158" ca="1" si="6">E157=D157</f>
        <v>0</v>
      </c>
    </row>
    <row r="158" spans="1:6" x14ac:dyDescent="0.25">
      <c r="A158" t="s">
        <v>133</v>
      </c>
      <c r="B158" t="s">
        <v>882</v>
      </c>
      <c r="C158" t="s">
        <v>20</v>
      </c>
      <c r="D158" t="s">
        <v>871</v>
      </c>
      <c r="E158">
        <f ca="1">INDIRECT("'Sheet1'!P19")</f>
        <v>0</v>
      </c>
      <c r="F158" t="b">
        <f t="shared" ca="1" si="6"/>
        <v>0</v>
      </c>
    </row>
    <row r="160" spans="1:6" x14ac:dyDescent="0.25">
      <c r="A160" t="s">
        <v>134</v>
      </c>
      <c r="B160" t="s">
        <v>881</v>
      </c>
      <c r="C160" t="s">
        <v>21</v>
      </c>
      <c r="D160">
        <v>44.2</v>
      </c>
      <c r="E160">
        <f ca="1">INDIRECT("'Sheet1'!O20")</f>
        <v>0</v>
      </c>
      <c r="F160" t="b">
        <f t="shared" ref="F160:F161" ca="1" si="7">E160=D160</f>
        <v>0</v>
      </c>
    </row>
    <row r="161" spans="1:6" x14ac:dyDescent="0.25">
      <c r="A161" t="s">
        <v>135</v>
      </c>
      <c r="B161" t="s">
        <v>859</v>
      </c>
      <c r="C161" t="s">
        <v>22</v>
      </c>
      <c r="D161" t="s">
        <v>673</v>
      </c>
      <c r="E161">
        <f ca="1">INDIRECT("'Sheet1'!P20")</f>
        <v>0</v>
      </c>
      <c r="F161" t="b">
        <f t="shared" ca="1" si="7"/>
        <v>0</v>
      </c>
    </row>
    <row r="163" spans="1:6" x14ac:dyDescent="0.25">
      <c r="A163" t="s">
        <v>136</v>
      </c>
      <c r="B163" t="s">
        <v>881</v>
      </c>
      <c r="C163" t="s">
        <v>21</v>
      </c>
      <c r="D163">
        <v>44.2</v>
      </c>
      <c r="E163">
        <f ca="1">INDIRECT("'Sheet1'!O21")</f>
        <v>0</v>
      </c>
      <c r="F163" t="b">
        <f t="shared" ref="F163:F164" ca="1" si="8">E163=D163</f>
        <v>0</v>
      </c>
    </row>
    <row r="164" spans="1:6" x14ac:dyDescent="0.25">
      <c r="A164" t="s">
        <v>137</v>
      </c>
      <c r="B164" t="s">
        <v>883</v>
      </c>
      <c r="C164" t="s">
        <v>22</v>
      </c>
      <c r="D164" t="s">
        <v>872</v>
      </c>
      <c r="E164">
        <f ca="1">INDIRECT("'Sheet1'!P21")</f>
        <v>0</v>
      </c>
      <c r="F164" t="b">
        <f t="shared" ca="1" si="8"/>
        <v>0</v>
      </c>
    </row>
    <row r="166" spans="1:6" x14ac:dyDescent="0.25">
      <c r="A166" t="s">
        <v>138</v>
      </c>
      <c r="B166" t="s">
        <v>884</v>
      </c>
      <c r="C166" t="s">
        <v>23</v>
      </c>
      <c r="D166">
        <v>43</v>
      </c>
      <c r="E166">
        <f ca="1">INDIRECT("'Sheet1'!Q22")</f>
        <v>0</v>
      </c>
      <c r="F166" t="b">
        <f t="shared" ref="F166:F167" ca="1" si="9">E166=D166</f>
        <v>0</v>
      </c>
    </row>
    <row r="167" spans="1:6" x14ac:dyDescent="0.25">
      <c r="A167" t="s">
        <v>139</v>
      </c>
      <c r="B167" t="s">
        <v>860</v>
      </c>
      <c r="C167" t="s">
        <v>24</v>
      </c>
      <c r="D167" t="s">
        <v>673</v>
      </c>
      <c r="E167">
        <f ca="1">INDIRECT("'Sheet1'!R22")</f>
        <v>0</v>
      </c>
      <c r="F167" t="b">
        <f t="shared" ca="1" si="9"/>
        <v>0</v>
      </c>
    </row>
    <row r="169" spans="1:6" x14ac:dyDescent="0.25">
      <c r="A169" t="s">
        <v>140</v>
      </c>
      <c r="B169" t="s">
        <v>884</v>
      </c>
      <c r="C169" t="s">
        <v>23</v>
      </c>
      <c r="D169">
        <v>43</v>
      </c>
      <c r="E169">
        <f ca="1">INDIRECT("'Sheet1'!Q23")</f>
        <v>0</v>
      </c>
      <c r="F169" t="b">
        <f t="shared" ref="F169:F170" ca="1" si="10">E169=D169</f>
        <v>0</v>
      </c>
    </row>
    <row r="170" spans="1:6" x14ac:dyDescent="0.25">
      <c r="A170" t="s">
        <v>141</v>
      </c>
      <c r="B170" t="s">
        <v>885</v>
      </c>
      <c r="C170" t="s">
        <v>20</v>
      </c>
      <c r="D170" t="s">
        <v>871</v>
      </c>
      <c r="E170">
        <f ca="1">INDIRECT("'Sheet1'!R23")</f>
        <v>0</v>
      </c>
      <c r="F170" t="b">
        <f t="shared" ca="1" si="10"/>
        <v>0</v>
      </c>
    </row>
    <row r="172" spans="1:6" x14ac:dyDescent="0.25">
      <c r="A172" t="s">
        <v>142</v>
      </c>
      <c r="B172" t="s">
        <v>884</v>
      </c>
      <c r="C172" t="s">
        <v>23</v>
      </c>
      <c r="D172">
        <v>43.1</v>
      </c>
      <c r="E172">
        <f ca="1">INDIRECT("'Sheet1'!Q24")</f>
        <v>0</v>
      </c>
      <c r="F172" t="b">
        <f t="shared" ref="F172:F173" ca="1" si="11">E172=D172</f>
        <v>0</v>
      </c>
    </row>
    <row r="173" spans="1:6" x14ac:dyDescent="0.25">
      <c r="A173" t="s">
        <v>143</v>
      </c>
      <c r="B173" t="s">
        <v>860</v>
      </c>
      <c r="C173" t="s">
        <v>24</v>
      </c>
      <c r="D173" t="s">
        <v>673</v>
      </c>
      <c r="E173">
        <f ca="1">INDIRECT("'Sheet1'!R24")</f>
        <v>0</v>
      </c>
      <c r="F173" t="b">
        <f t="shared" ca="1" si="11"/>
        <v>0</v>
      </c>
    </row>
    <row r="175" spans="1:6" x14ac:dyDescent="0.25">
      <c r="A175" t="s">
        <v>144</v>
      </c>
      <c r="B175" t="s">
        <v>884</v>
      </c>
      <c r="C175" t="s">
        <v>23</v>
      </c>
      <c r="D175">
        <v>43.1</v>
      </c>
      <c r="E175">
        <f ca="1">INDIRECT("'Sheet1'!Q25")</f>
        <v>0</v>
      </c>
      <c r="F175" t="b">
        <f t="shared" ref="F175:F187" ca="1" si="12">E175=D175</f>
        <v>0</v>
      </c>
    </row>
    <row r="176" spans="1:6" x14ac:dyDescent="0.25">
      <c r="A176" t="s">
        <v>145</v>
      </c>
      <c r="B176" t="s">
        <v>886</v>
      </c>
      <c r="C176" t="s">
        <v>24</v>
      </c>
      <c r="D176" t="s">
        <v>872</v>
      </c>
      <c r="E176">
        <f ca="1">INDIRECT("'Sheet1'!R25")</f>
        <v>0</v>
      </c>
      <c r="F176" t="b">
        <f t="shared" ca="1" si="12"/>
        <v>0</v>
      </c>
    </row>
    <row r="178" spans="1:6" x14ac:dyDescent="0.25">
      <c r="A178" t="s">
        <v>146</v>
      </c>
      <c r="B178" t="s">
        <v>803</v>
      </c>
      <c r="C178" t="s">
        <v>15</v>
      </c>
      <c r="D178">
        <v>47</v>
      </c>
      <c r="E178">
        <f ca="1">INDIRECT("'Sheet1'!I26")</f>
        <v>0</v>
      </c>
      <c r="F178" t="b">
        <f t="shared" ca="1" si="12"/>
        <v>0</v>
      </c>
    </row>
    <row r="179" spans="1:6" x14ac:dyDescent="0.25">
      <c r="A179" t="s">
        <v>154</v>
      </c>
      <c r="B179" t="s">
        <v>856</v>
      </c>
      <c r="C179" t="s">
        <v>16</v>
      </c>
      <c r="D179" t="s">
        <v>673</v>
      </c>
      <c r="E179">
        <f ca="1">INDIRECT("'Sheet1'!J26")</f>
        <v>0</v>
      </c>
      <c r="F179" t="b">
        <f t="shared" ca="1" si="12"/>
        <v>0</v>
      </c>
    </row>
    <row r="180" spans="1:6" x14ac:dyDescent="0.25">
      <c r="A180" t="s">
        <v>155</v>
      </c>
      <c r="B180" t="s">
        <v>804</v>
      </c>
      <c r="C180" t="s">
        <v>17</v>
      </c>
      <c r="E180">
        <f ca="1">INDIRECT("'Sheet1'!K26")</f>
        <v>0</v>
      </c>
      <c r="F180" t="b">
        <f t="shared" ca="1" si="12"/>
        <v>1</v>
      </c>
    </row>
    <row r="181" spans="1:6" x14ac:dyDescent="0.25">
      <c r="A181" t="s">
        <v>157</v>
      </c>
      <c r="B181" t="s">
        <v>857</v>
      </c>
      <c r="C181" t="s">
        <v>18</v>
      </c>
      <c r="D181" t="s">
        <v>673</v>
      </c>
      <c r="E181">
        <f ca="1">INDIRECT("'Sheet1'!L26")</f>
        <v>0</v>
      </c>
      <c r="F181" t="b">
        <f t="shared" ca="1" si="12"/>
        <v>0</v>
      </c>
    </row>
    <row r="182" spans="1:6" x14ac:dyDescent="0.25">
      <c r="A182" t="s">
        <v>156</v>
      </c>
      <c r="B182" t="s">
        <v>805</v>
      </c>
      <c r="C182" t="s">
        <v>19</v>
      </c>
      <c r="E182">
        <f ca="1">INDIRECT("'Sheet1'!M26")</f>
        <v>0</v>
      </c>
      <c r="F182" t="b">
        <f t="shared" ca="1" si="12"/>
        <v>1</v>
      </c>
    </row>
    <row r="183" spans="1:6" x14ac:dyDescent="0.25">
      <c r="A183" t="s">
        <v>157</v>
      </c>
      <c r="B183" t="s">
        <v>858</v>
      </c>
      <c r="C183" t="s">
        <v>20</v>
      </c>
      <c r="D183" t="s">
        <v>673</v>
      </c>
      <c r="E183">
        <f ca="1">INDIRECT("'Sheet1'!N26")</f>
        <v>0</v>
      </c>
      <c r="F183" t="b">
        <f t="shared" ca="1" si="12"/>
        <v>0</v>
      </c>
    </row>
    <row r="184" spans="1:6" x14ac:dyDescent="0.25">
      <c r="A184" t="s">
        <v>158</v>
      </c>
      <c r="B184" t="s">
        <v>806</v>
      </c>
      <c r="C184" t="s">
        <v>21</v>
      </c>
      <c r="E184">
        <f ca="1">INDIRECT("'Sheet1'!O26")</f>
        <v>0</v>
      </c>
      <c r="F184" t="b">
        <f t="shared" ca="1" si="12"/>
        <v>1</v>
      </c>
    </row>
    <row r="185" spans="1:6" x14ac:dyDescent="0.25">
      <c r="A185" t="s">
        <v>159</v>
      </c>
      <c r="B185" t="s">
        <v>859</v>
      </c>
      <c r="C185" t="s">
        <v>22</v>
      </c>
      <c r="D185" t="s">
        <v>673</v>
      </c>
      <c r="E185">
        <f ca="1">INDIRECT("'Sheet1'!P26")</f>
        <v>0</v>
      </c>
      <c r="F185" t="b">
        <f t="shared" ca="1" si="12"/>
        <v>0</v>
      </c>
    </row>
    <row r="186" spans="1:6" x14ac:dyDescent="0.25">
      <c r="A186" t="s">
        <v>160</v>
      </c>
      <c r="B186" t="s">
        <v>807</v>
      </c>
      <c r="C186" t="s">
        <v>23</v>
      </c>
      <c r="E186">
        <f ca="1">INDIRECT("'Sheet1'!Q26")</f>
        <v>0</v>
      </c>
      <c r="F186" t="b">
        <f t="shared" ca="1" si="12"/>
        <v>1</v>
      </c>
    </row>
    <row r="187" spans="1:6" x14ac:dyDescent="0.25">
      <c r="A187" t="s">
        <v>161</v>
      </c>
      <c r="B187" t="s">
        <v>860</v>
      </c>
      <c r="C187" t="s">
        <v>24</v>
      </c>
      <c r="D187" t="s">
        <v>673</v>
      </c>
      <c r="E187">
        <f ca="1">INDIRECT("'Sheet1'!R26")</f>
        <v>0</v>
      </c>
      <c r="F187" t="b">
        <f t="shared" ca="1" si="12"/>
        <v>0</v>
      </c>
    </row>
    <row r="188" spans="1:6" x14ac:dyDescent="0.25">
      <c r="E188" s="4"/>
    </row>
    <row r="189" spans="1:6" x14ac:dyDescent="0.25">
      <c r="A189" t="s">
        <v>162</v>
      </c>
      <c r="B189" t="s">
        <v>875</v>
      </c>
      <c r="C189" t="s">
        <v>17</v>
      </c>
      <c r="D189">
        <v>46</v>
      </c>
      <c r="E189">
        <f ca="1">INDIRECT("'Sheet1'!K27")</f>
        <v>0</v>
      </c>
      <c r="F189" t="b">
        <f t="shared" ref="F189:F196" ca="1" si="13">E189=D189</f>
        <v>0</v>
      </c>
    </row>
    <row r="190" spans="1:6" x14ac:dyDescent="0.25">
      <c r="A190" t="s">
        <v>163</v>
      </c>
      <c r="B190" t="s">
        <v>857</v>
      </c>
      <c r="C190" t="s">
        <v>18</v>
      </c>
      <c r="D190" t="s">
        <v>673</v>
      </c>
      <c r="E190">
        <f ca="1">INDIRECT("'Sheet1'!L27")</f>
        <v>0</v>
      </c>
      <c r="F190" t="b">
        <f t="shared" ca="1" si="13"/>
        <v>0</v>
      </c>
    </row>
    <row r="191" spans="1:6" x14ac:dyDescent="0.25">
      <c r="A191" t="s">
        <v>164</v>
      </c>
      <c r="B191" t="s">
        <v>805</v>
      </c>
      <c r="C191" t="s">
        <v>19</v>
      </c>
      <c r="E191">
        <f ca="1">INDIRECT("'Sheet1'!M27")</f>
        <v>0</v>
      </c>
      <c r="F191" t="b">
        <f t="shared" ca="1" si="13"/>
        <v>1</v>
      </c>
    </row>
    <row r="192" spans="1:6" x14ac:dyDescent="0.25">
      <c r="A192" t="s">
        <v>166</v>
      </c>
      <c r="B192" t="s">
        <v>858</v>
      </c>
      <c r="C192" t="s">
        <v>20</v>
      </c>
      <c r="D192" t="s">
        <v>673</v>
      </c>
      <c r="E192">
        <f ca="1">INDIRECT("'Sheet1'!N27")</f>
        <v>0</v>
      </c>
      <c r="F192" t="b">
        <f t="shared" ca="1" si="13"/>
        <v>0</v>
      </c>
    </row>
    <row r="193" spans="1:6" x14ac:dyDescent="0.25">
      <c r="A193" t="s">
        <v>165</v>
      </c>
      <c r="B193" t="s">
        <v>806</v>
      </c>
      <c r="C193" t="s">
        <v>21</v>
      </c>
      <c r="E193">
        <f ca="1">INDIRECT("'Sheet1'!O27")</f>
        <v>0</v>
      </c>
      <c r="F193" t="b">
        <f t="shared" ca="1" si="13"/>
        <v>1</v>
      </c>
    </row>
    <row r="194" spans="1:6" x14ac:dyDescent="0.25">
      <c r="A194" t="s">
        <v>166</v>
      </c>
      <c r="B194" t="s">
        <v>859</v>
      </c>
      <c r="C194" t="s">
        <v>22</v>
      </c>
      <c r="D194" t="s">
        <v>673</v>
      </c>
      <c r="E194">
        <f ca="1">INDIRECT("'Sheet1'!P27")</f>
        <v>0</v>
      </c>
      <c r="F194" t="b">
        <f t="shared" ca="1" si="13"/>
        <v>0</v>
      </c>
    </row>
    <row r="195" spans="1:6" x14ac:dyDescent="0.25">
      <c r="A195" t="s">
        <v>167</v>
      </c>
      <c r="B195" t="s">
        <v>807</v>
      </c>
      <c r="C195" t="s">
        <v>23</v>
      </c>
      <c r="E195">
        <f ca="1">INDIRECT("'Sheet1'!Q27")</f>
        <v>0</v>
      </c>
      <c r="F195" t="b">
        <f t="shared" ca="1" si="13"/>
        <v>1</v>
      </c>
    </row>
    <row r="196" spans="1:6" x14ac:dyDescent="0.25">
      <c r="A196" t="s">
        <v>168</v>
      </c>
      <c r="B196" t="s">
        <v>860</v>
      </c>
      <c r="C196" t="s">
        <v>24</v>
      </c>
      <c r="D196" t="s">
        <v>673</v>
      </c>
      <c r="E196">
        <f ca="1">INDIRECT("'Sheet1'!R27")</f>
        <v>0</v>
      </c>
      <c r="F196" t="b">
        <f t="shared" ca="1" si="13"/>
        <v>0</v>
      </c>
    </row>
    <row r="198" spans="1:6" x14ac:dyDescent="0.25">
      <c r="A198" t="s">
        <v>169</v>
      </c>
      <c r="B198" t="s">
        <v>878</v>
      </c>
      <c r="C198" t="s">
        <v>19</v>
      </c>
      <c r="D198">
        <v>45</v>
      </c>
      <c r="E198">
        <f ca="1">INDIRECT("'Sheet1'!M28")</f>
        <v>0</v>
      </c>
      <c r="F198" t="b">
        <f t="shared" ref="F198:F203" ca="1" si="14">E198=D198</f>
        <v>0</v>
      </c>
    </row>
    <row r="199" spans="1:6" x14ac:dyDescent="0.25">
      <c r="A199" t="s">
        <v>170</v>
      </c>
      <c r="B199" t="s">
        <v>858</v>
      </c>
      <c r="C199" t="s">
        <v>20</v>
      </c>
      <c r="D199" t="s">
        <v>673</v>
      </c>
      <c r="E199">
        <f ca="1">INDIRECT("'Sheet1'!N28")</f>
        <v>0</v>
      </c>
      <c r="F199" t="b">
        <f t="shared" ca="1" si="14"/>
        <v>0</v>
      </c>
    </row>
    <row r="200" spans="1:6" x14ac:dyDescent="0.25">
      <c r="A200" t="s">
        <v>171</v>
      </c>
      <c r="B200" t="s">
        <v>806</v>
      </c>
      <c r="C200" t="s">
        <v>21</v>
      </c>
      <c r="E200">
        <f ca="1">INDIRECT("'Sheet1'!O28")</f>
        <v>0</v>
      </c>
      <c r="F200" t="b">
        <f t="shared" ca="1" si="14"/>
        <v>1</v>
      </c>
    </row>
    <row r="201" spans="1:6" x14ac:dyDescent="0.25">
      <c r="A201" t="s">
        <v>969</v>
      </c>
      <c r="B201" t="s">
        <v>859</v>
      </c>
      <c r="C201" t="s">
        <v>22</v>
      </c>
      <c r="D201" t="s">
        <v>673</v>
      </c>
      <c r="E201">
        <f ca="1">INDIRECT("'Sheet1'!P28")</f>
        <v>0</v>
      </c>
      <c r="F201" t="b">
        <f t="shared" ca="1" si="14"/>
        <v>0</v>
      </c>
    </row>
    <row r="202" spans="1:6" x14ac:dyDescent="0.25">
      <c r="A202" t="s">
        <v>970</v>
      </c>
      <c r="B202" t="s">
        <v>807</v>
      </c>
      <c r="C202" t="s">
        <v>23</v>
      </c>
      <c r="E202">
        <f ca="1">INDIRECT("'Sheet1'!Q28")</f>
        <v>0</v>
      </c>
      <c r="F202" t="b">
        <f t="shared" ca="1" si="14"/>
        <v>1</v>
      </c>
    </row>
    <row r="203" spans="1:6" x14ac:dyDescent="0.25">
      <c r="A203" t="s">
        <v>969</v>
      </c>
      <c r="B203" t="s">
        <v>860</v>
      </c>
      <c r="C203" t="s">
        <v>24</v>
      </c>
      <c r="D203" t="s">
        <v>673</v>
      </c>
      <c r="E203">
        <f ca="1">INDIRECT("'Sheet1'!R28")</f>
        <v>0</v>
      </c>
      <c r="F203" t="b">
        <f t="shared" ca="1" si="14"/>
        <v>0</v>
      </c>
    </row>
    <row r="205" spans="1:6" x14ac:dyDescent="0.25">
      <c r="A205" t="s">
        <v>172</v>
      </c>
      <c r="B205" t="s">
        <v>881</v>
      </c>
      <c r="C205" t="s">
        <v>21</v>
      </c>
      <c r="D205">
        <v>44</v>
      </c>
      <c r="E205">
        <f ca="1">INDIRECT("'Sheet1'!O29")</f>
        <v>0</v>
      </c>
      <c r="F205" t="b">
        <f t="shared" ref="F205:F208" ca="1" si="15">E205=D205</f>
        <v>0</v>
      </c>
    </row>
    <row r="206" spans="1:6" x14ac:dyDescent="0.25">
      <c r="A206" t="s">
        <v>173</v>
      </c>
      <c r="B206" t="s">
        <v>859</v>
      </c>
      <c r="C206" t="s">
        <v>22</v>
      </c>
      <c r="D206" t="s">
        <v>673</v>
      </c>
      <c r="E206">
        <f ca="1">INDIRECT("'Sheet1'!P29")</f>
        <v>0</v>
      </c>
      <c r="F206" t="b">
        <f t="shared" ca="1" si="15"/>
        <v>0</v>
      </c>
    </row>
    <row r="207" spans="1:6" x14ac:dyDescent="0.25">
      <c r="A207" t="s">
        <v>174</v>
      </c>
      <c r="B207" t="s">
        <v>807</v>
      </c>
      <c r="C207" t="s">
        <v>23</v>
      </c>
      <c r="E207">
        <f ca="1">INDIRECT("'Sheet1'!Q29")</f>
        <v>0</v>
      </c>
      <c r="F207" t="b">
        <f t="shared" ca="1" si="15"/>
        <v>1</v>
      </c>
    </row>
    <row r="208" spans="1:6" x14ac:dyDescent="0.25">
      <c r="A208" t="s">
        <v>971</v>
      </c>
      <c r="B208" t="s">
        <v>860</v>
      </c>
      <c r="C208" t="s">
        <v>24</v>
      </c>
      <c r="D208" t="s">
        <v>673</v>
      </c>
      <c r="E208">
        <f ca="1">INDIRECT("'Sheet1'!R29")</f>
        <v>0</v>
      </c>
      <c r="F208" t="b">
        <f t="shared" ca="1" si="15"/>
        <v>0</v>
      </c>
    </row>
    <row r="210" spans="1:6" x14ac:dyDescent="0.25">
      <c r="A210" t="s">
        <v>175</v>
      </c>
      <c r="B210" t="s">
        <v>978</v>
      </c>
      <c r="C210" t="s">
        <v>15</v>
      </c>
      <c r="E210">
        <f ca="1">INDIRECT("'Sheet1'!I30")</f>
        <v>0</v>
      </c>
      <c r="F210" t="b">
        <f t="shared" ref="F210:F219" ca="1" si="16">E210=D210</f>
        <v>1</v>
      </c>
    </row>
    <row r="211" spans="1:6" x14ac:dyDescent="0.25">
      <c r="A211" t="s">
        <v>176</v>
      </c>
      <c r="B211" t="s">
        <v>873</v>
      </c>
      <c r="C211" t="s">
        <v>16</v>
      </c>
      <c r="D211" t="s">
        <v>871</v>
      </c>
      <c r="E211">
        <f ca="1">INDIRECT("'Sheet1'!J30")</f>
        <v>0</v>
      </c>
      <c r="F211" t="b">
        <f t="shared" ca="1" si="16"/>
        <v>0</v>
      </c>
    </row>
    <row r="212" spans="1:6" x14ac:dyDescent="0.25">
      <c r="A212" t="s">
        <v>177</v>
      </c>
      <c r="B212" t="s">
        <v>804</v>
      </c>
      <c r="C212" t="s">
        <v>17</v>
      </c>
      <c r="D212">
        <v>46</v>
      </c>
      <c r="E212">
        <f ca="1">INDIRECT("'Sheet1'!K30")</f>
        <v>0</v>
      </c>
      <c r="F212" t="b">
        <f t="shared" ca="1" si="16"/>
        <v>0</v>
      </c>
    </row>
    <row r="213" spans="1:6" x14ac:dyDescent="0.25">
      <c r="A213" t="s">
        <v>972</v>
      </c>
      <c r="B213" t="s">
        <v>857</v>
      </c>
      <c r="C213" t="s">
        <v>18</v>
      </c>
      <c r="D213" t="s">
        <v>673</v>
      </c>
      <c r="E213">
        <f ca="1">INDIRECT("'Sheet1'!L30")</f>
        <v>0</v>
      </c>
      <c r="F213" t="b">
        <f t="shared" ca="1" si="16"/>
        <v>0</v>
      </c>
    </row>
    <row r="214" spans="1:6" x14ac:dyDescent="0.25">
      <c r="A214" t="s">
        <v>973</v>
      </c>
      <c r="B214" t="s">
        <v>805</v>
      </c>
      <c r="C214" t="s">
        <v>19</v>
      </c>
      <c r="E214">
        <f ca="1">INDIRECT("'Sheet1'!M30")</f>
        <v>0</v>
      </c>
      <c r="F214" t="b">
        <f t="shared" ca="1" si="16"/>
        <v>1</v>
      </c>
    </row>
    <row r="215" spans="1:6" x14ac:dyDescent="0.25">
      <c r="A215" t="s">
        <v>972</v>
      </c>
      <c r="B215" t="s">
        <v>858</v>
      </c>
      <c r="C215" t="s">
        <v>20</v>
      </c>
      <c r="D215" t="s">
        <v>673</v>
      </c>
      <c r="E215">
        <f ca="1">INDIRECT("'Sheet1'!N30")</f>
        <v>0</v>
      </c>
      <c r="F215" t="b">
        <f t="shared" ca="1" si="16"/>
        <v>0</v>
      </c>
    </row>
    <row r="216" spans="1:6" x14ac:dyDescent="0.25">
      <c r="A216" t="s">
        <v>974</v>
      </c>
      <c r="B216" t="s">
        <v>806</v>
      </c>
      <c r="C216" t="s">
        <v>21</v>
      </c>
      <c r="E216">
        <f ca="1">INDIRECT("'Sheet1'!O30")</f>
        <v>0</v>
      </c>
      <c r="F216" t="b">
        <f t="shared" ca="1" si="16"/>
        <v>1</v>
      </c>
    </row>
    <row r="217" spans="1:6" x14ac:dyDescent="0.25">
      <c r="A217" t="s">
        <v>975</v>
      </c>
      <c r="B217" t="s">
        <v>859</v>
      </c>
      <c r="C217" t="s">
        <v>22</v>
      </c>
      <c r="D217" t="s">
        <v>673</v>
      </c>
      <c r="E217">
        <f ca="1">INDIRECT("'Sheet1'!P30")</f>
        <v>0</v>
      </c>
      <c r="F217" t="b">
        <f t="shared" ca="1" si="16"/>
        <v>0</v>
      </c>
    </row>
    <row r="218" spans="1:6" x14ac:dyDescent="0.25">
      <c r="A218" t="s">
        <v>976</v>
      </c>
      <c r="B218" t="s">
        <v>807</v>
      </c>
      <c r="C218" t="s">
        <v>23</v>
      </c>
      <c r="E218">
        <f ca="1">INDIRECT("'Sheet1'!Q30")</f>
        <v>0</v>
      </c>
      <c r="F218" t="b">
        <f t="shared" ca="1" si="16"/>
        <v>1</v>
      </c>
    </row>
    <row r="219" spans="1:6" x14ac:dyDescent="0.25">
      <c r="A219" t="s">
        <v>977</v>
      </c>
      <c r="B219" t="s">
        <v>860</v>
      </c>
      <c r="C219" t="s">
        <v>24</v>
      </c>
      <c r="D219" t="s">
        <v>673</v>
      </c>
      <c r="E219">
        <f ca="1">INDIRECT("'Sheet1'!R30")</f>
        <v>0</v>
      </c>
      <c r="F219" t="b">
        <f t="shared" ca="1" si="16"/>
        <v>0</v>
      </c>
    </row>
    <row r="221" spans="1:6" x14ac:dyDescent="0.25">
      <c r="A221" t="s">
        <v>178</v>
      </c>
      <c r="B221" t="s">
        <v>803</v>
      </c>
      <c r="C221" t="s">
        <v>15</v>
      </c>
      <c r="D221">
        <v>47</v>
      </c>
      <c r="E221">
        <f ca="1">INDIRECT("'Sheet1'!I31")</f>
        <v>0</v>
      </c>
      <c r="F221" t="b">
        <f t="shared" ref="F221:F230" ca="1" si="17">E221=D221</f>
        <v>0</v>
      </c>
    </row>
    <row r="222" spans="1:6" x14ac:dyDescent="0.25">
      <c r="A222" t="s">
        <v>179</v>
      </c>
      <c r="B222" t="s">
        <v>856</v>
      </c>
      <c r="C222" t="s">
        <v>16</v>
      </c>
      <c r="D222" t="s">
        <v>673</v>
      </c>
      <c r="E222">
        <f ca="1">INDIRECT("'Sheet1'!J31")</f>
        <v>0</v>
      </c>
      <c r="F222" t="b">
        <f t="shared" ca="1" si="17"/>
        <v>0</v>
      </c>
    </row>
    <row r="223" spans="1:6" x14ac:dyDescent="0.25">
      <c r="A223" t="s">
        <v>180</v>
      </c>
      <c r="B223" t="s">
        <v>804</v>
      </c>
      <c r="C223" t="s">
        <v>17</v>
      </c>
      <c r="E223">
        <f ca="1">INDIRECT("'Sheet1'!K31")</f>
        <v>0</v>
      </c>
      <c r="F223" t="b">
        <f t="shared" ca="1" si="17"/>
        <v>1</v>
      </c>
    </row>
    <row r="224" spans="1:6" x14ac:dyDescent="0.25">
      <c r="A224" t="s">
        <v>979</v>
      </c>
      <c r="B224" t="s">
        <v>876</v>
      </c>
      <c r="C224" t="s">
        <v>18</v>
      </c>
      <c r="D224" t="s">
        <v>871</v>
      </c>
      <c r="E224">
        <f ca="1">INDIRECT("'Sheet1'!L31")</f>
        <v>0</v>
      </c>
      <c r="F224" t="b">
        <f t="shared" ca="1" si="17"/>
        <v>0</v>
      </c>
    </row>
    <row r="225" spans="1:6" x14ac:dyDescent="0.25">
      <c r="A225" t="s">
        <v>980</v>
      </c>
      <c r="B225" t="s">
        <v>805</v>
      </c>
      <c r="C225" t="s">
        <v>19</v>
      </c>
      <c r="E225">
        <f ca="1">INDIRECT("'Sheet1'!M31")</f>
        <v>0</v>
      </c>
      <c r="F225" t="b">
        <f t="shared" ca="1" si="17"/>
        <v>1</v>
      </c>
    </row>
    <row r="226" spans="1:6" x14ac:dyDescent="0.25">
      <c r="A226" t="s">
        <v>979</v>
      </c>
      <c r="B226" t="s">
        <v>858</v>
      </c>
      <c r="C226" t="s">
        <v>20</v>
      </c>
      <c r="D226" t="s">
        <v>673</v>
      </c>
      <c r="E226">
        <f ca="1">INDIRECT("'Sheet1'!N31")</f>
        <v>0</v>
      </c>
      <c r="F226" t="b">
        <f t="shared" ca="1" si="17"/>
        <v>0</v>
      </c>
    </row>
    <row r="227" spans="1:6" x14ac:dyDescent="0.25">
      <c r="A227" t="s">
        <v>981</v>
      </c>
      <c r="B227" t="s">
        <v>806</v>
      </c>
      <c r="C227" t="s">
        <v>21</v>
      </c>
      <c r="E227">
        <f ca="1">INDIRECT("'Sheet1'!O31")</f>
        <v>0</v>
      </c>
      <c r="F227" t="b">
        <f t="shared" ca="1" si="17"/>
        <v>1</v>
      </c>
    </row>
    <row r="228" spans="1:6" x14ac:dyDescent="0.25">
      <c r="A228" t="s">
        <v>982</v>
      </c>
      <c r="B228" t="s">
        <v>859</v>
      </c>
      <c r="C228" t="s">
        <v>22</v>
      </c>
      <c r="D228" t="s">
        <v>673</v>
      </c>
      <c r="E228">
        <f ca="1">INDIRECT("'Sheet1'!P31")</f>
        <v>0</v>
      </c>
      <c r="F228" t="b">
        <f t="shared" ca="1" si="17"/>
        <v>0</v>
      </c>
    </row>
    <row r="229" spans="1:6" x14ac:dyDescent="0.25">
      <c r="A229" t="s">
        <v>983</v>
      </c>
      <c r="B229" t="s">
        <v>807</v>
      </c>
      <c r="C229" t="s">
        <v>23</v>
      </c>
      <c r="E229">
        <f ca="1">INDIRECT("'Sheet1'!Q31")</f>
        <v>0</v>
      </c>
      <c r="F229" t="b">
        <f t="shared" ca="1" si="17"/>
        <v>1</v>
      </c>
    </row>
    <row r="230" spans="1:6" x14ac:dyDescent="0.25">
      <c r="A230" t="s">
        <v>984</v>
      </c>
      <c r="B230" t="s">
        <v>860</v>
      </c>
      <c r="C230" t="s">
        <v>24</v>
      </c>
      <c r="D230" t="s">
        <v>673</v>
      </c>
      <c r="E230">
        <f ca="1">INDIRECT("'Sheet1'!R31")</f>
        <v>0</v>
      </c>
      <c r="F230" t="b">
        <f t="shared" ca="1" si="17"/>
        <v>0</v>
      </c>
    </row>
    <row r="232" spans="1:6" x14ac:dyDescent="0.25">
      <c r="A232" t="s">
        <v>181</v>
      </c>
      <c r="B232" t="s">
        <v>803</v>
      </c>
      <c r="C232" t="s">
        <v>15</v>
      </c>
      <c r="D232">
        <v>47.5</v>
      </c>
      <c r="E232">
        <f ca="1">INDIRECT("'Sheet1'!I32")</f>
        <v>0</v>
      </c>
      <c r="F232" t="b">
        <f t="shared" ref="F232:F241" ca="1" si="18">E232=D232</f>
        <v>0</v>
      </c>
    </row>
    <row r="233" spans="1:6" x14ac:dyDescent="0.25">
      <c r="A233" t="s">
        <v>182</v>
      </c>
      <c r="B233" t="s">
        <v>856</v>
      </c>
      <c r="C233" t="s">
        <v>16</v>
      </c>
      <c r="D233" t="s">
        <v>673</v>
      </c>
      <c r="E233">
        <f ca="1">INDIRECT("'Sheet1'!J32")</f>
        <v>0</v>
      </c>
      <c r="F233" t="b">
        <f t="shared" ca="1" si="18"/>
        <v>0</v>
      </c>
    </row>
    <row r="234" spans="1:6" x14ac:dyDescent="0.25">
      <c r="A234" t="s">
        <v>985</v>
      </c>
      <c r="B234" t="s">
        <v>804</v>
      </c>
      <c r="C234" t="s">
        <v>17</v>
      </c>
      <c r="E234">
        <f ca="1">INDIRECT("'Sheet1'!K32")</f>
        <v>0</v>
      </c>
      <c r="F234" t="b">
        <f t="shared" ca="1" si="18"/>
        <v>1</v>
      </c>
    </row>
    <row r="235" spans="1:6" x14ac:dyDescent="0.25">
      <c r="A235" t="s">
        <v>986</v>
      </c>
      <c r="B235" t="s">
        <v>857</v>
      </c>
      <c r="C235" t="s">
        <v>18</v>
      </c>
      <c r="D235" t="s">
        <v>673</v>
      </c>
      <c r="E235">
        <f ca="1">INDIRECT("'Sheet1'!L32")</f>
        <v>0</v>
      </c>
      <c r="F235" t="b">
        <f t="shared" ca="1" si="18"/>
        <v>0</v>
      </c>
    </row>
    <row r="236" spans="1:6" x14ac:dyDescent="0.25">
      <c r="A236" t="s">
        <v>987</v>
      </c>
      <c r="B236" t="s">
        <v>805</v>
      </c>
      <c r="C236" t="s">
        <v>19</v>
      </c>
      <c r="E236">
        <f ca="1">INDIRECT("'Sheet1'!M32")</f>
        <v>0</v>
      </c>
      <c r="F236" t="b">
        <f ca="1">E236=D236</f>
        <v>1</v>
      </c>
    </row>
    <row r="237" spans="1:6" x14ac:dyDescent="0.25">
      <c r="A237" t="s">
        <v>986</v>
      </c>
      <c r="B237" t="s">
        <v>879</v>
      </c>
      <c r="C237" t="s">
        <v>20</v>
      </c>
      <c r="D237" t="s">
        <v>871</v>
      </c>
      <c r="E237">
        <f ca="1">INDIRECT("'Sheet1'!N32")</f>
        <v>0</v>
      </c>
      <c r="F237" t="b">
        <f t="shared" ca="1" si="18"/>
        <v>0</v>
      </c>
    </row>
    <row r="238" spans="1:6" x14ac:dyDescent="0.25">
      <c r="A238" t="s">
        <v>988</v>
      </c>
      <c r="B238" t="s">
        <v>806</v>
      </c>
      <c r="C238" t="s">
        <v>21</v>
      </c>
      <c r="E238">
        <f ca="1">INDIRECT("'Sheet1'!O32")</f>
        <v>0</v>
      </c>
      <c r="F238" t="b">
        <f t="shared" ca="1" si="18"/>
        <v>1</v>
      </c>
    </row>
    <row r="239" spans="1:6" x14ac:dyDescent="0.25">
      <c r="A239" t="s">
        <v>989</v>
      </c>
      <c r="B239" t="s">
        <v>859</v>
      </c>
      <c r="C239" t="s">
        <v>22</v>
      </c>
      <c r="D239" t="s">
        <v>673</v>
      </c>
      <c r="E239">
        <f ca="1">INDIRECT("'Sheet1'!P32")</f>
        <v>0</v>
      </c>
      <c r="F239" t="b">
        <f t="shared" ca="1" si="18"/>
        <v>0</v>
      </c>
    </row>
    <row r="240" spans="1:6" x14ac:dyDescent="0.25">
      <c r="A240" t="s">
        <v>990</v>
      </c>
      <c r="B240" t="s">
        <v>807</v>
      </c>
      <c r="C240" t="s">
        <v>23</v>
      </c>
      <c r="E240">
        <f ca="1">INDIRECT("'Sheet1'!Q32")</f>
        <v>0</v>
      </c>
      <c r="F240" t="b">
        <f t="shared" ca="1" si="18"/>
        <v>1</v>
      </c>
    </row>
    <row r="241" spans="1:6" x14ac:dyDescent="0.25">
      <c r="A241" t="s">
        <v>991</v>
      </c>
      <c r="B241" t="s">
        <v>860</v>
      </c>
      <c r="C241" t="s">
        <v>24</v>
      </c>
      <c r="D241" t="s">
        <v>673</v>
      </c>
      <c r="E241">
        <f ca="1">INDIRECT("'Sheet1'!R32")</f>
        <v>0</v>
      </c>
      <c r="F241" t="b">
        <f t="shared" ca="1" si="18"/>
        <v>0</v>
      </c>
    </row>
    <row r="243" spans="1:6" x14ac:dyDescent="0.25">
      <c r="A243" t="s">
        <v>183</v>
      </c>
      <c r="B243" t="s">
        <v>803</v>
      </c>
      <c r="C243" t="s">
        <v>15</v>
      </c>
      <c r="D243">
        <v>47</v>
      </c>
      <c r="E243">
        <f ca="1">INDIRECT("'Sheet1'!I33")</f>
        <v>0</v>
      </c>
      <c r="F243" t="b">
        <f t="shared" ref="F243:F246" ca="1" si="19">E243=D243</f>
        <v>0</v>
      </c>
    </row>
    <row r="244" spans="1:6" x14ac:dyDescent="0.25">
      <c r="A244" t="s">
        <v>184</v>
      </c>
      <c r="B244" t="s">
        <v>856</v>
      </c>
      <c r="C244" t="s">
        <v>16</v>
      </c>
      <c r="D244" t="s">
        <v>673</v>
      </c>
      <c r="E244">
        <f ca="1">INDIRECT("'Sheet1'!J33")</f>
        <v>0</v>
      </c>
      <c r="F244" t="b">
        <f t="shared" ca="1" si="19"/>
        <v>0</v>
      </c>
    </row>
    <row r="245" spans="1:6" x14ac:dyDescent="0.25">
      <c r="A245" t="s">
        <v>992</v>
      </c>
      <c r="B245" t="s">
        <v>804</v>
      </c>
      <c r="C245" t="s">
        <v>17</v>
      </c>
      <c r="E245">
        <f ca="1">INDIRECT("'Sheet1'!K33")</f>
        <v>0</v>
      </c>
      <c r="F245" t="b">
        <f t="shared" ca="1" si="19"/>
        <v>1</v>
      </c>
    </row>
    <row r="246" spans="1:6" x14ac:dyDescent="0.25">
      <c r="A246" t="s">
        <v>993</v>
      </c>
      <c r="B246" t="s">
        <v>857</v>
      </c>
      <c r="C246" t="s">
        <v>18</v>
      </c>
      <c r="D246" t="s">
        <v>673</v>
      </c>
      <c r="E246">
        <f ca="1">INDIRECT("'Sheet1'!L33")</f>
        <v>0</v>
      </c>
      <c r="F246" t="b">
        <f t="shared" ca="1" si="19"/>
        <v>0</v>
      </c>
    </row>
    <row r="247" spans="1:6" x14ac:dyDescent="0.25">
      <c r="A247" t="s">
        <v>994</v>
      </c>
      <c r="B247" t="s">
        <v>805</v>
      </c>
      <c r="C247" t="s">
        <v>19</v>
      </c>
      <c r="E247">
        <f ca="1">INDIRECT("'Sheet1'!M33")</f>
        <v>0</v>
      </c>
      <c r="F247" t="b">
        <f ca="1">E248=D248</f>
        <v>0</v>
      </c>
    </row>
    <row r="248" spans="1:6" x14ac:dyDescent="0.25">
      <c r="A248" t="s">
        <v>993</v>
      </c>
      <c r="B248" t="s">
        <v>858</v>
      </c>
      <c r="C248" t="s">
        <v>20</v>
      </c>
      <c r="D248" t="s">
        <v>673</v>
      </c>
      <c r="E248">
        <f ca="1">INDIRECT("'Sheet1'!N33")</f>
        <v>0</v>
      </c>
      <c r="F248" t="b">
        <f t="shared" ref="F248:F252" ca="1" si="20">E248=D248</f>
        <v>0</v>
      </c>
    </row>
    <row r="249" spans="1:6" x14ac:dyDescent="0.25">
      <c r="A249" t="s">
        <v>995</v>
      </c>
      <c r="B249" t="s">
        <v>806</v>
      </c>
      <c r="C249" t="s">
        <v>21</v>
      </c>
      <c r="E249">
        <f ca="1">INDIRECT("'Sheet1'!O33")</f>
        <v>0</v>
      </c>
      <c r="F249" t="b">
        <f t="shared" ca="1" si="20"/>
        <v>1</v>
      </c>
    </row>
    <row r="250" spans="1:6" x14ac:dyDescent="0.25">
      <c r="A250" t="s">
        <v>996</v>
      </c>
      <c r="B250" t="s">
        <v>883</v>
      </c>
      <c r="C250" t="s">
        <v>22</v>
      </c>
      <c r="D250" t="s">
        <v>871</v>
      </c>
      <c r="E250">
        <f ca="1">INDIRECT("'Sheet1'!P33")</f>
        <v>0</v>
      </c>
      <c r="F250" t="b">
        <f t="shared" ca="1" si="20"/>
        <v>0</v>
      </c>
    </row>
    <row r="251" spans="1:6" x14ac:dyDescent="0.25">
      <c r="A251" t="s">
        <v>997</v>
      </c>
      <c r="B251" t="s">
        <v>807</v>
      </c>
      <c r="C251" t="s">
        <v>23</v>
      </c>
      <c r="E251">
        <f ca="1">INDIRECT("'Sheet1'!Q33")</f>
        <v>0</v>
      </c>
      <c r="F251" t="b">
        <f t="shared" ca="1" si="20"/>
        <v>1</v>
      </c>
    </row>
    <row r="252" spans="1:6" x14ac:dyDescent="0.25">
      <c r="A252" t="s">
        <v>998</v>
      </c>
      <c r="B252" t="s">
        <v>860</v>
      </c>
      <c r="C252" t="s">
        <v>24</v>
      </c>
      <c r="D252" t="s">
        <v>673</v>
      </c>
      <c r="E252">
        <f ca="1">INDIRECT("'Sheet1'!R33")</f>
        <v>0</v>
      </c>
      <c r="F252" t="b">
        <f t="shared" ca="1" si="20"/>
        <v>0</v>
      </c>
    </row>
    <row r="254" spans="1:6" x14ac:dyDescent="0.25">
      <c r="A254" t="s">
        <v>185</v>
      </c>
      <c r="B254" t="s">
        <v>803</v>
      </c>
      <c r="C254" t="s">
        <v>15</v>
      </c>
      <c r="D254">
        <v>47</v>
      </c>
      <c r="E254">
        <f ca="1">INDIRECT("'Sheet1'!I34")</f>
        <v>0</v>
      </c>
      <c r="F254" t="b">
        <f t="shared" ref="F254:F257" ca="1" si="21">E254=D254</f>
        <v>0</v>
      </c>
    </row>
    <row r="255" spans="1:6" x14ac:dyDescent="0.25">
      <c r="A255" t="s">
        <v>186</v>
      </c>
      <c r="B255" t="s">
        <v>856</v>
      </c>
      <c r="C255" t="s">
        <v>16</v>
      </c>
      <c r="D255" t="s">
        <v>673</v>
      </c>
      <c r="E255">
        <f ca="1">INDIRECT("'Sheet1'!J34")</f>
        <v>0</v>
      </c>
      <c r="F255" t="b">
        <f t="shared" ca="1" si="21"/>
        <v>0</v>
      </c>
    </row>
    <row r="256" spans="1:6" x14ac:dyDescent="0.25">
      <c r="A256" t="s">
        <v>999</v>
      </c>
      <c r="B256" t="s">
        <v>804</v>
      </c>
      <c r="C256" t="s">
        <v>17</v>
      </c>
      <c r="E256">
        <f ca="1">INDIRECT("'Sheet1'!K34")</f>
        <v>0</v>
      </c>
      <c r="F256" t="b">
        <f t="shared" ca="1" si="21"/>
        <v>1</v>
      </c>
    </row>
    <row r="257" spans="1:6" x14ac:dyDescent="0.25">
      <c r="A257" t="s">
        <v>1000</v>
      </c>
      <c r="B257" t="s">
        <v>857</v>
      </c>
      <c r="C257" t="s">
        <v>18</v>
      </c>
      <c r="D257" t="s">
        <v>673</v>
      </c>
      <c r="E257">
        <f ca="1">INDIRECT("'Sheet1'!L34")</f>
        <v>0</v>
      </c>
      <c r="F257" t="b">
        <f t="shared" ca="1" si="21"/>
        <v>0</v>
      </c>
    </row>
    <row r="258" spans="1:6" x14ac:dyDescent="0.25">
      <c r="A258" t="s">
        <v>1001</v>
      </c>
      <c r="B258" t="s">
        <v>805</v>
      </c>
      <c r="C258" t="s">
        <v>19</v>
      </c>
      <c r="E258">
        <f ca="1">INDIRECT("'Sheet1'!M34")</f>
        <v>0</v>
      </c>
      <c r="F258" t="b">
        <f ca="1">E258=D258</f>
        <v>1</v>
      </c>
    </row>
    <row r="259" spans="1:6" x14ac:dyDescent="0.25">
      <c r="A259" t="s">
        <v>1000</v>
      </c>
      <c r="B259" t="s">
        <v>858</v>
      </c>
      <c r="C259" t="s">
        <v>20</v>
      </c>
      <c r="D259" t="s">
        <v>673</v>
      </c>
      <c r="E259">
        <f ca="1">INDIRECT("'Sheet1'!N34")</f>
        <v>0</v>
      </c>
      <c r="F259" t="b">
        <f t="shared" ref="F259:F263" ca="1" si="22">E259=D259</f>
        <v>0</v>
      </c>
    </row>
    <row r="260" spans="1:6" x14ac:dyDescent="0.25">
      <c r="A260" t="s">
        <v>1002</v>
      </c>
      <c r="B260" t="s">
        <v>806</v>
      </c>
      <c r="C260" t="s">
        <v>21</v>
      </c>
      <c r="E260">
        <f ca="1">INDIRECT("'Sheet1'!O34")</f>
        <v>0</v>
      </c>
      <c r="F260" t="b">
        <f t="shared" ca="1" si="22"/>
        <v>1</v>
      </c>
    </row>
    <row r="261" spans="1:6" x14ac:dyDescent="0.25">
      <c r="A261" t="s">
        <v>1003</v>
      </c>
      <c r="B261" t="s">
        <v>859</v>
      </c>
      <c r="C261" t="s">
        <v>22</v>
      </c>
      <c r="D261" t="s">
        <v>673</v>
      </c>
      <c r="E261">
        <f ca="1">INDIRECT("'Sheet1'!P34")</f>
        <v>0</v>
      </c>
      <c r="F261" t="b">
        <f t="shared" ca="1" si="22"/>
        <v>0</v>
      </c>
    </row>
    <row r="262" spans="1:6" x14ac:dyDescent="0.25">
      <c r="A262" t="s">
        <v>1004</v>
      </c>
      <c r="B262" t="s">
        <v>807</v>
      </c>
      <c r="C262" t="s">
        <v>23</v>
      </c>
      <c r="E262">
        <f ca="1">INDIRECT("'Sheet1'!Q34")</f>
        <v>0</v>
      </c>
      <c r="F262" t="b">
        <f t="shared" ca="1" si="22"/>
        <v>1</v>
      </c>
    </row>
    <row r="263" spans="1:6" x14ac:dyDescent="0.25">
      <c r="A263" t="s">
        <v>1005</v>
      </c>
      <c r="B263" t="s">
        <v>886</v>
      </c>
      <c r="C263" t="s">
        <v>24</v>
      </c>
      <c r="D263" t="s">
        <v>871</v>
      </c>
      <c r="E263">
        <f ca="1">INDIRECT("'Sheet1'!R34")</f>
        <v>0</v>
      </c>
      <c r="F263" t="b">
        <f t="shared" ca="1" si="22"/>
        <v>0</v>
      </c>
    </row>
    <row r="265" spans="1:6" x14ac:dyDescent="0.25">
      <c r="A265" t="s">
        <v>187</v>
      </c>
      <c r="B265" t="s">
        <v>803</v>
      </c>
      <c r="C265" t="s">
        <v>15</v>
      </c>
      <c r="D265">
        <v>47</v>
      </c>
      <c r="E265">
        <f ca="1">INDIRECT("'Sheet1'!I35")</f>
        <v>0</v>
      </c>
      <c r="F265" t="b">
        <f t="shared" ref="F265:F268" ca="1" si="23">E265=D265</f>
        <v>0</v>
      </c>
    </row>
    <row r="266" spans="1:6" x14ac:dyDescent="0.25">
      <c r="A266" t="s">
        <v>188</v>
      </c>
      <c r="B266" t="s">
        <v>873</v>
      </c>
      <c r="C266" t="s">
        <v>16</v>
      </c>
      <c r="D266" t="s">
        <v>871</v>
      </c>
      <c r="E266">
        <f ca="1">INDIRECT("'Sheet1'!J35")</f>
        <v>0</v>
      </c>
      <c r="F266" t="b">
        <f t="shared" ca="1" si="23"/>
        <v>0</v>
      </c>
    </row>
    <row r="267" spans="1:6" x14ac:dyDescent="0.25">
      <c r="A267" t="s">
        <v>1006</v>
      </c>
      <c r="B267" t="s">
        <v>875</v>
      </c>
      <c r="C267" t="s">
        <v>17</v>
      </c>
      <c r="D267">
        <v>46</v>
      </c>
      <c r="E267">
        <f ca="1">INDIRECT("'Sheet1'!K35")</f>
        <v>0</v>
      </c>
      <c r="F267" t="b">
        <f t="shared" ca="1" si="23"/>
        <v>0</v>
      </c>
    </row>
    <row r="268" spans="1:6" x14ac:dyDescent="0.25">
      <c r="A268" t="s">
        <v>1007</v>
      </c>
      <c r="B268" t="s">
        <v>876</v>
      </c>
      <c r="C268" t="s">
        <v>18</v>
      </c>
      <c r="D268" t="s">
        <v>871</v>
      </c>
      <c r="E268">
        <f ca="1">INDIRECT("'Sheet1'!L35")</f>
        <v>0</v>
      </c>
      <c r="F268" t="b">
        <f t="shared" ca="1" si="23"/>
        <v>0</v>
      </c>
    </row>
    <row r="269" spans="1:6" x14ac:dyDescent="0.25">
      <c r="A269" t="s">
        <v>1008</v>
      </c>
      <c r="B269" t="s">
        <v>878</v>
      </c>
      <c r="C269" t="s">
        <v>19</v>
      </c>
      <c r="D269">
        <v>45</v>
      </c>
      <c r="E269">
        <f ca="1">INDIRECT("'Sheet1'!M35")</f>
        <v>0</v>
      </c>
      <c r="F269" t="b">
        <f ca="1">E269=D269</f>
        <v>0</v>
      </c>
    </row>
    <row r="270" spans="1:6" x14ac:dyDescent="0.25">
      <c r="A270" t="s">
        <v>1007</v>
      </c>
      <c r="B270" t="s">
        <v>879</v>
      </c>
      <c r="C270" t="s">
        <v>20</v>
      </c>
      <c r="D270" t="s">
        <v>871</v>
      </c>
      <c r="E270">
        <f ca="1">INDIRECT("'Sheet1'!N35")</f>
        <v>0</v>
      </c>
      <c r="F270" t="b">
        <f t="shared" ref="F270:F274" ca="1" si="24">E270=D270</f>
        <v>0</v>
      </c>
    </row>
    <row r="271" spans="1:6" x14ac:dyDescent="0.25">
      <c r="A271" t="s">
        <v>1009</v>
      </c>
      <c r="B271" t="s">
        <v>881</v>
      </c>
      <c r="C271" t="s">
        <v>21</v>
      </c>
      <c r="D271">
        <v>44</v>
      </c>
      <c r="E271">
        <f ca="1">INDIRECT("'Sheet1'!O35")</f>
        <v>0</v>
      </c>
      <c r="F271" t="b">
        <f t="shared" ca="1" si="24"/>
        <v>0</v>
      </c>
    </row>
    <row r="272" spans="1:6" x14ac:dyDescent="0.25">
      <c r="A272" t="s">
        <v>1010</v>
      </c>
      <c r="B272" t="s">
        <v>883</v>
      </c>
      <c r="C272" t="s">
        <v>22</v>
      </c>
      <c r="D272" t="s">
        <v>871</v>
      </c>
      <c r="E272">
        <f ca="1">INDIRECT("'Sheet1'!P35")</f>
        <v>0</v>
      </c>
      <c r="F272" t="b">
        <f t="shared" ca="1" si="24"/>
        <v>0</v>
      </c>
    </row>
    <row r="273" spans="1:6" x14ac:dyDescent="0.25">
      <c r="A273" t="s">
        <v>1011</v>
      </c>
      <c r="B273" t="s">
        <v>884</v>
      </c>
      <c r="C273" t="s">
        <v>23</v>
      </c>
      <c r="D273">
        <v>43</v>
      </c>
      <c r="E273">
        <f ca="1">INDIRECT("'Sheet1'!Q35")</f>
        <v>0</v>
      </c>
      <c r="F273" t="b">
        <f t="shared" ca="1" si="24"/>
        <v>0</v>
      </c>
    </row>
    <row r="274" spans="1:6" x14ac:dyDescent="0.25">
      <c r="A274" t="s">
        <v>1012</v>
      </c>
      <c r="B274" t="s">
        <v>886</v>
      </c>
      <c r="C274" t="s">
        <v>24</v>
      </c>
      <c r="D274" t="s">
        <v>871</v>
      </c>
      <c r="E274">
        <f ca="1">INDIRECT("'Sheet1'!R35")</f>
        <v>0</v>
      </c>
      <c r="F274" t="b">
        <f t="shared" ca="1" si="24"/>
        <v>0</v>
      </c>
    </row>
    <row r="276" spans="1:6" x14ac:dyDescent="0.25">
      <c r="A276" t="s">
        <v>189</v>
      </c>
      <c r="B276" t="s">
        <v>978</v>
      </c>
      <c r="C276" t="s">
        <v>15</v>
      </c>
      <c r="E276">
        <f ca="1">INDIRECT("'Sheet1'!I36")</f>
        <v>0</v>
      </c>
      <c r="F276" t="b">
        <f t="shared" ref="F276:F279" ca="1" si="25">E276=D276</f>
        <v>1</v>
      </c>
    </row>
    <row r="277" spans="1:6" x14ac:dyDescent="0.25">
      <c r="A277" t="s">
        <v>190</v>
      </c>
      <c r="B277" t="s">
        <v>873</v>
      </c>
      <c r="C277" t="s">
        <v>16</v>
      </c>
      <c r="D277" t="s">
        <v>871</v>
      </c>
      <c r="E277">
        <f ca="1">INDIRECT("'Sheet1'!J36")</f>
        <v>0</v>
      </c>
      <c r="F277" t="b">
        <f t="shared" ca="1" si="25"/>
        <v>0</v>
      </c>
    </row>
    <row r="278" spans="1:6" x14ac:dyDescent="0.25">
      <c r="A278" t="s">
        <v>1013</v>
      </c>
      <c r="B278" t="s">
        <v>804</v>
      </c>
      <c r="C278" t="s">
        <v>17</v>
      </c>
      <c r="E278">
        <f ca="1">INDIRECT("'Sheet1'!K36")</f>
        <v>0</v>
      </c>
      <c r="F278" t="b">
        <f t="shared" ca="1" si="25"/>
        <v>1</v>
      </c>
    </row>
    <row r="279" spans="1:6" x14ac:dyDescent="0.25">
      <c r="A279" t="s">
        <v>1014</v>
      </c>
      <c r="B279" t="s">
        <v>1025</v>
      </c>
      <c r="C279" t="s">
        <v>18</v>
      </c>
      <c r="D279" t="s">
        <v>1020</v>
      </c>
      <c r="E279">
        <f ca="1">INDIRECT("'Sheet1'!L36")</f>
        <v>0</v>
      </c>
      <c r="F279" t="b">
        <f t="shared" ca="1" si="25"/>
        <v>0</v>
      </c>
    </row>
    <row r="280" spans="1:6" x14ac:dyDescent="0.25">
      <c r="A280" t="s">
        <v>1015</v>
      </c>
      <c r="B280" t="s">
        <v>805</v>
      </c>
      <c r="C280" t="s">
        <v>19</v>
      </c>
      <c r="E280">
        <f ca="1">INDIRECT("'Sheet1'!M36")</f>
        <v>0</v>
      </c>
      <c r="F280" t="b">
        <f ca="1">E280=D280</f>
        <v>1</v>
      </c>
    </row>
    <row r="281" spans="1:6" x14ac:dyDescent="0.25">
      <c r="A281" t="s">
        <v>1014</v>
      </c>
      <c r="B281" t="s">
        <v>1024</v>
      </c>
      <c r="C281" t="s">
        <v>20</v>
      </c>
      <c r="D281" t="s">
        <v>1021</v>
      </c>
      <c r="E281">
        <f ca="1">INDIRECT("'Sheet1'!N36")</f>
        <v>0</v>
      </c>
      <c r="F281" t="b">
        <f t="shared" ref="F281:F285" ca="1" si="26">E281=D281</f>
        <v>0</v>
      </c>
    </row>
    <row r="282" spans="1:6" x14ac:dyDescent="0.25">
      <c r="A282" t="s">
        <v>1016</v>
      </c>
      <c r="B282" t="s">
        <v>806</v>
      </c>
      <c r="C282" t="s">
        <v>21</v>
      </c>
      <c r="E282">
        <f ca="1">INDIRECT("'Sheet1'!O36")</f>
        <v>0</v>
      </c>
      <c r="F282" t="b">
        <f t="shared" ca="1" si="26"/>
        <v>1</v>
      </c>
    </row>
    <row r="283" spans="1:6" x14ac:dyDescent="0.25">
      <c r="A283" t="s">
        <v>1017</v>
      </c>
      <c r="B283" t="s">
        <v>1023</v>
      </c>
      <c r="C283" t="s">
        <v>22</v>
      </c>
      <c r="D283" t="s">
        <v>1022</v>
      </c>
      <c r="E283">
        <f ca="1">INDIRECT("'Sheet1'!P36")</f>
        <v>0</v>
      </c>
      <c r="F283" t="b">
        <f t="shared" ca="1" si="26"/>
        <v>0</v>
      </c>
    </row>
    <row r="284" spans="1:6" x14ac:dyDescent="0.25">
      <c r="A284" t="s">
        <v>1018</v>
      </c>
      <c r="B284" t="s">
        <v>884</v>
      </c>
      <c r="C284" t="s">
        <v>23</v>
      </c>
      <c r="D284">
        <v>43</v>
      </c>
      <c r="E284">
        <f ca="1">INDIRECT("'Sheet1'!Q36")</f>
        <v>0</v>
      </c>
      <c r="F284" t="b">
        <f t="shared" ca="1" si="26"/>
        <v>0</v>
      </c>
    </row>
    <row r="285" spans="1:6" x14ac:dyDescent="0.25">
      <c r="A285" t="s">
        <v>1019</v>
      </c>
      <c r="B285" t="s">
        <v>860</v>
      </c>
      <c r="C285" t="s">
        <v>24</v>
      </c>
      <c r="D285" t="s">
        <v>673</v>
      </c>
      <c r="E285">
        <f ca="1">INDIRECT("'Sheet1'!R36")</f>
        <v>0</v>
      </c>
      <c r="F285" t="b">
        <f t="shared" ca="1" si="26"/>
        <v>0</v>
      </c>
    </row>
    <row r="287" spans="1:6" x14ac:dyDescent="0.25">
      <c r="A287" t="s">
        <v>191</v>
      </c>
      <c r="B287" t="s">
        <v>978</v>
      </c>
      <c r="C287" t="s">
        <v>15</v>
      </c>
      <c r="E287">
        <f ca="1">INDIRECT("'Sheet1'!I37")</f>
        <v>0</v>
      </c>
      <c r="F287" t="b">
        <f t="shared" ref="F287:F290" ca="1" si="27">E287=D287</f>
        <v>1</v>
      </c>
    </row>
    <row r="288" spans="1:6" x14ac:dyDescent="0.25">
      <c r="A288" t="s">
        <v>192</v>
      </c>
      <c r="B288" t="s">
        <v>873</v>
      </c>
      <c r="C288" t="s">
        <v>16</v>
      </c>
      <c r="D288" t="s">
        <v>871</v>
      </c>
      <c r="E288">
        <f ca="1">INDIRECT("'Sheet1'!J37")</f>
        <v>0</v>
      </c>
      <c r="F288" t="b">
        <f t="shared" ca="1" si="27"/>
        <v>0</v>
      </c>
    </row>
    <row r="289" spans="1:6" x14ac:dyDescent="0.25">
      <c r="A289" t="s">
        <v>1026</v>
      </c>
      <c r="B289" t="s">
        <v>804</v>
      </c>
      <c r="C289" t="s">
        <v>17</v>
      </c>
      <c r="E289">
        <f ca="1">INDIRECT("'Sheet1'!K37")</f>
        <v>0</v>
      </c>
      <c r="F289" t="b">
        <f t="shared" ca="1" si="27"/>
        <v>1</v>
      </c>
    </row>
    <row r="290" spans="1:6" x14ac:dyDescent="0.25">
      <c r="A290" t="s">
        <v>1027</v>
      </c>
      <c r="B290" t="s">
        <v>1025</v>
      </c>
      <c r="C290" t="s">
        <v>18</v>
      </c>
      <c r="D290" t="s">
        <v>1020</v>
      </c>
      <c r="E290">
        <f ca="1">INDIRECT("'Sheet1'!L37")</f>
        <v>0</v>
      </c>
      <c r="F290" t="b">
        <f t="shared" ca="1" si="27"/>
        <v>0</v>
      </c>
    </row>
    <row r="291" spans="1:6" x14ac:dyDescent="0.25">
      <c r="A291" t="s">
        <v>1028</v>
      </c>
      <c r="B291" t="s">
        <v>805</v>
      </c>
      <c r="C291" t="s">
        <v>19</v>
      </c>
      <c r="E291">
        <f ca="1">INDIRECT("'Sheet1'!M37")</f>
        <v>0</v>
      </c>
      <c r="F291" t="b">
        <f ca="1">E291=D291</f>
        <v>1</v>
      </c>
    </row>
    <row r="292" spans="1:6" x14ac:dyDescent="0.25">
      <c r="A292" t="s">
        <v>1027</v>
      </c>
      <c r="B292" t="s">
        <v>1024</v>
      </c>
      <c r="C292" t="s">
        <v>20</v>
      </c>
      <c r="D292" t="s">
        <v>1021</v>
      </c>
      <c r="E292">
        <f ca="1">INDIRECT("'Sheet1'!N37")</f>
        <v>0</v>
      </c>
      <c r="F292" t="b">
        <f t="shared" ref="F292:F296" ca="1" si="28">E292=D292</f>
        <v>0</v>
      </c>
    </row>
    <row r="293" spans="1:6" x14ac:dyDescent="0.25">
      <c r="A293" t="s">
        <v>1029</v>
      </c>
      <c r="B293" t="s">
        <v>806</v>
      </c>
      <c r="C293" t="s">
        <v>21</v>
      </c>
      <c r="E293">
        <f ca="1">INDIRECT("'Sheet1'!O37")</f>
        <v>0</v>
      </c>
      <c r="F293" t="b">
        <f t="shared" ca="1" si="28"/>
        <v>1</v>
      </c>
    </row>
    <row r="294" spans="1:6" x14ac:dyDescent="0.25">
      <c r="A294" t="s">
        <v>1030</v>
      </c>
      <c r="B294" t="s">
        <v>1023</v>
      </c>
      <c r="C294" t="s">
        <v>22</v>
      </c>
      <c r="D294" t="s">
        <v>1022</v>
      </c>
      <c r="E294">
        <f ca="1">INDIRECT("'Sheet1'!P37")</f>
        <v>0</v>
      </c>
      <c r="F294" t="b">
        <f t="shared" ca="1" si="28"/>
        <v>0</v>
      </c>
    </row>
    <row r="295" spans="1:6" x14ac:dyDescent="0.25">
      <c r="A295" t="s">
        <v>1031</v>
      </c>
      <c r="B295" t="s">
        <v>884</v>
      </c>
      <c r="C295" t="s">
        <v>23</v>
      </c>
      <c r="D295">
        <v>43</v>
      </c>
      <c r="E295">
        <f ca="1">INDIRECT("'Sheet1'!Q37")</f>
        <v>0</v>
      </c>
      <c r="F295" t="b">
        <f t="shared" ca="1" si="28"/>
        <v>0</v>
      </c>
    </row>
    <row r="296" spans="1:6" x14ac:dyDescent="0.25">
      <c r="A296" t="s">
        <v>1032</v>
      </c>
      <c r="B296" t="s">
        <v>860</v>
      </c>
      <c r="C296" t="s">
        <v>24</v>
      </c>
      <c r="D296" t="s">
        <v>673</v>
      </c>
      <c r="E296">
        <f ca="1">INDIRECT("'Sheet1'!R37")</f>
        <v>0</v>
      </c>
      <c r="F296" t="b">
        <f t="shared" ca="1" si="28"/>
        <v>0</v>
      </c>
    </row>
    <row r="298" spans="1:6" x14ac:dyDescent="0.25">
      <c r="A298" t="s">
        <v>193</v>
      </c>
      <c r="B298" t="s">
        <v>803</v>
      </c>
      <c r="C298" t="s">
        <v>15</v>
      </c>
      <c r="D298">
        <v>47</v>
      </c>
      <c r="E298">
        <f ca="1">INDIRECT("'Sheet1'!I38")</f>
        <v>0</v>
      </c>
      <c r="F298" t="b">
        <f t="shared" ref="F298:F301" ca="1" si="29">E298=D298</f>
        <v>0</v>
      </c>
    </row>
    <row r="299" spans="1:6" x14ac:dyDescent="0.25">
      <c r="A299" t="s">
        <v>194</v>
      </c>
      <c r="B299" t="s">
        <v>856</v>
      </c>
      <c r="C299" t="s">
        <v>16</v>
      </c>
      <c r="D299" t="s">
        <v>673</v>
      </c>
      <c r="E299">
        <f ca="1">INDIRECT("'Sheet1'!J38")</f>
        <v>0</v>
      </c>
      <c r="F299" t="b">
        <f t="shared" ca="1" si="29"/>
        <v>0</v>
      </c>
    </row>
    <row r="300" spans="1:6" x14ac:dyDescent="0.25">
      <c r="A300" t="s">
        <v>1035</v>
      </c>
      <c r="B300" t="s">
        <v>804</v>
      </c>
      <c r="C300" t="s">
        <v>17</v>
      </c>
      <c r="E300">
        <f ca="1">INDIRECT("'Sheet1'!K38")</f>
        <v>0</v>
      </c>
      <c r="F300" t="b">
        <f t="shared" ca="1" si="29"/>
        <v>1</v>
      </c>
    </row>
    <row r="301" spans="1:6" x14ac:dyDescent="0.25">
      <c r="A301" t="s">
        <v>1036</v>
      </c>
      <c r="B301" t="s">
        <v>876</v>
      </c>
      <c r="C301" t="s">
        <v>18</v>
      </c>
      <c r="D301" t="s">
        <v>871</v>
      </c>
      <c r="E301">
        <f ca="1">INDIRECT("'Sheet1'!L38")</f>
        <v>0</v>
      </c>
      <c r="F301" t="b">
        <f t="shared" ca="1" si="29"/>
        <v>0</v>
      </c>
    </row>
    <row r="302" spans="1:6" x14ac:dyDescent="0.25">
      <c r="A302" t="s">
        <v>1037</v>
      </c>
      <c r="B302" t="s">
        <v>805</v>
      </c>
      <c r="C302" t="s">
        <v>19</v>
      </c>
      <c r="E302">
        <f ca="1">INDIRECT("'Sheet1'!M38")</f>
        <v>0</v>
      </c>
      <c r="F302" t="b">
        <f ca="1">E302=D302</f>
        <v>1</v>
      </c>
    </row>
    <row r="303" spans="1:6" x14ac:dyDescent="0.25">
      <c r="A303" t="s">
        <v>1036</v>
      </c>
      <c r="B303" t="s">
        <v>1033</v>
      </c>
      <c r="C303" t="s">
        <v>20</v>
      </c>
      <c r="D303" t="s">
        <v>1020</v>
      </c>
      <c r="E303">
        <f ca="1">INDIRECT("'Sheet1'!N38")</f>
        <v>0</v>
      </c>
      <c r="F303" t="b">
        <f t="shared" ref="F303:F311" ca="1" si="30">E303=D303</f>
        <v>0</v>
      </c>
    </row>
    <row r="304" spans="1:6" x14ac:dyDescent="0.25">
      <c r="A304" t="s">
        <v>1038</v>
      </c>
      <c r="B304" t="s">
        <v>806</v>
      </c>
      <c r="C304" t="s">
        <v>21</v>
      </c>
      <c r="E304">
        <f ca="1">INDIRECT("'Sheet1'!O38")</f>
        <v>0</v>
      </c>
      <c r="F304" t="b">
        <f t="shared" ca="1" si="30"/>
        <v>1</v>
      </c>
    </row>
    <row r="305" spans="1:6" x14ac:dyDescent="0.25">
      <c r="A305" t="s">
        <v>1039</v>
      </c>
      <c r="B305" t="s">
        <v>1034</v>
      </c>
      <c r="C305" t="s">
        <v>22</v>
      </c>
      <c r="D305" t="s">
        <v>1021</v>
      </c>
      <c r="E305">
        <f ca="1">INDIRECT("'Sheet1'!P38")</f>
        <v>0</v>
      </c>
      <c r="F305" t="b">
        <f t="shared" ca="1" si="30"/>
        <v>0</v>
      </c>
    </row>
    <row r="306" spans="1:6" x14ac:dyDescent="0.25">
      <c r="A306" t="s">
        <v>1040</v>
      </c>
      <c r="B306" t="s">
        <v>807</v>
      </c>
      <c r="C306" t="s">
        <v>23</v>
      </c>
      <c r="E306">
        <f ca="1">INDIRECT("'Sheet1'!Q38")</f>
        <v>0</v>
      </c>
      <c r="F306" t="b">
        <f t="shared" ca="1" si="30"/>
        <v>1</v>
      </c>
    </row>
    <row r="307" spans="1:6" x14ac:dyDescent="0.25">
      <c r="A307" t="s">
        <v>1041</v>
      </c>
      <c r="B307" t="s">
        <v>1042</v>
      </c>
      <c r="C307" t="s">
        <v>24</v>
      </c>
      <c r="D307" t="s">
        <v>1022</v>
      </c>
      <c r="E307">
        <f ca="1">INDIRECT("'Sheet1'!R38")</f>
        <v>0</v>
      </c>
      <c r="F307" t="b">
        <f t="shared" ca="1" si="30"/>
        <v>0</v>
      </c>
    </row>
    <row r="309" spans="1:6" x14ac:dyDescent="0.25">
      <c r="A309" t="s">
        <v>195</v>
      </c>
      <c r="B309" t="s">
        <v>1084</v>
      </c>
      <c r="C309" t="s">
        <v>25</v>
      </c>
      <c r="D309">
        <v>100</v>
      </c>
      <c r="E309">
        <f ca="1">INDIRECT("'Sheet1'!S39")</f>
        <v>0</v>
      </c>
      <c r="F309" t="b">
        <f t="shared" ca="1" si="30"/>
        <v>0</v>
      </c>
    </row>
    <row r="310" spans="1:6" x14ac:dyDescent="0.25">
      <c r="A310" t="s">
        <v>196</v>
      </c>
      <c r="B310" t="s">
        <v>1085</v>
      </c>
      <c r="C310" t="s">
        <v>26</v>
      </c>
      <c r="D310" t="s">
        <v>96</v>
      </c>
      <c r="E310">
        <f ca="1">INDIRECT("'Sheet1'!T39")</f>
        <v>0</v>
      </c>
      <c r="F310" t="b">
        <f t="shared" ca="1" si="30"/>
        <v>0</v>
      </c>
    </row>
    <row r="311" spans="1:6" x14ac:dyDescent="0.25">
      <c r="A311" t="s">
        <v>1056</v>
      </c>
      <c r="B311" t="s">
        <v>1086</v>
      </c>
      <c r="C311" t="s">
        <v>27</v>
      </c>
      <c r="D311" t="s">
        <v>673</v>
      </c>
      <c r="E311">
        <f ca="1">INDIRECT("'Sheet1'!U39")</f>
        <v>0</v>
      </c>
      <c r="F311" t="b">
        <f t="shared" ca="1" si="30"/>
        <v>0</v>
      </c>
    </row>
    <row r="313" spans="1:6" x14ac:dyDescent="0.25">
      <c r="A313" t="s">
        <v>197</v>
      </c>
      <c r="B313" t="s">
        <v>1084</v>
      </c>
      <c r="C313" t="s">
        <v>25</v>
      </c>
      <c r="D313">
        <v>100</v>
      </c>
      <c r="E313">
        <f ca="1">INDIRECT("'Sheet1'!S40")</f>
        <v>0</v>
      </c>
      <c r="F313" t="b">
        <f t="shared" ref="F313:F315" ca="1" si="31">E313=D313</f>
        <v>0</v>
      </c>
    </row>
    <row r="314" spans="1:6" x14ac:dyDescent="0.25">
      <c r="A314" t="s">
        <v>198</v>
      </c>
      <c r="B314" t="s">
        <v>1085</v>
      </c>
      <c r="C314" t="s">
        <v>26</v>
      </c>
      <c r="D314" t="s">
        <v>1059</v>
      </c>
      <c r="E314">
        <f ca="1">INDIRECT("'Sheet1'!T40")</f>
        <v>0</v>
      </c>
      <c r="F314" t="b">
        <f t="shared" ca="1" si="31"/>
        <v>0</v>
      </c>
    </row>
    <row r="315" spans="1:6" x14ac:dyDescent="0.25">
      <c r="A315" t="s">
        <v>1057</v>
      </c>
      <c r="B315" t="s">
        <v>1087</v>
      </c>
      <c r="C315" t="s">
        <v>27</v>
      </c>
      <c r="D315" t="s">
        <v>872</v>
      </c>
      <c r="E315">
        <f ca="1">INDIRECT("'Sheet1'!U40")</f>
        <v>0</v>
      </c>
      <c r="F315" t="b">
        <f t="shared" ca="1" si="31"/>
        <v>0</v>
      </c>
    </row>
    <row r="317" spans="1:6" x14ac:dyDescent="0.25">
      <c r="A317" t="s">
        <v>199</v>
      </c>
      <c r="B317" t="s">
        <v>1084</v>
      </c>
      <c r="C317" t="s">
        <v>25</v>
      </c>
      <c r="D317">
        <v>100.2</v>
      </c>
      <c r="E317">
        <f ca="1">INDIRECT("'Sheet1'!S41")</f>
        <v>0</v>
      </c>
      <c r="F317" t="b">
        <f t="shared" ref="F317:F319" ca="1" si="32">E317=D317</f>
        <v>0</v>
      </c>
    </row>
    <row r="318" spans="1:6" x14ac:dyDescent="0.25">
      <c r="A318" t="s">
        <v>200</v>
      </c>
      <c r="B318" t="s">
        <v>1085</v>
      </c>
      <c r="C318" t="s">
        <v>26</v>
      </c>
      <c r="D318" t="s">
        <v>96</v>
      </c>
      <c r="E318">
        <f ca="1">INDIRECT("'Sheet1'!T41")</f>
        <v>0</v>
      </c>
      <c r="F318" t="b">
        <f t="shared" ca="1" si="32"/>
        <v>0</v>
      </c>
    </row>
    <row r="319" spans="1:6" x14ac:dyDescent="0.25">
      <c r="A319" t="s">
        <v>1058</v>
      </c>
      <c r="B319" t="s">
        <v>1086</v>
      </c>
      <c r="C319" t="s">
        <v>27</v>
      </c>
      <c r="D319" t="s">
        <v>673</v>
      </c>
      <c r="E319">
        <f ca="1">INDIRECT("'Sheet1'!U41")</f>
        <v>0</v>
      </c>
      <c r="F319" t="b">
        <f t="shared" ca="1" si="32"/>
        <v>0</v>
      </c>
    </row>
    <row r="321" spans="1:6" x14ac:dyDescent="0.25">
      <c r="A321" t="s">
        <v>201</v>
      </c>
      <c r="B321" t="s">
        <v>1084</v>
      </c>
      <c r="C321" t="s">
        <v>25</v>
      </c>
      <c r="D321">
        <v>100.25</v>
      </c>
      <c r="E321">
        <f ca="1">INDIRECT("'Sheet1'!S42")</f>
        <v>0</v>
      </c>
      <c r="F321" t="b">
        <f t="shared" ref="F321:F323" ca="1" si="33">E321=D321</f>
        <v>0</v>
      </c>
    </row>
    <row r="322" spans="1:6" x14ac:dyDescent="0.25">
      <c r="A322" t="s">
        <v>202</v>
      </c>
      <c r="B322" t="s">
        <v>1085</v>
      </c>
      <c r="C322" t="s">
        <v>26</v>
      </c>
      <c r="D322" t="s">
        <v>96</v>
      </c>
      <c r="E322">
        <f ca="1">INDIRECT("'Sheet1'!T42")</f>
        <v>0</v>
      </c>
      <c r="F322" t="b">
        <f t="shared" ca="1" si="33"/>
        <v>0</v>
      </c>
    </row>
    <row r="323" spans="1:6" x14ac:dyDescent="0.25">
      <c r="A323" t="s">
        <v>203</v>
      </c>
      <c r="B323" t="s">
        <v>1088</v>
      </c>
      <c r="C323" t="s">
        <v>27</v>
      </c>
      <c r="D323" t="s">
        <v>871</v>
      </c>
      <c r="E323">
        <f ca="1">INDIRECT("'Sheet1'!U42")</f>
        <v>0</v>
      </c>
      <c r="F323" t="b">
        <f t="shared" ca="1" si="33"/>
        <v>0</v>
      </c>
    </row>
    <row r="325" spans="1:6" x14ac:dyDescent="0.25">
      <c r="A325" t="s">
        <v>204</v>
      </c>
      <c r="B325" t="s">
        <v>1093</v>
      </c>
      <c r="C325" t="s">
        <v>28</v>
      </c>
      <c r="D325">
        <v>99</v>
      </c>
      <c r="E325">
        <f ca="1">INDIRECT("'Sheet1'!V43")</f>
        <v>0</v>
      </c>
      <c r="F325" t="b">
        <f t="shared" ref="F325:F327" ca="1" si="34">E325=D325</f>
        <v>0</v>
      </c>
    </row>
    <row r="326" spans="1:6" x14ac:dyDescent="0.25">
      <c r="A326" t="s">
        <v>205</v>
      </c>
      <c r="B326" t="s">
        <v>1094</v>
      </c>
      <c r="C326" t="s">
        <v>29</v>
      </c>
      <c r="D326" t="s">
        <v>96</v>
      </c>
      <c r="E326">
        <f ca="1">INDIRECT("'Sheet1'!W43")</f>
        <v>0</v>
      </c>
      <c r="F326" t="b">
        <f t="shared" ca="1" si="34"/>
        <v>0</v>
      </c>
    </row>
    <row r="327" spans="1:6" x14ac:dyDescent="0.25">
      <c r="A327" t="s">
        <v>206</v>
      </c>
      <c r="B327" t="s">
        <v>1095</v>
      </c>
      <c r="C327" t="s">
        <v>30</v>
      </c>
      <c r="D327" t="s">
        <v>673</v>
      </c>
      <c r="E327">
        <f ca="1">INDIRECT("'Sheet1'!X43")</f>
        <v>0</v>
      </c>
      <c r="F327" t="b">
        <f t="shared" ca="1" si="34"/>
        <v>0</v>
      </c>
    </row>
    <row r="329" spans="1:6" x14ac:dyDescent="0.25">
      <c r="A329" t="s">
        <v>207</v>
      </c>
      <c r="B329" t="s">
        <v>1093</v>
      </c>
      <c r="C329" t="s">
        <v>28</v>
      </c>
      <c r="D329">
        <v>99</v>
      </c>
      <c r="E329">
        <f ca="1">INDIRECT("'Sheet1'!V44")</f>
        <v>0</v>
      </c>
      <c r="F329" t="b">
        <f t="shared" ref="F329:F331" ca="1" si="35">E329=D329</f>
        <v>0</v>
      </c>
    </row>
    <row r="330" spans="1:6" x14ac:dyDescent="0.25">
      <c r="A330" t="s">
        <v>208</v>
      </c>
      <c r="B330" t="s">
        <v>1094</v>
      </c>
      <c r="C330" t="s">
        <v>29</v>
      </c>
      <c r="D330" t="s">
        <v>1059</v>
      </c>
      <c r="E330">
        <f ca="1">INDIRECT("'Sheet1'!W44")</f>
        <v>0</v>
      </c>
      <c r="F330" t="b">
        <f t="shared" ca="1" si="35"/>
        <v>0</v>
      </c>
    </row>
    <row r="331" spans="1:6" x14ac:dyDescent="0.25">
      <c r="A331" t="s">
        <v>209</v>
      </c>
      <c r="B331" t="s">
        <v>1096</v>
      </c>
      <c r="C331" t="s">
        <v>30</v>
      </c>
      <c r="D331" t="s">
        <v>871</v>
      </c>
      <c r="E331">
        <f ca="1">INDIRECT("'Sheet1'!X44")</f>
        <v>0</v>
      </c>
      <c r="F331" t="b">
        <f t="shared" ca="1" si="35"/>
        <v>0</v>
      </c>
    </row>
    <row r="333" spans="1:6" x14ac:dyDescent="0.25">
      <c r="A333" t="s">
        <v>210</v>
      </c>
      <c r="B333" t="s">
        <v>1093</v>
      </c>
      <c r="C333" t="s">
        <v>28</v>
      </c>
      <c r="D333">
        <v>99.2</v>
      </c>
      <c r="E333">
        <f ca="1">INDIRECT("'Sheet1'!V45")</f>
        <v>0</v>
      </c>
      <c r="F333" t="b">
        <f t="shared" ref="F333:F335" ca="1" si="36">E333=D333</f>
        <v>0</v>
      </c>
    </row>
    <row r="334" spans="1:6" x14ac:dyDescent="0.25">
      <c r="A334" t="s">
        <v>211</v>
      </c>
      <c r="B334" t="s">
        <v>1094</v>
      </c>
      <c r="C334" t="s">
        <v>29</v>
      </c>
      <c r="D334" t="s">
        <v>96</v>
      </c>
      <c r="E334">
        <f ca="1">INDIRECT("'Sheet1'!W45")</f>
        <v>0</v>
      </c>
      <c r="F334" t="b">
        <f t="shared" ca="1" si="36"/>
        <v>0</v>
      </c>
    </row>
    <row r="335" spans="1:6" x14ac:dyDescent="0.25">
      <c r="A335" t="s">
        <v>212</v>
      </c>
      <c r="B335" t="s">
        <v>1095</v>
      </c>
      <c r="C335" t="s">
        <v>30</v>
      </c>
      <c r="D335" t="s">
        <v>673</v>
      </c>
      <c r="E335">
        <f ca="1">INDIRECT("'Sheet1'!X45")</f>
        <v>0</v>
      </c>
      <c r="F335" t="b">
        <f t="shared" ca="1" si="36"/>
        <v>0</v>
      </c>
    </row>
    <row r="337" spans="1:6" x14ac:dyDescent="0.25">
      <c r="A337" t="s">
        <v>213</v>
      </c>
      <c r="B337" t="s">
        <v>1093</v>
      </c>
      <c r="C337" t="s">
        <v>28</v>
      </c>
      <c r="D337">
        <v>99.25</v>
      </c>
      <c r="E337">
        <f ca="1">INDIRECT("'Sheet1'!V46")</f>
        <v>0</v>
      </c>
      <c r="F337" t="b">
        <f t="shared" ref="F337:F339" ca="1" si="37">E337=D337</f>
        <v>0</v>
      </c>
    </row>
    <row r="338" spans="1:6" x14ac:dyDescent="0.25">
      <c r="A338" t="s">
        <v>214</v>
      </c>
      <c r="B338" t="s">
        <v>1094</v>
      </c>
      <c r="C338" t="s">
        <v>29</v>
      </c>
      <c r="D338" t="s">
        <v>96</v>
      </c>
      <c r="E338">
        <f ca="1">INDIRECT("'Sheet1'!W46")</f>
        <v>0</v>
      </c>
      <c r="F338" t="b">
        <f t="shared" ca="1" si="37"/>
        <v>0</v>
      </c>
    </row>
    <row r="339" spans="1:6" x14ac:dyDescent="0.25">
      <c r="A339" t="s">
        <v>215</v>
      </c>
      <c r="B339" t="s">
        <v>1097</v>
      </c>
      <c r="C339" t="s">
        <v>30</v>
      </c>
      <c r="D339" t="s">
        <v>872</v>
      </c>
      <c r="E339">
        <f ca="1">INDIRECT("'Sheet1'!X46")</f>
        <v>0</v>
      </c>
      <c r="F339" t="b">
        <f t="shared" ca="1" si="37"/>
        <v>0</v>
      </c>
    </row>
    <row r="341" spans="1:6" x14ac:dyDescent="0.25">
      <c r="A341" t="s">
        <v>216</v>
      </c>
      <c r="B341" t="s">
        <v>1084</v>
      </c>
      <c r="C341" t="s">
        <v>25</v>
      </c>
      <c r="D341">
        <v>100</v>
      </c>
      <c r="E341">
        <f ca="1">INDIRECT("'Sheet1'!S47")</f>
        <v>0</v>
      </c>
      <c r="F341" t="b">
        <f t="shared" ref="F341:F346" ca="1" si="38">E341=D341</f>
        <v>0</v>
      </c>
    </row>
    <row r="342" spans="1:6" x14ac:dyDescent="0.25">
      <c r="A342" t="s">
        <v>217</v>
      </c>
      <c r="B342" t="s">
        <v>1085</v>
      </c>
      <c r="C342" t="s">
        <v>26</v>
      </c>
      <c r="D342" t="s">
        <v>96</v>
      </c>
      <c r="E342">
        <f ca="1">INDIRECT("'Sheet1'!T47")</f>
        <v>0</v>
      </c>
      <c r="F342" t="b">
        <f t="shared" ca="1" si="38"/>
        <v>0</v>
      </c>
    </row>
    <row r="343" spans="1:6" x14ac:dyDescent="0.25">
      <c r="A343" t="s">
        <v>218</v>
      </c>
      <c r="B343" t="s">
        <v>1089</v>
      </c>
      <c r="C343" t="s">
        <v>27</v>
      </c>
      <c r="D343" t="s">
        <v>679</v>
      </c>
      <c r="E343">
        <f ca="1">INDIRECT("'Sheet1'!U47")</f>
        <v>0</v>
      </c>
      <c r="F343" t="b">
        <f t="shared" ca="1" si="38"/>
        <v>0</v>
      </c>
    </row>
    <row r="344" spans="1:6" x14ac:dyDescent="0.25">
      <c r="A344" t="s">
        <v>219</v>
      </c>
      <c r="B344" t="s">
        <v>1098</v>
      </c>
      <c r="C344" t="s">
        <v>28</v>
      </c>
      <c r="E344">
        <f ca="1">INDIRECT("'Sheet1'!V47")</f>
        <v>0</v>
      </c>
      <c r="F344" t="b">
        <f t="shared" ca="1" si="38"/>
        <v>1</v>
      </c>
    </row>
    <row r="345" spans="1:6" x14ac:dyDescent="0.25">
      <c r="A345" t="s">
        <v>1060</v>
      </c>
      <c r="B345" t="s">
        <v>1094</v>
      </c>
      <c r="C345" t="s">
        <v>29</v>
      </c>
      <c r="D345" t="s">
        <v>96</v>
      </c>
      <c r="E345">
        <f ca="1">INDIRECT("'Sheet1'!W47")</f>
        <v>0</v>
      </c>
      <c r="F345" t="b">
        <f t="shared" ca="1" si="38"/>
        <v>0</v>
      </c>
    </row>
    <row r="346" spans="1:6" x14ac:dyDescent="0.25">
      <c r="A346" t="s">
        <v>1061</v>
      </c>
      <c r="B346" t="s">
        <v>1099</v>
      </c>
      <c r="C346" t="s">
        <v>30</v>
      </c>
      <c r="D346" t="s">
        <v>680</v>
      </c>
      <c r="E346">
        <f ca="1">INDIRECT("'Sheet1'!X47")</f>
        <v>0</v>
      </c>
      <c r="F346" t="b">
        <f t="shared" ca="1" si="38"/>
        <v>0</v>
      </c>
    </row>
    <row r="348" spans="1:6" x14ac:dyDescent="0.25">
      <c r="A348" t="s">
        <v>220</v>
      </c>
      <c r="B348" t="s">
        <v>1090</v>
      </c>
      <c r="C348" t="s">
        <v>25</v>
      </c>
      <c r="E348">
        <f ca="1">INDIRECT("'Sheet1'!S48")</f>
        <v>0</v>
      </c>
      <c r="F348" t="b">
        <f t="shared" ref="F348:F353" ca="1" si="39">E348=D348</f>
        <v>1</v>
      </c>
    </row>
    <row r="349" spans="1:6" x14ac:dyDescent="0.25">
      <c r="A349" t="s">
        <v>221</v>
      </c>
      <c r="B349" t="s">
        <v>1085</v>
      </c>
      <c r="C349" t="s">
        <v>26</v>
      </c>
      <c r="D349" t="s">
        <v>1059</v>
      </c>
      <c r="E349">
        <f ca="1">INDIRECT("'Sheet1'!T48")</f>
        <v>0</v>
      </c>
      <c r="F349" t="b">
        <f t="shared" ca="1" si="39"/>
        <v>0</v>
      </c>
    </row>
    <row r="350" spans="1:6" x14ac:dyDescent="0.25">
      <c r="A350" t="s">
        <v>222</v>
      </c>
      <c r="B350" t="s">
        <v>1091</v>
      </c>
      <c r="C350" t="s">
        <v>27</v>
      </c>
      <c r="D350" t="s">
        <v>680</v>
      </c>
      <c r="E350">
        <f ca="1">INDIRECT("'Sheet1'!U48")</f>
        <v>0</v>
      </c>
      <c r="F350" t="b">
        <f t="shared" ca="1" si="39"/>
        <v>0</v>
      </c>
    </row>
    <row r="351" spans="1:6" x14ac:dyDescent="0.25">
      <c r="A351" t="s">
        <v>223</v>
      </c>
      <c r="B351" t="s">
        <v>1093</v>
      </c>
      <c r="C351" t="s">
        <v>28</v>
      </c>
      <c r="D351">
        <v>99.2</v>
      </c>
      <c r="E351">
        <f ca="1">INDIRECT("'Sheet1'!V48")</f>
        <v>0</v>
      </c>
      <c r="F351" t="b">
        <f t="shared" ca="1" si="39"/>
        <v>0</v>
      </c>
    </row>
    <row r="352" spans="1:6" x14ac:dyDescent="0.25">
      <c r="A352" t="s">
        <v>1062</v>
      </c>
      <c r="B352" t="s">
        <v>1094</v>
      </c>
      <c r="C352" t="s">
        <v>29</v>
      </c>
      <c r="D352" t="s">
        <v>96</v>
      </c>
      <c r="E352">
        <f ca="1">INDIRECT("'Sheet1'!W48")</f>
        <v>0</v>
      </c>
      <c r="F352" t="b">
        <f t="shared" ca="1" si="39"/>
        <v>0</v>
      </c>
    </row>
    <row r="353" spans="1:6" x14ac:dyDescent="0.25">
      <c r="A353" t="s">
        <v>1063</v>
      </c>
      <c r="B353" t="s">
        <v>1100</v>
      </c>
      <c r="C353" t="s">
        <v>30</v>
      </c>
      <c r="D353" t="s">
        <v>679</v>
      </c>
      <c r="E353">
        <f ca="1">INDIRECT("'Sheet1'!X48")</f>
        <v>0</v>
      </c>
      <c r="F353" t="b">
        <f t="shared" ca="1" si="39"/>
        <v>0</v>
      </c>
    </row>
    <row r="355" spans="1:6" x14ac:dyDescent="0.25">
      <c r="A355" t="s">
        <v>224</v>
      </c>
      <c r="B355" t="s">
        <v>1084</v>
      </c>
      <c r="C355" t="s">
        <v>25</v>
      </c>
      <c r="D355">
        <v>100</v>
      </c>
      <c r="E355">
        <f ca="1">INDIRECT("'Sheet1'!S49")</f>
        <v>0</v>
      </c>
      <c r="F355" t="b">
        <f t="shared" ref="F355:F360" ca="1" si="40">E355=D355</f>
        <v>0</v>
      </c>
    </row>
    <row r="356" spans="1:6" x14ac:dyDescent="0.25">
      <c r="A356" t="s">
        <v>225</v>
      </c>
      <c r="B356" t="s">
        <v>1085</v>
      </c>
      <c r="C356" t="s">
        <v>26</v>
      </c>
      <c r="D356" t="s">
        <v>1059</v>
      </c>
      <c r="E356">
        <f ca="1">INDIRECT("'Sheet1'!T49")</f>
        <v>0</v>
      </c>
      <c r="F356" t="b">
        <f t="shared" ca="1" si="40"/>
        <v>0</v>
      </c>
    </row>
    <row r="357" spans="1:6" x14ac:dyDescent="0.25">
      <c r="A357" t="s">
        <v>226</v>
      </c>
      <c r="B357" t="s">
        <v>1092</v>
      </c>
      <c r="C357" t="s">
        <v>27</v>
      </c>
      <c r="D357" t="s">
        <v>676</v>
      </c>
      <c r="E357">
        <f ca="1">INDIRECT("'Sheet1'!U49")</f>
        <v>0</v>
      </c>
      <c r="F357" t="b">
        <f t="shared" ca="1" si="40"/>
        <v>0</v>
      </c>
    </row>
    <row r="358" spans="1:6" x14ac:dyDescent="0.25">
      <c r="A358" t="s">
        <v>227</v>
      </c>
      <c r="B358" t="s">
        <v>1093</v>
      </c>
      <c r="C358" t="s">
        <v>28</v>
      </c>
      <c r="E358">
        <f ca="1">INDIRECT("'Sheet1'!V49")</f>
        <v>0</v>
      </c>
      <c r="F358" t="b">
        <f t="shared" ca="1" si="40"/>
        <v>1</v>
      </c>
    </row>
    <row r="359" spans="1:6" x14ac:dyDescent="0.25">
      <c r="A359" t="s">
        <v>1064</v>
      </c>
      <c r="B359" t="s">
        <v>1094</v>
      </c>
      <c r="C359" t="s">
        <v>29</v>
      </c>
      <c r="D359" t="s">
        <v>96</v>
      </c>
      <c r="E359">
        <f ca="1">INDIRECT("'Sheet1'!W49")</f>
        <v>0</v>
      </c>
      <c r="F359" t="b">
        <f t="shared" ca="1" si="40"/>
        <v>0</v>
      </c>
    </row>
    <row r="360" spans="1:6" x14ac:dyDescent="0.25">
      <c r="A360" t="s">
        <v>1065</v>
      </c>
      <c r="B360" t="s">
        <v>1101</v>
      </c>
      <c r="C360" t="s">
        <v>30</v>
      </c>
      <c r="D360" t="s">
        <v>676</v>
      </c>
      <c r="E360">
        <f ca="1">INDIRECT("'Sheet1'!X49")</f>
        <v>0</v>
      </c>
      <c r="F360" t="b">
        <f t="shared" ca="1" si="40"/>
        <v>0</v>
      </c>
    </row>
    <row r="362" spans="1:6" x14ac:dyDescent="0.25">
      <c r="A362" t="s">
        <v>228</v>
      </c>
      <c r="B362" t="s">
        <v>1066</v>
      </c>
      <c r="C362" t="s">
        <v>31</v>
      </c>
      <c r="D362">
        <v>98</v>
      </c>
      <c r="E362">
        <f ca="1">INDIRECT("'Sheet1'!Y50")</f>
        <v>0</v>
      </c>
      <c r="F362" t="b">
        <f t="shared" ref="F362:F364" ca="1" si="41">E362=D362</f>
        <v>0</v>
      </c>
    </row>
    <row r="363" spans="1:6" x14ac:dyDescent="0.25">
      <c r="A363" t="s">
        <v>229</v>
      </c>
      <c r="B363" t="s">
        <v>1067</v>
      </c>
      <c r="C363" t="s">
        <v>32</v>
      </c>
      <c r="D363" t="s">
        <v>96</v>
      </c>
      <c r="E363">
        <f ca="1">INDIRECT("'Sheet1'!Z50")</f>
        <v>0</v>
      </c>
      <c r="F363" t="b">
        <f t="shared" ca="1" si="41"/>
        <v>0</v>
      </c>
    </row>
    <row r="364" spans="1:6" x14ac:dyDescent="0.25">
      <c r="A364" t="s">
        <v>230</v>
      </c>
      <c r="B364" t="s">
        <v>1068</v>
      </c>
      <c r="C364" t="s">
        <v>33</v>
      </c>
      <c r="D364" t="s">
        <v>673</v>
      </c>
      <c r="E364">
        <f ca="1">INDIRECT("'Sheet1'!AA50")</f>
        <v>0</v>
      </c>
      <c r="F364" t="b">
        <f t="shared" ca="1" si="41"/>
        <v>0</v>
      </c>
    </row>
    <row r="366" spans="1:6" x14ac:dyDescent="0.25">
      <c r="A366" t="s">
        <v>231</v>
      </c>
      <c r="B366" t="s">
        <v>1066</v>
      </c>
      <c r="C366" t="s">
        <v>31</v>
      </c>
      <c r="D366">
        <v>98</v>
      </c>
      <c r="E366">
        <f ca="1">INDIRECT("'Sheet1'!Y51")</f>
        <v>0</v>
      </c>
      <c r="F366" t="b">
        <f t="shared" ref="F366:F368" ca="1" si="42">E366=D366</f>
        <v>0</v>
      </c>
    </row>
    <row r="367" spans="1:6" x14ac:dyDescent="0.25">
      <c r="A367" t="s">
        <v>232</v>
      </c>
      <c r="B367" t="s">
        <v>1067</v>
      </c>
      <c r="C367" t="s">
        <v>32</v>
      </c>
      <c r="D367" t="s">
        <v>1059</v>
      </c>
      <c r="E367">
        <f ca="1">INDIRECT("'Sheet1'!Z51")</f>
        <v>0</v>
      </c>
      <c r="F367" t="b">
        <f t="shared" ca="1" si="42"/>
        <v>0</v>
      </c>
    </row>
    <row r="368" spans="1:6" x14ac:dyDescent="0.25">
      <c r="A368" t="s">
        <v>233</v>
      </c>
      <c r="B368" t="s">
        <v>1070</v>
      </c>
      <c r="C368" t="s">
        <v>33</v>
      </c>
      <c r="D368" t="s">
        <v>871</v>
      </c>
      <c r="E368">
        <f ca="1">INDIRECT("'Sheet1'!AA51")</f>
        <v>0</v>
      </c>
      <c r="F368" t="b">
        <f t="shared" ca="1" si="42"/>
        <v>0</v>
      </c>
    </row>
    <row r="370" spans="1:6" x14ac:dyDescent="0.25">
      <c r="A370" t="s">
        <v>234</v>
      </c>
      <c r="B370" t="s">
        <v>1066</v>
      </c>
      <c r="C370" t="s">
        <v>31</v>
      </c>
      <c r="D370">
        <v>98.2</v>
      </c>
      <c r="E370">
        <f ca="1">INDIRECT("'Sheet1'!Y52")</f>
        <v>0</v>
      </c>
      <c r="F370" t="b">
        <f t="shared" ref="F370:F372" ca="1" si="43">E370=D370</f>
        <v>0</v>
      </c>
    </row>
    <row r="371" spans="1:6" x14ac:dyDescent="0.25">
      <c r="A371" t="s">
        <v>235</v>
      </c>
      <c r="B371" t="s">
        <v>1067</v>
      </c>
      <c r="C371" t="s">
        <v>32</v>
      </c>
      <c r="D371" t="s">
        <v>96</v>
      </c>
      <c r="E371">
        <f ca="1">INDIRECT("'Sheet1'!Z52")</f>
        <v>0</v>
      </c>
      <c r="F371" t="b">
        <f t="shared" ca="1" si="43"/>
        <v>0</v>
      </c>
    </row>
    <row r="372" spans="1:6" x14ac:dyDescent="0.25">
      <c r="A372" t="s">
        <v>236</v>
      </c>
      <c r="B372" t="s">
        <v>1068</v>
      </c>
      <c r="C372" t="s">
        <v>33</v>
      </c>
      <c r="D372" t="s">
        <v>673</v>
      </c>
      <c r="E372">
        <f ca="1">INDIRECT("'Sheet1'!AA52")</f>
        <v>0</v>
      </c>
      <c r="F372" t="b">
        <f t="shared" ca="1" si="43"/>
        <v>0</v>
      </c>
    </row>
    <row r="374" spans="1:6" x14ac:dyDescent="0.25">
      <c r="A374" t="s">
        <v>237</v>
      </c>
      <c r="B374" t="s">
        <v>1066</v>
      </c>
      <c r="C374" t="s">
        <v>31</v>
      </c>
      <c r="D374">
        <v>98.25</v>
      </c>
      <c r="E374">
        <f ca="1">INDIRECT("'Sheet1'!Y53")</f>
        <v>0</v>
      </c>
      <c r="F374" t="b">
        <f t="shared" ref="F374:F376" ca="1" si="44">E374=D374</f>
        <v>0</v>
      </c>
    </row>
    <row r="375" spans="1:6" x14ac:dyDescent="0.25">
      <c r="A375" t="s">
        <v>238</v>
      </c>
      <c r="B375" t="s">
        <v>1067</v>
      </c>
      <c r="C375" t="s">
        <v>32</v>
      </c>
      <c r="D375" t="s">
        <v>96</v>
      </c>
      <c r="E375">
        <f ca="1">INDIRECT("'Sheet1'!Z53")</f>
        <v>0</v>
      </c>
      <c r="F375" t="b">
        <f t="shared" ca="1" si="44"/>
        <v>0</v>
      </c>
    </row>
    <row r="376" spans="1:6" x14ac:dyDescent="0.25">
      <c r="A376" t="s">
        <v>239</v>
      </c>
      <c r="B376" t="s">
        <v>1069</v>
      </c>
      <c r="C376" t="s">
        <v>33</v>
      </c>
      <c r="D376" t="s">
        <v>872</v>
      </c>
      <c r="E376">
        <f ca="1">INDIRECT("'Sheet1'!AA53")</f>
        <v>0</v>
      </c>
      <c r="F376" t="b">
        <f t="shared" ca="1" si="44"/>
        <v>0</v>
      </c>
    </row>
    <row r="378" spans="1:6" x14ac:dyDescent="0.25">
      <c r="A378" t="s">
        <v>240</v>
      </c>
      <c r="B378" t="s">
        <v>1075</v>
      </c>
      <c r="C378" t="s">
        <v>34</v>
      </c>
      <c r="D378">
        <v>97</v>
      </c>
      <c r="E378">
        <f ca="1">INDIRECT("'Sheet1'!AB54")</f>
        <v>0</v>
      </c>
      <c r="F378" t="b">
        <f t="shared" ref="F378:F380" ca="1" si="45">E378=D378</f>
        <v>0</v>
      </c>
    </row>
    <row r="379" spans="1:6" x14ac:dyDescent="0.25">
      <c r="A379" t="s">
        <v>241</v>
      </c>
      <c r="B379" t="s">
        <v>1076</v>
      </c>
      <c r="C379" t="s">
        <v>35</v>
      </c>
      <c r="D379" t="s">
        <v>96</v>
      </c>
      <c r="E379">
        <f ca="1">INDIRECT("'Sheet1'!AC54")</f>
        <v>0</v>
      </c>
      <c r="F379" t="b">
        <f t="shared" ca="1" si="45"/>
        <v>0</v>
      </c>
    </row>
    <row r="380" spans="1:6" x14ac:dyDescent="0.25">
      <c r="A380" t="s">
        <v>242</v>
      </c>
      <c r="B380" t="s">
        <v>1077</v>
      </c>
      <c r="C380" t="s">
        <v>36</v>
      </c>
      <c r="D380" t="s">
        <v>673</v>
      </c>
      <c r="E380">
        <f ca="1">INDIRECT("'Sheet1'!AD54")</f>
        <v>0</v>
      </c>
      <c r="F380" t="b">
        <f t="shared" ca="1" si="45"/>
        <v>0</v>
      </c>
    </row>
    <row r="382" spans="1:6" x14ac:dyDescent="0.25">
      <c r="A382" t="s">
        <v>243</v>
      </c>
      <c r="B382" t="s">
        <v>1075</v>
      </c>
      <c r="C382" t="s">
        <v>34</v>
      </c>
      <c r="D382">
        <v>97</v>
      </c>
      <c r="E382">
        <f ca="1">INDIRECT("'Sheet1'!AB55")</f>
        <v>0</v>
      </c>
      <c r="F382" t="b">
        <f t="shared" ref="F382:F384" ca="1" si="46">E382=D382</f>
        <v>0</v>
      </c>
    </row>
    <row r="383" spans="1:6" x14ac:dyDescent="0.25">
      <c r="A383" t="s">
        <v>244</v>
      </c>
      <c r="B383" t="s">
        <v>1076</v>
      </c>
      <c r="C383" t="s">
        <v>35</v>
      </c>
      <c r="D383" t="s">
        <v>1059</v>
      </c>
      <c r="E383">
        <f ca="1">INDIRECT("'Sheet1'!AC55")</f>
        <v>0</v>
      </c>
      <c r="F383" t="b">
        <f t="shared" ca="1" si="46"/>
        <v>0</v>
      </c>
    </row>
    <row r="384" spans="1:6" x14ac:dyDescent="0.25">
      <c r="A384" t="s">
        <v>245</v>
      </c>
      <c r="B384" t="s">
        <v>1078</v>
      </c>
      <c r="C384" t="s">
        <v>36</v>
      </c>
      <c r="D384" t="s">
        <v>871</v>
      </c>
      <c r="E384">
        <f ca="1">INDIRECT("'Sheet1'!AD55")</f>
        <v>0</v>
      </c>
      <c r="F384" t="b">
        <f t="shared" ca="1" si="46"/>
        <v>0</v>
      </c>
    </row>
    <row r="386" spans="1:6" x14ac:dyDescent="0.25">
      <c r="A386" t="s">
        <v>246</v>
      </c>
      <c r="B386" t="s">
        <v>1075</v>
      </c>
      <c r="C386" t="s">
        <v>34</v>
      </c>
      <c r="D386">
        <v>97.2</v>
      </c>
      <c r="E386">
        <f ca="1">INDIRECT("'Sheet1'!AB56")</f>
        <v>0</v>
      </c>
      <c r="F386" t="b">
        <f t="shared" ref="F386:F388" ca="1" si="47">E386=D386</f>
        <v>0</v>
      </c>
    </row>
    <row r="387" spans="1:6" x14ac:dyDescent="0.25">
      <c r="A387" t="s">
        <v>247</v>
      </c>
      <c r="B387" t="s">
        <v>1076</v>
      </c>
      <c r="C387" t="s">
        <v>35</v>
      </c>
      <c r="D387" t="s">
        <v>96</v>
      </c>
      <c r="E387">
        <f ca="1">INDIRECT("'Sheet1'!AC56")</f>
        <v>0</v>
      </c>
      <c r="F387" t="b">
        <f t="shared" ca="1" si="47"/>
        <v>0</v>
      </c>
    </row>
    <row r="388" spans="1:6" x14ac:dyDescent="0.25">
      <c r="A388" t="s">
        <v>248</v>
      </c>
      <c r="B388" t="s">
        <v>1077</v>
      </c>
      <c r="C388" t="s">
        <v>36</v>
      </c>
      <c r="D388" t="s">
        <v>673</v>
      </c>
      <c r="E388">
        <f ca="1">INDIRECT("'Sheet1'!AD56")</f>
        <v>0</v>
      </c>
      <c r="F388" t="b">
        <f t="shared" ca="1" si="47"/>
        <v>0</v>
      </c>
    </row>
    <row r="390" spans="1:6" x14ac:dyDescent="0.25">
      <c r="A390" t="s">
        <v>249</v>
      </c>
      <c r="B390" t="s">
        <v>1075</v>
      </c>
      <c r="C390" t="s">
        <v>34</v>
      </c>
      <c r="D390">
        <v>97.25</v>
      </c>
      <c r="E390">
        <f ca="1">INDIRECT("'Sheet1'!AB57")</f>
        <v>0</v>
      </c>
      <c r="F390" t="b">
        <f t="shared" ref="F390:F392" ca="1" si="48">E390=D390</f>
        <v>0</v>
      </c>
    </row>
    <row r="391" spans="1:6" x14ac:dyDescent="0.25">
      <c r="A391" t="s">
        <v>250</v>
      </c>
      <c r="B391" t="s">
        <v>1076</v>
      </c>
      <c r="C391" t="s">
        <v>35</v>
      </c>
      <c r="D391" t="s">
        <v>96</v>
      </c>
      <c r="E391">
        <f ca="1">INDIRECT("'Sheet1'!AC57")</f>
        <v>0</v>
      </c>
      <c r="F391" t="b">
        <f t="shared" ca="1" si="48"/>
        <v>0</v>
      </c>
    </row>
    <row r="392" spans="1:6" x14ac:dyDescent="0.25">
      <c r="A392" t="s">
        <v>251</v>
      </c>
      <c r="B392" t="s">
        <v>1079</v>
      </c>
      <c r="C392" t="s">
        <v>36</v>
      </c>
      <c r="D392" t="s">
        <v>872</v>
      </c>
      <c r="E392">
        <f ca="1">INDIRECT("'Sheet1'!AD57")</f>
        <v>0</v>
      </c>
      <c r="F392" t="b">
        <f t="shared" ca="1" si="48"/>
        <v>0</v>
      </c>
    </row>
    <row r="394" spans="1:6" x14ac:dyDescent="0.25">
      <c r="A394" t="s">
        <v>252</v>
      </c>
      <c r="B394" t="s">
        <v>1066</v>
      </c>
      <c r="C394" t="s">
        <v>31</v>
      </c>
      <c r="D394">
        <v>98</v>
      </c>
      <c r="E394">
        <f ca="1">INDIRECT("'Sheet1'!Y58")</f>
        <v>0</v>
      </c>
      <c r="F394" t="b">
        <f t="shared" ref="F394:F399" ca="1" si="49">E394=D394</f>
        <v>0</v>
      </c>
    </row>
    <row r="395" spans="1:6" x14ac:dyDescent="0.25">
      <c r="A395" t="s">
        <v>253</v>
      </c>
      <c r="B395" t="s">
        <v>1067</v>
      </c>
      <c r="C395" t="s">
        <v>32</v>
      </c>
      <c r="D395" t="s">
        <v>96</v>
      </c>
      <c r="E395">
        <f ca="1">INDIRECT("'Sheet1'!Z58")</f>
        <v>0</v>
      </c>
      <c r="F395" t="b">
        <f t="shared" ca="1" si="49"/>
        <v>0</v>
      </c>
    </row>
    <row r="396" spans="1:6" x14ac:dyDescent="0.25">
      <c r="A396" t="s">
        <v>254</v>
      </c>
      <c r="B396" t="s">
        <v>1071</v>
      </c>
      <c r="C396" t="s">
        <v>33</v>
      </c>
      <c r="D396" t="s">
        <v>679</v>
      </c>
      <c r="E396">
        <f ca="1">INDIRECT("'Sheet1'!AA58")</f>
        <v>0</v>
      </c>
      <c r="F396" t="b">
        <f t="shared" ca="1" si="49"/>
        <v>0</v>
      </c>
    </row>
    <row r="397" spans="1:6" x14ac:dyDescent="0.25">
      <c r="A397" t="s">
        <v>255</v>
      </c>
      <c r="B397" t="s">
        <v>1080</v>
      </c>
      <c r="C397" t="s">
        <v>34</v>
      </c>
      <c r="E397">
        <f ca="1">INDIRECT("'Sheet1'!AB58")</f>
        <v>0</v>
      </c>
      <c r="F397" t="b">
        <f t="shared" ca="1" si="49"/>
        <v>1</v>
      </c>
    </row>
    <row r="398" spans="1:6" x14ac:dyDescent="0.25">
      <c r="A398" t="s">
        <v>256</v>
      </c>
      <c r="B398" t="s">
        <v>1076</v>
      </c>
      <c r="C398" t="s">
        <v>35</v>
      </c>
      <c r="D398" t="s">
        <v>96</v>
      </c>
      <c r="E398">
        <f ca="1">INDIRECT("'Sheet1'!AC58")</f>
        <v>0</v>
      </c>
      <c r="F398" t="b">
        <f t="shared" ca="1" si="49"/>
        <v>0</v>
      </c>
    </row>
    <row r="399" spans="1:6" x14ac:dyDescent="0.25">
      <c r="A399" t="s">
        <v>257</v>
      </c>
      <c r="B399" t="s">
        <v>1081</v>
      </c>
      <c r="C399" t="s">
        <v>36</v>
      </c>
      <c r="D399" t="s">
        <v>680</v>
      </c>
      <c r="E399">
        <f ca="1">INDIRECT("'Sheet1'!AD58")</f>
        <v>0</v>
      </c>
      <c r="F399" t="b">
        <f t="shared" ca="1" si="49"/>
        <v>0</v>
      </c>
    </row>
    <row r="401" spans="1:6" x14ac:dyDescent="0.25">
      <c r="A401" t="s">
        <v>258</v>
      </c>
      <c r="B401" t="s">
        <v>1072</v>
      </c>
      <c r="C401" t="s">
        <v>31</v>
      </c>
      <c r="E401">
        <f ca="1">INDIRECT("'Sheet1'!Y59")</f>
        <v>0</v>
      </c>
      <c r="F401" t="b">
        <f t="shared" ref="F401:F406" ca="1" si="50">E401=D401</f>
        <v>1</v>
      </c>
    </row>
    <row r="402" spans="1:6" x14ac:dyDescent="0.25">
      <c r="A402" t="s">
        <v>259</v>
      </c>
      <c r="B402" t="s">
        <v>1067</v>
      </c>
      <c r="C402" t="s">
        <v>32</v>
      </c>
      <c r="D402" t="s">
        <v>1059</v>
      </c>
      <c r="E402">
        <f ca="1">INDIRECT("'Sheet1'!Z59")</f>
        <v>0</v>
      </c>
      <c r="F402" t="b">
        <f t="shared" ca="1" si="50"/>
        <v>0</v>
      </c>
    </row>
    <row r="403" spans="1:6" x14ac:dyDescent="0.25">
      <c r="A403" t="s">
        <v>260</v>
      </c>
      <c r="B403" t="s">
        <v>1073</v>
      </c>
      <c r="C403" t="s">
        <v>33</v>
      </c>
      <c r="D403" t="s">
        <v>680</v>
      </c>
      <c r="E403">
        <f ca="1">INDIRECT("'Sheet1'!AA59")</f>
        <v>0</v>
      </c>
      <c r="F403" t="b">
        <f t="shared" ca="1" si="50"/>
        <v>0</v>
      </c>
    </row>
    <row r="404" spans="1:6" x14ac:dyDescent="0.25">
      <c r="A404" t="s">
        <v>261</v>
      </c>
      <c r="B404" t="s">
        <v>1075</v>
      </c>
      <c r="C404" t="s">
        <v>34</v>
      </c>
      <c r="D404">
        <v>97.2</v>
      </c>
      <c r="E404">
        <f ca="1">INDIRECT("'Sheet1'!AB59")</f>
        <v>0</v>
      </c>
      <c r="F404" t="b">
        <f t="shared" ca="1" si="50"/>
        <v>0</v>
      </c>
    </row>
    <row r="405" spans="1:6" x14ac:dyDescent="0.25">
      <c r="A405" t="s">
        <v>262</v>
      </c>
      <c r="B405" t="s">
        <v>1076</v>
      </c>
      <c r="C405" t="s">
        <v>35</v>
      </c>
      <c r="D405" t="s">
        <v>96</v>
      </c>
      <c r="E405">
        <f ca="1">INDIRECT("'Sheet1'!AC59")</f>
        <v>0</v>
      </c>
      <c r="F405" t="b">
        <f t="shared" ca="1" si="50"/>
        <v>0</v>
      </c>
    </row>
    <row r="406" spans="1:6" x14ac:dyDescent="0.25">
      <c r="A406" t="s">
        <v>263</v>
      </c>
      <c r="B406" t="s">
        <v>1082</v>
      </c>
      <c r="C406" t="s">
        <v>36</v>
      </c>
      <c r="D406" t="s">
        <v>679</v>
      </c>
      <c r="E406">
        <f ca="1">INDIRECT("'Sheet1'!AD59")</f>
        <v>0</v>
      </c>
      <c r="F406" t="b">
        <f t="shared" ca="1" si="50"/>
        <v>0</v>
      </c>
    </row>
    <row r="408" spans="1:6" x14ac:dyDescent="0.25">
      <c r="A408" t="s">
        <v>264</v>
      </c>
      <c r="B408" t="s">
        <v>1066</v>
      </c>
      <c r="C408" t="s">
        <v>31</v>
      </c>
      <c r="D408">
        <v>98</v>
      </c>
      <c r="E408">
        <f ca="1">INDIRECT("'Sheet1'!Y60")</f>
        <v>0</v>
      </c>
      <c r="F408" t="b">
        <f t="shared" ref="F408:F413" ca="1" si="51">E408=D408</f>
        <v>0</v>
      </c>
    </row>
    <row r="409" spans="1:6" x14ac:dyDescent="0.25">
      <c r="A409" t="s">
        <v>265</v>
      </c>
      <c r="B409" t="s">
        <v>1067</v>
      </c>
      <c r="C409" t="s">
        <v>32</v>
      </c>
      <c r="D409" t="s">
        <v>1059</v>
      </c>
      <c r="E409">
        <f ca="1">INDIRECT("'Sheet1'!Z60")</f>
        <v>0</v>
      </c>
      <c r="F409" t="b">
        <f t="shared" ca="1" si="51"/>
        <v>0</v>
      </c>
    </row>
    <row r="410" spans="1:6" x14ac:dyDescent="0.25">
      <c r="A410" t="s">
        <v>1102</v>
      </c>
      <c r="B410" t="s">
        <v>1074</v>
      </c>
      <c r="C410" t="s">
        <v>33</v>
      </c>
      <c r="D410" t="s">
        <v>676</v>
      </c>
      <c r="E410">
        <f ca="1">INDIRECT("'Sheet1'!AA60")</f>
        <v>0</v>
      </c>
      <c r="F410" t="b">
        <f t="shared" ca="1" si="51"/>
        <v>0</v>
      </c>
    </row>
    <row r="411" spans="1:6" x14ac:dyDescent="0.25">
      <c r="A411" t="s">
        <v>1103</v>
      </c>
      <c r="B411" t="s">
        <v>1075</v>
      </c>
      <c r="C411" t="s">
        <v>34</v>
      </c>
      <c r="E411">
        <f ca="1">INDIRECT("'Sheet1'!AB60")</f>
        <v>0</v>
      </c>
      <c r="F411" t="b">
        <f t="shared" ca="1" si="51"/>
        <v>1</v>
      </c>
    </row>
    <row r="412" spans="1:6" x14ac:dyDescent="0.25">
      <c r="A412" t="s">
        <v>1104</v>
      </c>
      <c r="B412" t="s">
        <v>1076</v>
      </c>
      <c r="C412" t="s">
        <v>35</v>
      </c>
      <c r="D412" t="s">
        <v>96</v>
      </c>
      <c r="E412">
        <f ca="1">INDIRECT("'Sheet1'!AC60")</f>
        <v>0</v>
      </c>
      <c r="F412" t="b">
        <f t="shared" ca="1" si="51"/>
        <v>0</v>
      </c>
    </row>
    <row r="413" spans="1:6" x14ac:dyDescent="0.25">
      <c r="A413" t="s">
        <v>1105</v>
      </c>
      <c r="B413" t="s">
        <v>1083</v>
      </c>
      <c r="C413" t="s">
        <v>36</v>
      </c>
      <c r="D413" t="s">
        <v>676</v>
      </c>
      <c r="E413">
        <f ca="1">INDIRECT("'Sheet1'!AD60")</f>
        <v>0</v>
      </c>
      <c r="F413" t="b">
        <f t="shared" ca="1" si="51"/>
        <v>0</v>
      </c>
    </row>
    <row r="415" spans="1:6" x14ac:dyDescent="0.25">
      <c r="A415" t="s">
        <v>266</v>
      </c>
      <c r="B415" t="s">
        <v>1114</v>
      </c>
      <c r="C415" t="s">
        <v>37</v>
      </c>
      <c r="D415">
        <v>96</v>
      </c>
      <c r="E415">
        <f ca="1">INDIRECT("'Sheet1'!AE61")</f>
        <v>0</v>
      </c>
      <c r="F415" t="b">
        <f t="shared" ref="F415:F417" ca="1" si="52">E415=D415</f>
        <v>0</v>
      </c>
    </row>
    <row r="416" spans="1:6" x14ac:dyDescent="0.25">
      <c r="A416" t="s">
        <v>267</v>
      </c>
      <c r="B416" t="s">
        <v>1115</v>
      </c>
      <c r="C416" t="s">
        <v>38</v>
      </c>
      <c r="D416" t="s">
        <v>96</v>
      </c>
      <c r="E416">
        <f ca="1">INDIRECT("'Sheet1'!AF61")</f>
        <v>0</v>
      </c>
      <c r="F416" t="b">
        <f t="shared" ca="1" si="52"/>
        <v>0</v>
      </c>
    </row>
    <row r="417" spans="1:6" x14ac:dyDescent="0.25">
      <c r="A417" t="s">
        <v>1106</v>
      </c>
      <c r="B417" t="s">
        <v>1116</v>
      </c>
      <c r="C417" t="s">
        <v>39</v>
      </c>
      <c r="D417" t="s">
        <v>673</v>
      </c>
      <c r="E417">
        <f ca="1">INDIRECT("'Sheet1'!AG61")</f>
        <v>0</v>
      </c>
      <c r="F417" t="b">
        <f t="shared" ca="1" si="52"/>
        <v>0</v>
      </c>
    </row>
    <row r="419" spans="1:6" x14ac:dyDescent="0.25">
      <c r="A419" t="s">
        <v>268</v>
      </c>
      <c r="B419" t="s">
        <v>1114</v>
      </c>
      <c r="C419" t="s">
        <v>37</v>
      </c>
      <c r="D419">
        <v>96</v>
      </c>
      <c r="E419">
        <f ca="1">INDIRECT("'Sheet1'!AE62")</f>
        <v>0</v>
      </c>
      <c r="F419" t="b">
        <f t="shared" ref="F419:F421" ca="1" si="53">E419=D419</f>
        <v>0</v>
      </c>
    </row>
    <row r="420" spans="1:6" x14ac:dyDescent="0.25">
      <c r="A420" t="s">
        <v>269</v>
      </c>
      <c r="B420" t="s">
        <v>1115</v>
      </c>
      <c r="C420" t="s">
        <v>38</v>
      </c>
      <c r="D420" t="s">
        <v>1059</v>
      </c>
      <c r="E420">
        <f ca="1">INDIRECT("'Sheet1'!AF62")</f>
        <v>0</v>
      </c>
      <c r="F420" t="b">
        <f t="shared" ca="1" si="53"/>
        <v>0</v>
      </c>
    </row>
    <row r="421" spans="1:6" x14ac:dyDescent="0.25">
      <c r="A421" t="s">
        <v>1107</v>
      </c>
      <c r="B421" t="s">
        <v>1117</v>
      </c>
      <c r="C421" t="s">
        <v>39</v>
      </c>
      <c r="D421" t="s">
        <v>871</v>
      </c>
      <c r="E421">
        <f ca="1">INDIRECT("'Sheet1'!AG62")</f>
        <v>0</v>
      </c>
      <c r="F421" t="b">
        <f t="shared" ca="1" si="53"/>
        <v>0</v>
      </c>
    </row>
    <row r="423" spans="1:6" x14ac:dyDescent="0.25">
      <c r="A423" t="s">
        <v>270</v>
      </c>
      <c r="B423" t="s">
        <v>1114</v>
      </c>
      <c r="C423" t="s">
        <v>37</v>
      </c>
      <c r="D423">
        <v>96.2</v>
      </c>
      <c r="E423">
        <f ca="1">INDIRECT("'Sheet1'!AE63")</f>
        <v>0</v>
      </c>
      <c r="F423" t="b">
        <f t="shared" ref="F423:F425" ca="1" si="54">E423=D423</f>
        <v>0</v>
      </c>
    </row>
    <row r="424" spans="1:6" x14ac:dyDescent="0.25">
      <c r="A424" t="s">
        <v>271</v>
      </c>
      <c r="B424" t="s">
        <v>1115</v>
      </c>
      <c r="C424" t="s">
        <v>38</v>
      </c>
      <c r="D424" t="s">
        <v>96</v>
      </c>
      <c r="E424">
        <f ca="1">INDIRECT("'Sheet1'!AF63")</f>
        <v>0</v>
      </c>
      <c r="F424" t="b">
        <f t="shared" ca="1" si="54"/>
        <v>0</v>
      </c>
    </row>
    <row r="425" spans="1:6" x14ac:dyDescent="0.25">
      <c r="A425" t="s">
        <v>1108</v>
      </c>
      <c r="B425" t="s">
        <v>1116</v>
      </c>
      <c r="C425" t="s">
        <v>39</v>
      </c>
      <c r="D425" t="s">
        <v>673</v>
      </c>
      <c r="E425">
        <f ca="1">INDIRECT("'Sheet1'!AG63")</f>
        <v>0</v>
      </c>
      <c r="F425" t="b">
        <f t="shared" ca="1" si="54"/>
        <v>0</v>
      </c>
    </row>
    <row r="427" spans="1:6" x14ac:dyDescent="0.25">
      <c r="A427" t="s">
        <v>272</v>
      </c>
      <c r="B427" t="s">
        <v>1114</v>
      </c>
      <c r="C427" t="s">
        <v>37</v>
      </c>
      <c r="D427">
        <v>96.25</v>
      </c>
      <c r="E427">
        <f ca="1">INDIRECT("'Sheet1'!AE64")</f>
        <v>0</v>
      </c>
      <c r="F427" t="b">
        <f t="shared" ref="F427:F429" ca="1" si="55">E427=D427</f>
        <v>0</v>
      </c>
    </row>
    <row r="428" spans="1:6" x14ac:dyDescent="0.25">
      <c r="A428" t="s">
        <v>273</v>
      </c>
      <c r="B428" t="s">
        <v>1115</v>
      </c>
      <c r="C428" t="s">
        <v>38</v>
      </c>
      <c r="D428" t="s">
        <v>96</v>
      </c>
      <c r="E428">
        <f ca="1">INDIRECT("'Sheet1'!AF64")</f>
        <v>0</v>
      </c>
      <c r="F428" t="b">
        <f t="shared" ca="1" si="55"/>
        <v>0</v>
      </c>
    </row>
    <row r="429" spans="1:6" x14ac:dyDescent="0.25">
      <c r="A429" t="s">
        <v>1109</v>
      </c>
      <c r="B429" t="s">
        <v>1118</v>
      </c>
      <c r="C429" t="s">
        <v>39</v>
      </c>
      <c r="D429" t="s">
        <v>872</v>
      </c>
      <c r="E429">
        <f ca="1">INDIRECT("'Sheet1'!AG64")</f>
        <v>0</v>
      </c>
      <c r="F429" t="b">
        <f t="shared" ca="1" si="55"/>
        <v>0</v>
      </c>
    </row>
    <row r="431" spans="1:6" x14ac:dyDescent="0.25">
      <c r="A431" t="s">
        <v>274</v>
      </c>
      <c r="B431" t="s">
        <v>1119</v>
      </c>
      <c r="C431" t="s">
        <v>40</v>
      </c>
      <c r="D431">
        <v>95</v>
      </c>
      <c r="E431">
        <f ca="1">INDIRECT("'Sheet1'!AH65")</f>
        <v>0</v>
      </c>
      <c r="F431" t="b">
        <f t="shared" ref="F431:F433" ca="1" si="56">E431=D431</f>
        <v>0</v>
      </c>
    </row>
    <row r="432" spans="1:6" x14ac:dyDescent="0.25">
      <c r="A432" t="s">
        <v>276</v>
      </c>
      <c r="B432" t="s">
        <v>1120</v>
      </c>
      <c r="C432" t="s">
        <v>41</v>
      </c>
      <c r="D432" t="s">
        <v>96</v>
      </c>
      <c r="E432">
        <f ca="1">INDIRECT("'Sheet1'!AI65")</f>
        <v>0</v>
      </c>
      <c r="F432" t="b">
        <f t="shared" ca="1" si="56"/>
        <v>0</v>
      </c>
    </row>
    <row r="433" spans="1:6" x14ac:dyDescent="0.25">
      <c r="A433" t="s">
        <v>1110</v>
      </c>
      <c r="B433" t="s">
        <v>1124</v>
      </c>
      <c r="C433" t="s">
        <v>42</v>
      </c>
      <c r="D433" t="s">
        <v>677</v>
      </c>
      <c r="E433">
        <f ca="1">INDIRECT("'Sheet1'!AJ65")</f>
        <v>0</v>
      </c>
      <c r="F433" t="b">
        <f t="shared" ca="1" si="56"/>
        <v>0</v>
      </c>
    </row>
    <row r="435" spans="1:6" x14ac:dyDescent="0.25">
      <c r="A435" t="s">
        <v>277</v>
      </c>
      <c r="B435" t="s">
        <v>1119</v>
      </c>
      <c r="C435" t="s">
        <v>40</v>
      </c>
      <c r="D435">
        <v>95</v>
      </c>
      <c r="E435">
        <f ca="1">INDIRECT("'Sheet1'!AH66")</f>
        <v>0</v>
      </c>
      <c r="F435" t="b">
        <f t="shared" ref="F435:F437" ca="1" si="57">E435=D435</f>
        <v>0</v>
      </c>
    </row>
    <row r="436" spans="1:6" x14ac:dyDescent="0.25">
      <c r="A436" t="s">
        <v>275</v>
      </c>
      <c r="B436" t="s">
        <v>1120</v>
      </c>
      <c r="C436" t="s">
        <v>41</v>
      </c>
      <c r="D436" t="s">
        <v>1059</v>
      </c>
      <c r="E436">
        <f ca="1">INDIRECT("'Sheet1'!AI66")</f>
        <v>0</v>
      </c>
      <c r="F436" t="b">
        <f t="shared" ca="1" si="57"/>
        <v>0</v>
      </c>
    </row>
    <row r="437" spans="1:6" x14ac:dyDescent="0.25">
      <c r="A437" t="s">
        <v>1111</v>
      </c>
      <c r="B437" t="s">
        <v>1121</v>
      </c>
      <c r="C437" t="s">
        <v>42</v>
      </c>
      <c r="D437" t="s">
        <v>871</v>
      </c>
      <c r="E437">
        <f ca="1">INDIRECT("'Sheet1'!AJ66")</f>
        <v>0</v>
      </c>
      <c r="F437" t="b">
        <f t="shared" ca="1" si="57"/>
        <v>0</v>
      </c>
    </row>
    <row r="439" spans="1:6" x14ac:dyDescent="0.25">
      <c r="A439" t="s">
        <v>278</v>
      </c>
      <c r="B439" t="s">
        <v>1119</v>
      </c>
      <c r="C439" t="s">
        <v>40</v>
      </c>
      <c r="D439">
        <v>95.2</v>
      </c>
      <c r="E439">
        <f ca="1">INDIRECT("'Sheet1'!AH67")</f>
        <v>0</v>
      </c>
      <c r="F439" t="b">
        <f t="shared" ref="F439:F441" ca="1" si="58">E439=D439</f>
        <v>0</v>
      </c>
    </row>
    <row r="440" spans="1:6" x14ac:dyDescent="0.25">
      <c r="A440" t="s">
        <v>279</v>
      </c>
      <c r="B440" t="s">
        <v>1120</v>
      </c>
      <c r="C440" t="s">
        <v>41</v>
      </c>
      <c r="D440" t="s">
        <v>96</v>
      </c>
      <c r="E440">
        <f ca="1">INDIRECT("'Sheet1'!AI67")</f>
        <v>0</v>
      </c>
      <c r="F440" t="b">
        <f t="shared" ca="1" si="58"/>
        <v>0</v>
      </c>
    </row>
    <row r="441" spans="1:6" x14ac:dyDescent="0.25">
      <c r="A441" t="s">
        <v>1112</v>
      </c>
      <c r="B441" t="s">
        <v>1123</v>
      </c>
      <c r="C441" t="s">
        <v>42</v>
      </c>
      <c r="D441" t="s">
        <v>674</v>
      </c>
      <c r="E441">
        <f ca="1">INDIRECT("'Sheet1'!AJ67")</f>
        <v>0</v>
      </c>
      <c r="F441" t="b">
        <f t="shared" ca="1" si="58"/>
        <v>0</v>
      </c>
    </row>
    <row r="443" spans="1:6" x14ac:dyDescent="0.25">
      <c r="A443" t="s">
        <v>280</v>
      </c>
      <c r="B443" t="s">
        <v>1119</v>
      </c>
      <c r="C443" t="s">
        <v>40</v>
      </c>
      <c r="D443">
        <v>95.25</v>
      </c>
      <c r="E443">
        <f ca="1">INDIRECT("'Sheet1'!AH68")</f>
        <v>0</v>
      </c>
      <c r="F443" t="b">
        <f t="shared" ref="F443:F445" ca="1" si="59">E443=D443</f>
        <v>0</v>
      </c>
    </row>
    <row r="444" spans="1:6" x14ac:dyDescent="0.25">
      <c r="A444" t="s">
        <v>281</v>
      </c>
      <c r="B444" t="s">
        <v>1120</v>
      </c>
      <c r="C444" t="s">
        <v>41</v>
      </c>
      <c r="D444" t="s">
        <v>96</v>
      </c>
      <c r="E444">
        <f ca="1">INDIRECT("'Sheet1'!AI68")</f>
        <v>0</v>
      </c>
      <c r="F444" t="b">
        <f t="shared" ca="1" si="59"/>
        <v>0</v>
      </c>
    </row>
    <row r="445" spans="1:6" x14ac:dyDescent="0.25">
      <c r="A445" t="s">
        <v>1113</v>
      </c>
      <c r="B445" t="s">
        <v>1122</v>
      </c>
      <c r="C445" t="s">
        <v>42</v>
      </c>
      <c r="D445" t="s">
        <v>872</v>
      </c>
      <c r="E445">
        <f ca="1">INDIRECT("'Sheet1'!AJ68")</f>
        <v>0</v>
      </c>
      <c r="F445" t="b">
        <f t="shared" ca="1" si="59"/>
        <v>0</v>
      </c>
    </row>
    <row r="447" spans="1:6" x14ac:dyDescent="0.25">
      <c r="A447" t="s">
        <v>282</v>
      </c>
      <c r="B447" t="s">
        <v>1129</v>
      </c>
      <c r="C447" t="s">
        <v>43</v>
      </c>
      <c r="D447">
        <v>94</v>
      </c>
      <c r="E447">
        <f ca="1">INDIRECT("'Sheet1'!AK69")</f>
        <v>0</v>
      </c>
      <c r="F447" t="b">
        <f t="shared" ref="F447:F449" ca="1" si="60">E447=D447</f>
        <v>0</v>
      </c>
    </row>
    <row r="448" spans="1:6" x14ac:dyDescent="0.25">
      <c r="A448" t="s">
        <v>283</v>
      </c>
      <c r="B448" t="s">
        <v>1130</v>
      </c>
      <c r="C448" t="s">
        <v>44</v>
      </c>
      <c r="D448" t="s">
        <v>96</v>
      </c>
      <c r="E448">
        <f ca="1">INDIRECT("'Sheet1'!AL69")</f>
        <v>0</v>
      </c>
      <c r="F448" t="b">
        <f t="shared" ca="1" si="60"/>
        <v>0</v>
      </c>
    </row>
    <row r="449" spans="1:6" x14ac:dyDescent="0.25">
      <c r="A449" t="s">
        <v>1125</v>
      </c>
      <c r="B449" t="s">
        <v>1133</v>
      </c>
      <c r="C449" t="s">
        <v>45</v>
      </c>
      <c r="D449" t="s">
        <v>675</v>
      </c>
      <c r="E449">
        <f ca="1">INDIRECT("'Sheet1'!AM69")</f>
        <v>0</v>
      </c>
      <c r="F449" t="b">
        <f t="shared" ca="1" si="60"/>
        <v>0</v>
      </c>
    </row>
    <row r="451" spans="1:6" x14ac:dyDescent="0.25">
      <c r="A451" t="s">
        <v>284</v>
      </c>
      <c r="B451" t="s">
        <v>1129</v>
      </c>
      <c r="C451" t="s">
        <v>43</v>
      </c>
      <c r="D451">
        <v>94</v>
      </c>
      <c r="E451">
        <f ca="1">INDIRECT("'Sheet1'!AK70")</f>
        <v>0</v>
      </c>
      <c r="F451" t="b">
        <f t="shared" ref="F451:F453" ca="1" si="61">E451=D451</f>
        <v>0</v>
      </c>
    </row>
    <row r="452" spans="1:6" x14ac:dyDescent="0.25">
      <c r="A452" t="s">
        <v>285</v>
      </c>
      <c r="B452" t="s">
        <v>1130</v>
      </c>
      <c r="C452" t="s">
        <v>44</v>
      </c>
      <c r="D452" t="s">
        <v>1059</v>
      </c>
      <c r="E452">
        <f ca="1">INDIRECT("'Sheet1'!AL70")</f>
        <v>0</v>
      </c>
      <c r="F452" t="b">
        <f t="shared" ca="1" si="61"/>
        <v>0</v>
      </c>
    </row>
    <row r="453" spans="1:6" x14ac:dyDescent="0.25">
      <c r="A453" t="s">
        <v>1126</v>
      </c>
      <c r="B453" t="s">
        <v>1131</v>
      </c>
      <c r="C453" t="s">
        <v>45</v>
      </c>
      <c r="D453" t="s">
        <v>871</v>
      </c>
      <c r="E453">
        <f ca="1">INDIRECT("'Sheet1'!AM70")</f>
        <v>0</v>
      </c>
      <c r="F453" t="b">
        <f t="shared" ca="1" si="61"/>
        <v>0</v>
      </c>
    </row>
    <row r="455" spans="1:6" x14ac:dyDescent="0.25">
      <c r="A455" t="s">
        <v>286</v>
      </c>
      <c r="B455" t="s">
        <v>1129</v>
      </c>
      <c r="C455" t="s">
        <v>43</v>
      </c>
      <c r="D455">
        <v>94.2</v>
      </c>
      <c r="E455">
        <f ca="1">INDIRECT("'Sheet1'!AK71")</f>
        <v>0</v>
      </c>
      <c r="F455" t="b">
        <f t="shared" ref="F455:F457" ca="1" si="62">E455=D455</f>
        <v>0</v>
      </c>
    </row>
    <row r="456" spans="1:6" x14ac:dyDescent="0.25">
      <c r="A456" t="s">
        <v>287</v>
      </c>
      <c r="B456" t="s">
        <v>1130</v>
      </c>
      <c r="C456" t="s">
        <v>44</v>
      </c>
      <c r="D456" t="s">
        <v>96</v>
      </c>
      <c r="E456">
        <f ca="1">INDIRECT("'Sheet1'!AL71")</f>
        <v>0</v>
      </c>
      <c r="F456" t="b">
        <f t="shared" ca="1" si="62"/>
        <v>0</v>
      </c>
    </row>
    <row r="457" spans="1:6" x14ac:dyDescent="0.25">
      <c r="A457" t="s">
        <v>1127</v>
      </c>
      <c r="B457" t="s">
        <v>1134</v>
      </c>
      <c r="C457" t="s">
        <v>45</v>
      </c>
      <c r="D457" t="s">
        <v>678</v>
      </c>
      <c r="E457">
        <f ca="1">INDIRECT("'Sheet1'!AM71")</f>
        <v>0</v>
      </c>
      <c r="F457" t="b">
        <f t="shared" ca="1" si="62"/>
        <v>0</v>
      </c>
    </row>
    <row r="459" spans="1:6" x14ac:dyDescent="0.25">
      <c r="A459" t="s">
        <v>288</v>
      </c>
      <c r="B459" t="s">
        <v>1129</v>
      </c>
      <c r="C459" t="s">
        <v>43</v>
      </c>
      <c r="D459">
        <v>94.25</v>
      </c>
      <c r="E459">
        <f ca="1">INDIRECT("'Sheet1'!AK72")</f>
        <v>0</v>
      </c>
      <c r="F459" t="b">
        <f t="shared" ref="F459:F461" ca="1" si="63">E459=D459</f>
        <v>0</v>
      </c>
    </row>
    <row r="460" spans="1:6" x14ac:dyDescent="0.25">
      <c r="A460" t="s">
        <v>289</v>
      </c>
      <c r="B460" t="s">
        <v>1130</v>
      </c>
      <c r="C460" t="s">
        <v>44</v>
      </c>
      <c r="D460" t="s">
        <v>96</v>
      </c>
      <c r="E460">
        <f ca="1">INDIRECT("'Sheet1'!AL72")</f>
        <v>0</v>
      </c>
      <c r="F460" t="b">
        <f t="shared" ca="1" si="63"/>
        <v>0</v>
      </c>
    </row>
    <row r="461" spans="1:6" x14ac:dyDescent="0.25">
      <c r="A461" t="s">
        <v>1128</v>
      </c>
      <c r="B461" t="s">
        <v>1132</v>
      </c>
      <c r="C461" t="s">
        <v>45</v>
      </c>
      <c r="D461" t="s">
        <v>872</v>
      </c>
      <c r="E461">
        <f ca="1">INDIRECT("'Sheet1'!AM72")</f>
        <v>0</v>
      </c>
      <c r="F461" t="b">
        <f t="shared" ca="1" si="63"/>
        <v>0</v>
      </c>
    </row>
    <row r="463" spans="1:6" x14ac:dyDescent="0.25">
      <c r="A463" t="s">
        <v>290</v>
      </c>
      <c r="B463" t="s">
        <v>1066</v>
      </c>
      <c r="C463" t="s">
        <v>31</v>
      </c>
      <c r="D463">
        <v>98</v>
      </c>
      <c r="E463">
        <f ca="1">INDIRECT("'Sheet1'!Y73")</f>
        <v>0</v>
      </c>
      <c r="F463" t="b">
        <f t="shared" ref="F463:F507" ca="1" si="64">E463=D463</f>
        <v>0</v>
      </c>
    </row>
    <row r="464" spans="1:6" x14ac:dyDescent="0.25">
      <c r="A464" t="s">
        <v>291</v>
      </c>
      <c r="B464" t="s">
        <v>1067</v>
      </c>
      <c r="C464" t="s">
        <v>32</v>
      </c>
      <c r="D464" t="s">
        <v>96</v>
      </c>
      <c r="E464">
        <f ca="1">INDIRECT("'Sheet1'!Z73")</f>
        <v>0</v>
      </c>
      <c r="F464" t="b">
        <f t="shared" ca="1" si="64"/>
        <v>0</v>
      </c>
    </row>
    <row r="465" spans="1:6" x14ac:dyDescent="0.25">
      <c r="A465" t="s">
        <v>1135</v>
      </c>
      <c r="B465" t="s">
        <v>1071</v>
      </c>
      <c r="C465" t="s">
        <v>33</v>
      </c>
      <c r="D465" t="s">
        <v>679</v>
      </c>
      <c r="E465">
        <f ca="1">INDIRECT("'Sheet1'!AA73")</f>
        <v>0</v>
      </c>
      <c r="F465" t="b">
        <f t="shared" ca="1" si="64"/>
        <v>0</v>
      </c>
    </row>
    <row r="466" spans="1:6" x14ac:dyDescent="0.25">
      <c r="A466" t="s">
        <v>1136</v>
      </c>
      <c r="B466" t="s">
        <v>1080</v>
      </c>
      <c r="C466" t="s">
        <v>34</v>
      </c>
      <c r="E466">
        <f ca="1">INDIRECT("'Sheet1'!AB73")</f>
        <v>0</v>
      </c>
      <c r="F466" t="b">
        <f t="shared" ca="1" si="64"/>
        <v>1</v>
      </c>
    </row>
    <row r="467" spans="1:6" x14ac:dyDescent="0.25">
      <c r="A467" t="s">
        <v>1137</v>
      </c>
      <c r="B467" t="s">
        <v>1076</v>
      </c>
      <c r="C467" t="s">
        <v>35</v>
      </c>
      <c r="D467" t="s">
        <v>96</v>
      </c>
      <c r="E467">
        <f ca="1">INDIRECT("'Sheet1'!AC73")</f>
        <v>0</v>
      </c>
      <c r="F467" t="b">
        <f t="shared" ca="1" si="64"/>
        <v>0</v>
      </c>
    </row>
    <row r="468" spans="1:6" x14ac:dyDescent="0.25">
      <c r="A468" t="s">
        <v>1138</v>
      </c>
      <c r="B468" t="s">
        <v>1081</v>
      </c>
      <c r="C468" t="s">
        <v>36</v>
      </c>
      <c r="D468" t="s">
        <v>680</v>
      </c>
      <c r="E468">
        <f ca="1">INDIRECT("'Sheet1'!AD73")</f>
        <v>0</v>
      </c>
      <c r="F468" t="b">
        <f t="shared" ca="1" si="64"/>
        <v>0</v>
      </c>
    </row>
    <row r="469" spans="1:6" x14ac:dyDescent="0.25">
      <c r="A469" t="s">
        <v>1139</v>
      </c>
      <c r="B469" t="s">
        <v>1142</v>
      </c>
      <c r="C469" t="s">
        <v>37</v>
      </c>
      <c r="E469">
        <f ca="1">INDIRECT("'Sheet1'!AE73")</f>
        <v>0</v>
      </c>
      <c r="F469" t="b">
        <f t="shared" ca="1" si="64"/>
        <v>1</v>
      </c>
    </row>
    <row r="470" spans="1:6" x14ac:dyDescent="0.25">
      <c r="A470" t="s">
        <v>1140</v>
      </c>
      <c r="B470" t="s">
        <v>1115</v>
      </c>
      <c r="C470" t="s">
        <v>38</v>
      </c>
      <c r="D470" t="s">
        <v>96</v>
      </c>
      <c r="E470">
        <f ca="1">INDIRECT("'Sheet1'!AF73")</f>
        <v>0</v>
      </c>
      <c r="F470" t="b">
        <f t="shared" ca="1" si="64"/>
        <v>0</v>
      </c>
    </row>
    <row r="471" spans="1:6" x14ac:dyDescent="0.25">
      <c r="A471" t="s">
        <v>1141</v>
      </c>
      <c r="B471" t="s">
        <v>1116</v>
      </c>
      <c r="C471" t="s">
        <v>39</v>
      </c>
      <c r="D471" t="s">
        <v>673</v>
      </c>
      <c r="E471">
        <f ca="1">INDIRECT("'Sheet1'!AG73")</f>
        <v>0</v>
      </c>
      <c r="F471" t="b">
        <f t="shared" ca="1" si="64"/>
        <v>0</v>
      </c>
    </row>
    <row r="472" spans="1:6" x14ac:dyDescent="0.25">
      <c r="A472" t="s">
        <v>1143</v>
      </c>
      <c r="B472" t="s">
        <v>1147</v>
      </c>
      <c r="C472" t="s">
        <v>40</v>
      </c>
      <c r="E472">
        <f ca="1">INDIRECT("'Sheet1'!AH73")</f>
        <v>0</v>
      </c>
      <c r="F472" t="b">
        <f t="shared" ca="1" si="64"/>
        <v>1</v>
      </c>
    </row>
    <row r="473" spans="1:6" x14ac:dyDescent="0.25">
      <c r="A473" t="s">
        <v>1144</v>
      </c>
      <c r="B473" t="s">
        <v>1120</v>
      </c>
      <c r="C473" t="s">
        <v>41</v>
      </c>
      <c r="D473" t="s">
        <v>96</v>
      </c>
      <c r="E473">
        <f ca="1">INDIRECT("'Sheet1'!AI73")</f>
        <v>0</v>
      </c>
      <c r="F473" t="b">
        <f t="shared" ca="1" si="64"/>
        <v>0</v>
      </c>
    </row>
    <row r="474" spans="1:6" x14ac:dyDescent="0.25">
      <c r="A474" t="s">
        <v>1145</v>
      </c>
      <c r="B474" t="s">
        <v>1124</v>
      </c>
      <c r="C474" t="s">
        <v>42</v>
      </c>
      <c r="D474" t="s">
        <v>677</v>
      </c>
      <c r="E474">
        <f ca="1">INDIRECT("'Sheet1'!AJ73")</f>
        <v>0</v>
      </c>
      <c r="F474" t="b">
        <f t="shared" ca="1" si="64"/>
        <v>0</v>
      </c>
    </row>
    <row r="475" spans="1:6" x14ac:dyDescent="0.25">
      <c r="A475" t="s">
        <v>1159</v>
      </c>
      <c r="B475" t="s">
        <v>1146</v>
      </c>
      <c r="C475" t="s">
        <v>43</v>
      </c>
      <c r="E475">
        <f ca="1">INDIRECT("'Sheet1'!AK73")</f>
        <v>0</v>
      </c>
      <c r="F475" t="b">
        <f t="shared" ca="1" si="64"/>
        <v>1</v>
      </c>
    </row>
    <row r="476" spans="1:6" x14ac:dyDescent="0.25">
      <c r="A476" t="s">
        <v>1160</v>
      </c>
      <c r="B476" t="s">
        <v>1130</v>
      </c>
      <c r="C476" t="s">
        <v>44</v>
      </c>
      <c r="D476" t="s">
        <v>96</v>
      </c>
      <c r="E476">
        <f ca="1">INDIRECT("'Sheet1'!AL73")</f>
        <v>0</v>
      </c>
      <c r="F476" t="b">
        <f t="shared" ca="1" si="64"/>
        <v>0</v>
      </c>
    </row>
    <row r="477" spans="1:6" x14ac:dyDescent="0.25">
      <c r="A477" t="s">
        <v>1161</v>
      </c>
      <c r="B477" t="s">
        <v>1133</v>
      </c>
      <c r="C477" t="s">
        <v>45</v>
      </c>
      <c r="D477" t="s">
        <v>675</v>
      </c>
      <c r="E477">
        <f ca="1">INDIRECT("'Sheet1'!AM73")</f>
        <v>0</v>
      </c>
      <c r="F477" t="b">
        <f t="shared" ca="1" si="64"/>
        <v>0</v>
      </c>
    </row>
    <row r="479" spans="1:6" x14ac:dyDescent="0.25">
      <c r="A479" t="s">
        <v>292</v>
      </c>
      <c r="B479" t="s">
        <v>1075</v>
      </c>
      <c r="C479" t="s">
        <v>34</v>
      </c>
      <c r="D479">
        <v>97</v>
      </c>
      <c r="E479">
        <f ca="1">INDIRECT("'Sheet1'!AB74")</f>
        <v>0</v>
      </c>
      <c r="F479" t="b">
        <f t="shared" ca="1" si="64"/>
        <v>0</v>
      </c>
    </row>
    <row r="480" spans="1:6" x14ac:dyDescent="0.25">
      <c r="A480" t="s">
        <v>293</v>
      </c>
      <c r="B480" t="s">
        <v>1076</v>
      </c>
      <c r="C480" t="s">
        <v>35</v>
      </c>
      <c r="D480" t="s">
        <v>96</v>
      </c>
      <c r="E480">
        <f ca="1">INDIRECT("'Sheet1'!AC74")</f>
        <v>0</v>
      </c>
      <c r="F480" t="b">
        <f t="shared" ca="1" si="64"/>
        <v>0</v>
      </c>
    </row>
    <row r="481" spans="1:6" x14ac:dyDescent="0.25">
      <c r="A481" t="s">
        <v>294</v>
      </c>
      <c r="B481" t="s">
        <v>1077</v>
      </c>
      <c r="C481" t="s">
        <v>36</v>
      </c>
      <c r="D481" t="s">
        <v>673</v>
      </c>
      <c r="E481">
        <f ca="1">INDIRECT("'Sheet1'!AD74")</f>
        <v>0</v>
      </c>
      <c r="F481" t="b">
        <f t="shared" ca="1" si="64"/>
        <v>0</v>
      </c>
    </row>
    <row r="482" spans="1:6" x14ac:dyDescent="0.25">
      <c r="A482" t="s">
        <v>295</v>
      </c>
      <c r="B482" t="s">
        <v>1142</v>
      </c>
      <c r="C482" t="s">
        <v>37</v>
      </c>
      <c r="E482">
        <f ca="1">INDIRECT("'Sheet1'!AE74")</f>
        <v>0</v>
      </c>
      <c r="F482" t="b">
        <f t="shared" ca="1" si="64"/>
        <v>1</v>
      </c>
    </row>
    <row r="483" spans="1:6" x14ac:dyDescent="0.25">
      <c r="A483" t="s">
        <v>1148</v>
      </c>
      <c r="B483" t="s">
        <v>1115</v>
      </c>
      <c r="C483" t="s">
        <v>38</v>
      </c>
      <c r="D483" t="s">
        <v>96</v>
      </c>
      <c r="E483">
        <f ca="1">INDIRECT("'Sheet1'!AF74")</f>
        <v>0</v>
      </c>
      <c r="F483" t="b">
        <f t="shared" ca="1" si="64"/>
        <v>0</v>
      </c>
    </row>
    <row r="484" spans="1:6" x14ac:dyDescent="0.25">
      <c r="A484" t="s">
        <v>1149</v>
      </c>
      <c r="B484" t="s">
        <v>1116</v>
      </c>
      <c r="C484" t="s">
        <v>39</v>
      </c>
      <c r="D484" t="s">
        <v>673</v>
      </c>
      <c r="E484">
        <f ca="1">INDIRECT("'Sheet1'!AG74")</f>
        <v>0</v>
      </c>
      <c r="F484" t="b">
        <f t="shared" ca="1" si="64"/>
        <v>0</v>
      </c>
    </row>
    <row r="485" spans="1:6" x14ac:dyDescent="0.25">
      <c r="A485" t="s">
        <v>1150</v>
      </c>
      <c r="B485" t="s">
        <v>1154</v>
      </c>
      <c r="C485" t="s">
        <v>40</v>
      </c>
      <c r="E485">
        <f ca="1">INDIRECT("'Sheet1'!AH74")</f>
        <v>0</v>
      </c>
      <c r="F485" t="b">
        <f t="shared" ca="1" si="64"/>
        <v>1</v>
      </c>
    </row>
    <row r="486" spans="1:6" x14ac:dyDescent="0.25">
      <c r="A486" t="s">
        <v>1151</v>
      </c>
      <c r="B486" t="s">
        <v>1156</v>
      </c>
      <c r="C486" t="s">
        <v>41</v>
      </c>
      <c r="D486" t="s">
        <v>96</v>
      </c>
      <c r="E486">
        <f ca="1">INDIRECT("'Sheet1'!AI74")</f>
        <v>0</v>
      </c>
      <c r="F486" t="b">
        <f t="shared" ca="1" si="64"/>
        <v>0</v>
      </c>
    </row>
    <row r="487" spans="1:6" x14ac:dyDescent="0.25">
      <c r="A487" t="s">
        <v>1152</v>
      </c>
      <c r="B487" t="s">
        <v>1158</v>
      </c>
      <c r="C487" t="s">
        <v>42</v>
      </c>
      <c r="D487" t="s">
        <v>677</v>
      </c>
      <c r="E487">
        <f ca="1">INDIRECT("'Sheet1'!AJ74")</f>
        <v>0</v>
      </c>
      <c r="F487" t="b">
        <f t="shared" ca="1" si="64"/>
        <v>0</v>
      </c>
    </row>
    <row r="488" spans="1:6" x14ac:dyDescent="0.25">
      <c r="A488" t="s">
        <v>1153</v>
      </c>
      <c r="B488" t="s">
        <v>1146</v>
      </c>
      <c r="C488" t="s">
        <v>43</v>
      </c>
      <c r="E488">
        <f ca="1">INDIRECT("'Sheet1'!AK74")</f>
        <v>0</v>
      </c>
      <c r="F488" t="b">
        <f t="shared" ca="1" si="64"/>
        <v>1</v>
      </c>
    </row>
    <row r="489" spans="1:6" x14ac:dyDescent="0.25">
      <c r="A489" t="s">
        <v>1155</v>
      </c>
      <c r="B489" t="s">
        <v>1130</v>
      </c>
      <c r="C489" t="s">
        <v>44</v>
      </c>
      <c r="D489" t="s">
        <v>96</v>
      </c>
      <c r="E489">
        <f ca="1">INDIRECT("'Sheet1'!AL74")</f>
        <v>0</v>
      </c>
      <c r="F489" t="b">
        <f t="shared" ca="1" si="64"/>
        <v>0</v>
      </c>
    </row>
    <row r="490" spans="1:6" x14ac:dyDescent="0.25">
      <c r="A490" t="s">
        <v>1157</v>
      </c>
      <c r="B490" t="s">
        <v>1133</v>
      </c>
      <c r="C490" t="s">
        <v>45</v>
      </c>
      <c r="D490" t="s">
        <v>675</v>
      </c>
      <c r="E490">
        <f ca="1">INDIRECT("'Sheet1'!AM74")</f>
        <v>0</v>
      </c>
      <c r="F490" t="b">
        <f t="shared" ca="1" si="64"/>
        <v>0</v>
      </c>
    </row>
    <row r="492" spans="1:6" x14ac:dyDescent="0.25">
      <c r="A492" t="s">
        <v>296</v>
      </c>
      <c r="B492" t="s">
        <v>1114</v>
      </c>
      <c r="C492" t="s">
        <v>37</v>
      </c>
      <c r="D492">
        <v>96</v>
      </c>
      <c r="E492">
        <f ca="1">INDIRECT("'Sheet1'!AE75")</f>
        <v>0</v>
      </c>
      <c r="F492" t="b">
        <f t="shared" ca="1" si="64"/>
        <v>0</v>
      </c>
    </row>
    <row r="493" spans="1:6" x14ac:dyDescent="0.25">
      <c r="A493" t="s">
        <v>297</v>
      </c>
      <c r="B493" t="s">
        <v>1115</v>
      </c>
      <c r="C493" t="s">
        <v>38</v>
      </c>
      <c r="D493" t="s">
        <v>96</v>
      </c>
      <c r="E493">
        <f ca="1">INDIRECT("'Sheet1'!AF75")</f>
        <v>0</v>
      </c>
      <c r="F493" t="b">
        <f t="shared" ca="1" si="64"/>
        <v>0</v>
      </c>
    </row>
    <row r="494" spans="1:6" x14ac:dyDescent="0.25">
      <c r="A494" t="s">
        <v>298</v>
      </c>
      <c r="B494" t="s">
        <v>1116</v>
      </c>
      <c r="C494" t="s">
        <v>39</v>
      </c>
      <c r="D494" t="s">
        <v>673</v>
      </c>
      <c r="E494">
        <f ca="1">INDIRECT("'Sheet1'!AG75")</f>
        <v>0</v>
      </c>
      <c r="F494" t="b">
        <f t="shared" ca="1" si="64"/>
        <v>0</v>
      </c>
    </row>
    <row r="495" spans="1:6" x14ac:dyDescent="0.25">
      <c r="A495" t="s">
        <v>299</v>
      </c>
      <c r="B495" t="s">
        <v>1165</v>
      </c>
      <c r="C495" t="s">
        <v>40</v>
      </c>
      <c r="E495">
        <f ca="1">INDIRECT("'Sheet1'!AH75")</f>
        <v>0</v>
      </c>
      <c r="F495" t="b">
        <f t="shared" ca="1" si="64"/>
        <v>1</v>
      </c>
    </row>
    <row r="496" spans="1:6" x14ac:dyDescent="0.25">
      <c r="A496" t="s">
        <v>1162</v>
      </c>
      <c r="B496" t="s">
        <v>1167</v>
      </c>
      <c r="C496" t="s">
        <v>41</v>
      </c>
      <c r="D496" t="s">
        <v>96</v>
      </c>
      <c r="E496">
        <f ca="1">INDIRECT("'Sheet1'!AI75")</f>
        <v>0</v>
      </c>
      <c r="F496" t="b">
        <f t="shared" ca="1" si="64"/>
        <v>0</v>
      </c>
    </row>
    <row r="497" spans="1:6" x14ac:dyDescent="0.25">
      <c r="A497" t="s">
        <v>1163</v>
      </c>
      <c r="B497" t="s">
        <v>1169</v>
      </c>
      <c r="C497" t="s">
        <v>42</v>
      </c>
      <c r="D497" t="s">
        <v>677</v>
      </c>
      <c r="E497">
        <f ca="1">INDIRECT("'Sheet1'!AJ75")</f>
        <v>0</v>
      </c>
      <c r="F497" t="b">
        <f t="shared" ca="1" si="64"/>
        <v>0</v>
      </c>
    </row>
    <row r="498" spans="1:6" x14ac:dyDescent="0.25">
      <c r="A498" t="s">
        <v>1164</v>
      </c>
      <c r="B498" t="s">
        <v>1146</v>
      </c>
      <c r="C498" t="s">
        <v>43</v>
      </c>
      <c r="E498">
        <f ca="1">INDIRECT("'Sheet1'!AK75")</f>
        <v>0</v>
      </c>
      <c r="F498" t="b">
        <f t="shared" ca="1" si="64"/>
        <v>1</v>
      </c>
    </row>
    <row r="499" spans="1:6" x14ac:dyDescent="0.25">
      <c r="A499" t="s">
        <v>1166</v>
      </c>
      <c r="B499" t="s">
        <v>1130</v>
      </c>
      <c r="C499" t="s">
        <v>44</v>
      </c>
      <c r="D499" t="s">
        <v>96</v>
      </c>
      <c r="E499">
        <f ca="1">INDIRECT("'Sheet1'!AL75")</f>
        <v>0</v>
      </c>
      <c r="F499" t="b">
        <f t="shared" ca="1" si="64"/>
        <v>0</v>
      </c>
    </row>
    <row r="500" spans="1:6" x14ac:dyDescent="0.25">
      <c r="A500" t="s">
        <v>1168</v>
      </c>
      <c r="B500" t="s">
        <v>1133</v>
      </c>
      <c r="C500" t="s">
        <v>45</v>
      </c>
      <c r="D500" t="s">
        <v>675</v>
      </c>
      <c r="E500">
        <f ca="1">INDIRECT("'Sheet1'!AM75")</f>
        <v>0</v>
      </c>
      <c r="F500" t="b">
        <f t="shared" ca="1" si="64"/>
        <v>0</v>
      </c>
    </row>
    <row r="502" spans="1:6" x14ac:dyDescent="0.25">
      <c r="A502" t="s">
        <v>300</v>
      </c>
      <c r="B502" t="s">
        <v>1119</v>
      </c>
      <c r="C502" t="s">
        <v>40</v>
      </c>
      <c r="D502">
        <v>95</v>
      </c>
      <c r="E502">
        <f ca="1">INDIRECT("'Sheet1'!AH76")</f>
        <v>0</v>
      </c>
      <c r="F502" t="b">
        <f t="shared" ca="1" si="64"/>
        <v>0</v>
      </c>
    </row>
    <row r="503" spans="1:6" x14ac:dyDescent="0.25">
      <c r="A503" t="s">
        <v>301</v>
      </c>
      <c r="B503" t="s">
        <v>1120</v>
      </c>
      <c r="C503" t="s">
        <v>41</v>
      </c>
      <c r="D503" t="s">
        <v>96</v>
      </c>
      <c r="E503">
        <f ca="1">INDIRECT("'Sheet1'!AI76")</f>
        <v>0</v>
      </c>
      <c r="F503" t="b">
        <f t="shared" ca="1" si="64"/>
        <v>0</v>
      </c>
    </row>
    <row r="504" spans="1:6" x14ac:dyDescent="0.25">
      <c r="A504" t="s">
        <v>302</v>
      </c>
      <c r="B504" t="s">
        <v>1124</v>
      </c>
      <c r="C504" t="s">
        <v>42</v>
      </c>
      <c r="D504" t="s">
        <v>677</v>
      </c>
      <c r="E504">
        <f ca="1">INDIRECT("'Sheet1'!AJ76")</f>
        <v>0</v>
      </c>
      <c r="F504" t="b">
        <f t="shared" ca="1" si="64"/>
        <v>0</v>
      </c>
    </row>
    <row r="505" spans="1:6" x14ac:dyDescent="0.25">
      <c r="A505" t="s">
        <v>303</v>
      </c>
      <c r="B505" t="s">
        <v>1146</v>
      </c>
      <c r="C505" t="s">
        <v>43</v>
      </c>
      <c r="E505">
        <f ca="1">INDIRECT("'Sheet1'!AK76")</f>
        <v>0</v>
      </c>
      <c r="F505" t="b">
        <f t="shared" ca="1" si="64"/>
        <v>1</v>
      </c>
    </row>
    <row r="506" spans="1:6" x14ac:dyDescent="0.25">
      <c r="A506" t="s">
        <v>1170</v>
      </c>
      <c r="B506" t="s">
        <v>1130</v>
      </c>
      <c r="C506" t="s">
        <v>44</v>
      </c>
      <c r="D506" t="s">
        <v>96</v>
      </c>
      <c r="E506">
        <f ca="1">INDIRECT("'Sheet1'!AL76")</f>
        <v>0</v>
      </c>
      <c r="F506" t="b">
        <f t="shared" ca="1" si="64"/>
        <v>0</v>
      </c>
    </row>
    <row r="507" spans="1:6" x14ac:dyDescent="0.25">
      <c r="A507" t="s">
        <v>1171</v>
      </c>
      <c r="B507" t="s">
        <v>1133</v>
      </c>
      <c r="C507" t="s">
        <v>45</v>
      </c>
      <c r="D507" t="s">
        <v>675</v>
      </c>
      <c r="E507">
        <f ca="1">INDIRECT("'Sheet1'!AM76")</f>
        <v>0</v>
      </c>
      <c r="F507" t="b">
        <f t="shared" ca="1" si="64"/>
        <v>0</v>
      </c>
    </row>
    <row r="509" spans="1:6" x14ac:dyDescent="0.25">
      <c r="A509" t="s">
        <v>304</v>
      </c>
      <c r="B509" t="s">
        <v>1072</v>
      </c>
      <c r="C509" t="s">
        <v>31</v>
      </c>
      <c r="E509">
        <f ca="1">INDIRECT("'Sheet1'!Y77")</f>
        <v>0</v>
      </c>
      <c r="F509" t="b">
        <f t="shared" ref="F509:F523" ca="1" si="65">E509=D509</f>
        <v>1</v>
      </c>
    </row>
    <row r="510" spans="1:6" x14ac:dyDescent="0.25">
      <c r="A510" t="s">
        <v>305</v>
      </c>
      <c r="B510" t="s">
        <v>1067</v>
      </c>
      <c r="C510" t="s">
        <v>32</v>
      </c>
      <c r="D510" t="s">
        <v>96</v>
      </c>
      <c r="E510">
        <f ca="1">INDIRECT("'Sheet1'!Z77")</f>
        <v>0</v>
      </c>
      <c r="F510" t="b">
        <f t="shared" ca="1" si="65"/>
        <v>0</v>
      </c>
    </row>
    <row r="511" spans="1:6" x14ac:dyDescent="0.25">
      <c r="A511" t="s">
        <v>306</v>
      </c>
      <c r="B511" t="s">
        <v>1183</v>
      </c>
      <c r="C511" t="s">
        <v>33</v>
      </c>
      <c r="D511" t="s">
        <v>871</v>
      </c>
      <c r="E511">
        <f ca="1">INDIRECT("'Sheet1'!AA77")</f>
        <v>0</v>
      </c>
      <c r="F511" t="b">
        <f t="shared" ca="1" si="65"/>
        <v>0</v>
      </c>
    </row>
    <row r="512" spans="1:6" x14ac:dyDescent="0.25">
      <c r="A512" t="s">
        <v>307</v>
      </c>
      <c r="B512" t="s">
        <v>1075</v>
      </c>
      <c r="C512" t="s">
        <v>34</v>
      </c>
      <c r="D512">
        <v>97</v>
      </c>
      <c r="E512">
        <f ca="1">INDIRECT("'Sheet1'!AB77")</f>
        <v>0</v>
      </c>
      <c r="F512" t="b">
        <f t="shared" ca="1" si="65"/>
        <v>0</v>
      </c>
    </row>
    <row r="513" spans="1:6" x14ac:dyDescent="0.25">
      <c r="A513" t="s">
        <v>1172</v>
      </c>
      <c r="B513" t="s">
        <v>1076</v>
      </c>
      <c r="C513" t="s">
        <v>35</v>
      </c>
      <c r="D513" t="s">
        <v>96</v>
      </c>
      <c r="E513">
        <f ca="1">INDIRECT("'Sheet1'!AC77")</f>
        <v>0</v>
      </c>
      <c r="F513" t="b">
        <f t="shared" ca="1" si="65"/>
        <v>0</v>
      </c>
    </row>
    <row r="514" spans="1:6" x14ac:dyDescent="0.25">
      <c r="A514" t="s">
        <v>1173</v>
      </c>
      <c r="B514" t="s">
        <v>1077</v>
      </c>
      <c r="C514" t="s">
        <v>36</v>
      </c>
      <c r="D514" t="s">
        <v>673</v>
      </c>
      <c r="E514">
        <f ca="1">INDIRECT("'Sheet1'!AD77")</f>
        <v>0</v>
      </c>
      <c r="F514" t="b">
        <f t="shared" ca="1" si="65"/>
        <v>0</v>
      </c>
    </row>
    <row r="515" spans="1:6" x14ac:dyDescent="0.25">
      <c r="A515" t="s">
        <v>1174</v>
      </c>
      <c r="B515" t="s">
        <v>1142</v>
      </c>
      <c r="C515" t="s">
        <v>37</v>
      </c>
      <c r="E515">
        <f ca="1">INDIRECT("'Sheet1'!AE77")</f>
        <v>0</v>
      </c>
      <c r="F515" t="b">
        <f t="shared" ca="1" si="65"/>
        <v>1</v>
      </c>
    </row>
    <row r="516" spans="1:6" x14ac:dyDescent="0.25">
      <c r="A516" t="s">
        <v>1175</v>
      </c>
      <c r="B516" t="s">
        <v>1115</v>
      </c>
      <c r="C516" t="s">
        <v>38</v>
      </c>
      <c r="D516" t="s">
        <v>96</v>
      </c>
      <c r="E516">
        <f ca="1">INDIRECT("'Sheet1'!AF77")</f>
        <v>0</v>
      </c>
      <c r="F516" t="b">
        <f t="shared" ca="1" si="65"/>
        <v>0</v>
      </c>
    </row>
    <row r="517" spans="1:6" x14ac:dyDescent="0.25">
      <c r="A517" t="s">
        <v>1176</v>
      </c>
      <c r="B517" t="s">
        <v>1116</v>
      </c>
      <c r="C517" t="s">
        <v>39</v>
      </c>
      <c r="D517" t="s">
        <v>673</v>
      </c>
      <c r="E517">
        <f ca="1">INDIRECT("'Sheet1'!AG77")</f>
        <v>0</v>
      </c>
      <c r="F517" t="b">
        <f t="shared" ca="1" si="65"/>
        <v>0</v>
      </c>
    </row>
    <row r="518" spans="1:6" x14ac:dyDescent="0.25">
      <c r="A518" t="s">
        <v>1177</v>
      </c>
      <c r="B518" t="s">
        <v>1147</v>
      </c>
      <c r="C518" t="s">
        <v>40</v>
      </c>
      <c r="E518">
        <f ca="1">INDIRECT("'Sheet1'!AH77")</f>
        <v>0</v>
      </c>
      <c r="F518" t="b">
        <f t="shared" ca="1" si="65"/>
        <v>1</v>
      </c>
    </row>
    <row r="519" spans="1:6" x14ac:dyDescent="0.25">
      <c r="A519" t="s">
        <v>1178</v>
      </c>
      <c r="B519" t="s">
        <v>1120</v>
      </c>
      <c r="C519" t="s">
        <v>41</v>
      </c>
      <c r="D519" t="s">
        <v>96</v>
      </c>
      <c r="E519">
        <f ca="1">INDIRECT("'Sheet1'!AI77")</f>
        <v>0</v>
      </c>
      <c r="F519" t="b">
        <f t="shared" ca="1" si="65"/>
        <v>0</v>
      </c>
    </row>
    <row r="520" spans="1:6" x14ac:dyDescent="0.25">
      <c r="A520" t="s">
        <v>1179</v>
      </c>
      <c r="B520" t="s">
        <v>1124</v>
      </c>
      <c r="C520" t="s">
        <v>42</v>
      </c>
      <c r="D520" t="s">
        <v>677</v>
      </c>
      <c r="E520">
        <f ca="1">INDIRECT("'Sheet1'!AJ77")</f>
        <v>0</v>
      </c>
      <c r="F520" t="b">
        <f t="shared" ca="1" si="65"/>
        <v>0</v>
      </c>
    </row>
    <row r="521" spans="1:6" x14ac:dyDescent="0.25">
      <c r="A521" t="s">
        <v>1180</v>
      </c>
      <c r="B521" t="s">
        <v>1146</v>
      </c>
      <c r="C521" t="s">
        <v>43</v>
      </c>
      <c r="E521">
        <f ca="1">INDIRECT("'Sheet1'!AK77")</f>
        <v>0</v>
      </c>
      <c r="F521" t="b">
        <f t="shared" ca="1" si="65"/>
        <v>1</v>
      </c>
    </row>
    <row r="522" spans="1:6" x14ac:dyDescent="0.25">
      <c r="A522" t="s">
        <v>1181</v>
      </c>
      <c r="B522" t="s">
        <v>1130</v>
      </c>
      <c r="C522" t="s">
        <v>44</v>
      </c>
      <c r="D522" t="s">
        <v>96</v>
      </c>
      <c r="E522">
        <f ca="1">INDIRECT("'Sheet1'!AL77")</f>
        <v>0</v>
      </c>
      <c r="F522" t="b">
        <f t="shared" ca="1" si="65"/>
        <v>0</v>
      </c>
    </row>
    <row r="523" spans="1:6" x14ac:dyDescent="0.25">
      <c r="A523" t="s">
        <v>1182</v>
      </c>
      <c r="B523" t="s">
        <v>1133</v>
      </c>
      <c r="C523" t="s">
        <v>45</v>
      </c>
      <c r="D523" t="s">
        <v>675</v>
      </c>
      <c r="E523">
        <f ca="1">INDIRECT("'Sheet1'!AM77")</f>
        <v>0</v>
      </c>
      <c r="F523" t="b">
        <f t="shared" ca="1" si="65"/>
        <v>0</v>
      </c>
    </row>
    <row r="525" spans="1:6" x14ac:dyDescent="0.25">
      <c r="A525" t="s">
        <v>308</v>
      </c>
      <c r="B525" t="s">
        <v>1066</v>
      </c>
      <c r="C525" t="s">
        <v>31</v>
      </c>
      <c r="D525">
        <v>98</v>
      </c>
      <c r="E525">
        <f ca="1">INDIRECT("'Sheet1'!Y78")</f>
        <v>0</v>
      </c>
      <c r="F525" t="b">
        <f t="shared" ref="F525:F539" ca="1" si="66">E525=D525</f>
        <v>0</v>
      </c>
    </row>
    <row r="526" spans="1:6" x14ac:dyDescent="0.25">
      <c r="A526" t="s">
        <v>309</v>
      </c>
      <c r="B526" t="s">
        <v>1067</v>
      </c>
      <c r="C526" t="s">
        <v>32</v>
      </c>
      <c r="D526" t="s">
        <v>96</v>
      </c>
      <c r="E526">
        <f ca="1">INDIRECT("'Sheet1'!Z78")</f>
        <v>0</v>
      </c>
      <c r="F526" t="b">
        <f t="shared" ca="1" si="66"/>
        <v>0</v>
      </c>
    </row>
    <row r="527" spans="1:6" x14ac:dyDescent="0.25">
      <c r="A527" t="s">
        <v>310</v>
      </c>
      <c r="B527" t="s">
        <v>1068</v>
      </c>
      <c r="C527" t="s">
        <v>33</v>
      </c>
      <c r="D527" t="s">
        <v>673</v>
      </c>
      <c r="E527">
        <f ca="1">INDIRECT("'Sheet1'!AA78")</f>
        <v>0</v>
      </c>
      <c r="F527" t="b">
        <f t="shared" ca="1" si="66"/>
        <v>0</v>
      </c>
    </row>
    <row r="528" spans="1:6" x14ac:dyDescent="0.25">
      <c r="A528" t="s">
        <v>311</v>
      </c>
      <c r="B528" t="s">
        <v>1080</v>
      </c>
      <c r="C528" t="s">
        <v>34</v>
      </c>
      <c r="E528">
        <f ca="1">INDIRECT("'Sheet1'!AB78")</f>
        <v>0</v>
      </c>
      <c r="F528" t="b">
        <f t="shared" ca="1" si="66"/>
        <v>1</v>
      </c>
    </row>
    <row r="529" spans="1:6" x14ac:dyDescent="0.25">
      <c r="A529" t="s">
        <v>1184</v>
      </c>
      <c r="B529" t="s">
        <v>1076</v>
      </c>
      <c r="C529" t="s">
        <v>35</v>
      </c>
      <c r="D529" t="s">
        <v>96</v>
      </c>
      <c r="E529">
        <f ca="1">INDIRECT("'Sheet1'!AC78")</f>
        <v>0</v>
      </c>
      <c r="F529" t="b">
        <f t="shared" ca="1" si="66"/>
        <v>0</v>
      </c>
    </row>
    <row r="530" spans="1:6" x14ac:dyDescent="0.25">
      <c r="A530" t="s">
        <v>1185</v>
      </c>
      <c r="B530" t="s">
        <v>1195</v>
      </c>
      <c r="C530" t="s">
        <v>36</v>
      </c>
      <c r="D530" t="s">
        <v>871</v>
      </c>
      <c r="E530">
        <f ca="1">INDIRECT("'Sheet1'!AD78")</f>
        <v>0</v>
      </c>
      <c r="F530" t="b">
        <f t="shared" ca="1" si="66"/>
        <v>0</v>
      </c>
    </row>
    <row r="531" spans="1:6" x14ac:dyDescent="0.25">
      <c r="A531" t="s">
        <v>1186</v>
      </c>
      <c r="B531" t="s">
        <v>1142</v>
      </c>
      <c r="C531" t="s">
        <v>37</v>
      </c>
      <c r="E531">
        <f ca="1">INDIRECT("'Sheet1'!AE78")</f>
        <v>0</v>
      </c>
      <c r="F531" t="b">
        <f t="shared" ca="1" si="66"/>
        <v>1</v>
      </c>
    </row>
    <row r="532" spans="1:6" x14ac:dyDescent="0.25">
      <c r="A532" t="s">
        <v>1187</v>
      </c>
      <c r="B532" t="s">
        <v>1115</v>
      </c>
      <c r="C532" t="s">
        <v>38</v>
      </c>
      <c r="D532" t="s">
        <v>96</v>
      </c>
      <c r="E532">
        <f ca="1">INDIRECT("'Sheet1'!AF78")</f>
        <v>0</v>
      </c>
      <c r="F532" t="b">
        <f t="shared" ca="1" si="66"/>
        <v>0</v>
      </c>
    </row>
    <row r="533" spans="1:6" x14ac:dyDescent="0.25">
      <c r="A533" t="s">
        <v>1188</v>
      </c>
      <c r="B533" t="s">
        <v>1116</v>
      </c>
      <c r="C533" t="s">
        <v>39</v>
      </c>
      <c r="D533" t="s">
        <v>673</v>
      </c>
      <c r="E533">
        <f ca="1">INDIRECT("'Sheet1'!AG78")</f>
        <v>0</v>
      </c>
      <c r="F533" t="b">
        <f t="shared" ca="1" si="66"/>
        <v>0</v>
      </c>
    </row>
    <row r="534" spans="1:6" x14ac:dyDescent="0.25">
      <c r="A534" t="s">
        <v>1189</v>
      </c>
      <c r="B534" t="s">
        <v>1147</v>
      </c>
      <c r="C534" t="s">
        <v>40</v>
      </c>
      <c r="E534">
        <f ca="1">INDIRECT("'Sheet1'!AH78")</f>
        <v>0</v>
      </c>
      <c r="F534" t="b">
        <f t="shared" ca="1" si="66"/>
        <v>1</v>
      </c>
    </row>
    <row r="535" spans="1:6" x14ac:dyDescent="0.25">
      <c r="A535" t="s">
        <v>1190</v>
      </c>
      <c r="B535" t="s">
        <v>1120</v>
      </c>
      <c r="C535" t="s">
        <v>41</v>
      </c>
      <c r="D535" t="s">
        <v>96</v>
      </c>
      <c r="E535">
        <f ca="1">INDIRECT("'Sheet1'!AI78")</f>
        <v>0</v>
      </c>
      <c r="F535" t="b">
        <f t="shared" ca="1" si="66"/>
        <v>0</v>
      </c>
    </row>
    <row r="536" spans="1:6" x14ac:dyDescent="0.25">
      <c r="A536" t="s">
        <v>1191</v>
      </c>
      <c r="B536" t="s">
        <v>1124</v>
      </c>
      <c r="C536" t="s">
        <v>42</v>
      </c>
      <c r="D536" t="s">
        <v>677</v>
      </c>
      <c r="E536">
        <f ca="1">INDIRECT("'Sheet1'!AJ78")</f>
        <v>0</v>
      </c>
      <c r="F536" t="b">
        <f t="shared" ca="1" si="66"/>
        <v>0</v>
      </c>
    </row>
    <row r="537" spans="1:6" x14ac:dyDescent="0.25">
      <c r="A537" t="s">
        <v>1192</v>
      </c>
      <c r="B537" t="s">
        <v>1146</v>
      </c>
      <c r="C537" t="s">
        <v>43</v>
      </c>
      <c r="E537">
        <f ca="1">INDIRECT("'Sheet1'!AK78")</f>
        <v>0</v>
      </c>
      <c r="F537" t="b">
        <f t="shared" ca="1" si="66"/>
        <v>1</v>
      </c>
    </row>
    <row r="538" spans="1:6" x14ac:dyDescent="0.25">
      <c r="A538" t="s">
        <v>1193</v>
      </c>
      <c r="B538" t="s">
        <v>1130</v>
      </c>
      <c r="C538" t="s">
        <v>44</v>
      </c>
      <c r="D538" t="s">
        <v>96</v>
      </c>
      <c r="E538">
        <f ca="1">INDIRECT("'Sheet1'!AL78")</f>
        <v>0</v>
      </c>
      <c r="F538" t="b">
        <f t="shared" ca="1" si="66"/>
        <v>0</v>
      </c>
    </row>
    <row r="539" spans="1:6" x14ac:dyDescent="0.25">
      <c r="A539" t="s">
        <v>1194</v>
      </c>
      <c r="B539" t="s">
        <v>1133</v>
      </c>
      <c r="C539" t="s">
        <v>45</v>
      </c>
      <c r="D539" t="s">
        <v>675</v>
      </c>
      <c r="E539">
        <f ca="1">INDIRECT("'Sheet1'!AM78")</f>
        <v>0</v>
      </c>
      <c r="F539" t="b">
        <f t="shared" ca="1" si="66"/>
        <v>0</v>
      </c>
    </row>
    <row r="541" spans="1:6" x14ac:dyDescent="0.25">
      <c r="A541" t="s">
        <v>312</v>
      </c>
      <c r="B541" t="s">
        <v>1066</v>
      </c>
      <c r="C541" t="s">
        <v>31</v>
      </c>
      <c r="D541">
        <v>98</v>
      </c>
      <c r="E541">
        <f ca="1">INDIRECT("'Sheet1'!Y79")</f>
        <v>0</v>
      </c>
      <c r="F541" t="b">
        <f t="shared" ref="F541:F555" ca="1" si="67">E541=D541</f>
        <v>0</v>
      </c>
    </row>
    <row r="542" spans="1:6" x14ac:dyDescent="0.25">
      <c r="A542" t="s">
        <v>313</v>
      </c>
      <c r="B542" t="s">
        <v>1067</v>
      </c>
      <c r="C542" t="s">
        <v>32</v>
      </c>
      <c r="D542" t="s">
        <v>96</v>
      </c>
      <c r="E542">
        <f ca="1">INDIRECT("'Sheet1'!Z79")</f>
        <v>0</v>
      </c>
      <c r="F542" t="b">
        <f t="shared" ca="1" si="67"/>
        <v>0</v>
      </c>
    </row>
    <row r="543" spans="1:6" x14ac:dyDescent="0.25">
      <c r="A543" t="s">
        <v>314</v>
      </c>
      <c r="B543" t="s">
        <v>1071</v>
      </c>
      <c r="C543" t="s">
        <v>33</v>
      </c>
      <c r="D543" t="s">
        <v>679</v>
      </c>
      <c r="E543">
        <f ca="1">INDIRECT("'Sheet1'!AA79")</f>
        <v>0</v>
      </c>
      <c r="F543" t="b">
        <f t="shared" ca="1" si="67"/>
        <v>0</v>
      </c>
    </row>
    <row r="544" spans="1:6" x14ac:dyDescent="0.25">
      <c r="A544" t="s">
        <v>315</v>
      </c>
      <c r="B544" t="s">
        <v>1080</v>
      </c>
      <c r="C544" t="s">
        <v>34</v>
      </c>
      <c r="E544">
        <f ca="1">INDIRECT("'Sheet1'!AB79")</f>
        <v>0</v>
      </c>
      <c r="F544" t="b">
        <f t="shared" ca="1" si="67"/>
        <v>1</v>
      </c>
    </row>
    <row r="545" spans="1:6" x14ac:dyDescent="0.25">
      <c r="A545" t="s">
        <v>1196</v>
      </c>
      <c r="B545" t="s">
        <v>1076</v>
      </c>
      <c r="C545" t="s">
        <v>35</v>
      </c>
      <c r="D545" t="s">
        <v>96</v>
      </c>
      <c r="E545">
        <f ca="1">INDIRECT("'Sheet1'!AC79")</f>
        <v>0</v>
      </c>
      <c r="F545" t="b">
        <f t="shared" ca="1" si="67"/>
        <v>0</v>
      </c>
    </row>
    <row r="546" spans="1:6" x14ac:dyDescent="0.25">
      <c r="A546" t="s">
        <v>1197</v>
      </c>
      <c r="B546" t="s">
        <v>1081</v>
      </c>
      <c r="C546" t="s">
        <v>36</v>
      </c>
      <c r="D546" t="s">
        <v>680</v>
      </c>
      <c r="E546">
        <f ca="1">INDIRECT("'Sheet1'!AD79")</f>
        <v>0</v>
      </c>
      <c r="F546" t="b">
        <f t="shared" ca="1" si="67"/>
        <v>0</v>
      </c>
    </row>
    <row r="547" spans="1:6" x14ac:dyDescent="0.25">
      <c r="A547" t="s">
        <v>1198</v>
      </c>
      <c r="B547" t="s">
        <v>1142</v>
      </c>
      <c r="C547" t="s">
        <v>37</v>
      </c>
      <c r="E547">
        <f ca="1">INDIRECT("'Sheet1'!AE79")</f>
        <v>0</v>
      </c>
      <c r="F547" t="b">
        <f t="shared" ca="1" si="67"/>
        <v>1</v>
      </c>
    </row>
    <row r="548" spans="1:6" x14ac:dyDescent="0.25">
      <c r="A548" t="s">
        <v>1199</v>
      </c>
      <c r="B548" t="s">
        <v>1115</v>
      </c>
      <c r="C548" t="s">
        <v>38</v>
      </c>
      <c r="D548" t="s">
        <v>96</v>
      </c>
      <c r="E548">
        <f ca="1">INDIRECT("'Sheet1'!AF79")</f>
        <v>0</v>
      </c>
      <c r="F548" t="b">
        <f t="shared" ca="1" si="67"/>
        <v>0</v>
      </c>
    </row>
    <row r="549" spans="1:6" x14ac:dyDescent="0.25">
      <c r="A549" t="s">
        <v>1200</v>
      </c>
      <c r="B549" t="s">
        <v>1207</v>
      </c>
      <c r="C549" t="s">
        <v>39</v>
      </c>
      <c r="D549" t="s">
        <v>871</v>
      </c>
      <c r="E549">
        <f ca="1">INDIRECT("'Sheet1'!AG79")</f>
        <v>0</v>
      </c>
      <c r="F549" t="b">
        <f t="shared" ca="1" si="67"/>
        <v>0</v>
      </c>
    </row>
    <row r="550" spans="1:6" x14ac:dyDescent="0.25">
      <c r="A550" t="s">
        <v>1201</v>
      </c>
      <c r="B550" t="s">
        <v>1147</v>
      </c>
      <c r="C550" t="s">
        <v>40</v>
      </c>
      <c r="E550">
        <f ca="1">INDIRECT("'Sheet1'!AH79")</f>
        <v>0</v>
      </c>
      <c r="F550" t="b">
        <f t="shared" ca="1" si="67"/>
        <v>1</v>
      </c>
    </row>
    <row r="551" spans="1:6" x14ac:dyDescent="0.25">
      <c r="A551" t="s">
        <v>1202</v>
      </c>
      <c r="B551" t="s">
        <v>1120</v>
      </c>
      <c r="C551" t="s">
        <v>41</v>
      </c>
      <c r="D551" t="s">
        <v>96</v>
      </c>
      <c r="E551">
        <f ca="1">INDIRECT("'Sheet1'!AI79")</f>
        <v>0</v>
      </c>
      <c r="F551" t="b">
        <f t="shared" ca="1" si="67"/>
        <v>0</v>
      </c>
    </row>
    <row r="552" spans="1:6" x14ac:dyDescent="0.25">
      <c r="A552" t="s">
        <v>1203</v>
      </c>
      <c r="B552" t="s">
        <v>1124</v>
      </c>
      <c r="C552" t="s">
        <v>42</v>
      </c>
      <c r="D552" t="s">
        <v>677</v>
      </c>
      <c r="E552">
        <f ca="1">INDIRECT("'Sheet1'!AJ79")</f>
        <v>0</v>
      </c>
      <c r="F552" t="b">
        <f t="shared" ca="1" si="67"/>
        <v>0</v>
      </c>
    </row>
    <row r="553" spans="1:6" x14ac:dyDescent="0.25">
      <c r="A553" t="s">
        <v>1204</v>
      </c>
      <c r="B553" t="s">
        <v>1146</v>
      </c>
      <c r="C553" t="s">
        <v>43</v>
      </c>
      <c r="E553">
        <f ca="1">INDIRECT("'Sheet1'!AK79")</f>
        <v>0</v>
      </c>
      <c r="F553" t="b">
        <f t="shared" ca="1" si="67"/>
        <v>1</v>
      </c>
    </row>
    <row r="554" spans="1:6" x14ac:dyDescent="0.25">
      <c r="A554" t="s">
        <v>1205</v>
      </c>
      <c r="B554" t="s">
        <v>1130</v>
      </c>
      <c r="C554" t="s">
        <v>44</v>
      </c>
      <c r="D554" t="s">
        <v>96</v>
      </c>
      <c r="E554">
        <f ca="1">INDIRECT("'Sheet1'!AL79")</f>
        <v>0</v>
      </c>
      <c r="F554" t="b">
        <f t="shared" ca="1" si="67"/>
        <v>0</v>
      </c>
    </row>
    <row r="555" spans="1:6" x14ac:dyDescent="0.25">
      <c r="A555" t="s">
        <v>1206</v>
      </c>
      <c r="B555" t="s">
        <v>1133</v>
      </c>
      <c r="C555" t="s">
        <v>45</v>
      </c>
      <c r="D555" t="s">
        <v>675</v>
      </c>
      <c r="E555">
        <f ca="1">INDIRECT("'Sheet1'!AM79")</f>
        <v>0</v>
      </c>
      <c r="F555" t="b">
        <f t="shared" ca="1" si="67"/>
        <v>0</v>
      </c>
    </row>
    <row r="557" spans="1:6" x14ac:dyDescent="0.25">
      <c r="A557" t="s">
        <v>316</v>
      </c>
      <c r="B557" t="s">
        <v>1066</v>
      </c>
      <c r="C557" t="s">
        <v>31</v>
      </c>
      <c r="D557">
        <v>98</v>
      </c>
      <c r="E557">
        <f ca="1">INDIRECT("'Sheet1'!Y80")</f>
        <v>0</v>
      </c>
      <c r="F557" t="b">
        <f t="shared" ref="F557:F571" ca="1" si="68">E557=D557</f>
        <v>0</v>
      </c>
    </row>
    <row r="558" spans="1:6" x14ac:dyDescent="0.25">
      <c r="A558" t="s">
        <v>317</v>
      </c>
      <c r="B558" t="s">
        <v>1067</v>
      </c>
      <c r="C558" t="s">
        <v>32</v>
      </c>
      <c r="D558" t="s">
        <v>96</v>
      </c>
      <c r="E558">
        <f ca="1">INDIRECT("'Sheet1'!Z80")</f>
        <v>0</v>
      </c>
      <c r="F558" t="b">
        <f t="shared" ca="1" si="68"/>
        <v>0</v>
      </c>
    </row>
    <row r="559" spans="1:6" x14ac:dyDescent="0.25">
      <c r="A559" t="s">
        <v>318</v>
      </c>
      <c r="B559" t="s">
        <v>1071</v>
      </c>
      <c r="C559" t="s">
        <v>33</v>
      </c>
      <c r="D559" t="s">
        <v>679</v>
      </c>
      <c r="E559">
        <f ca="1">INDIRECT("'Sheet1'!AA80")</f>
        <v>0</v>
      </c>
      <c r="F559" t="b">
        <f t="shared" ca="1" si="68"/>
        <v>0</v>
      </c>
    </row>
    <row r="560" spans="1:6" x14ac:dyDescent="0.25">
      <c r="A560" t="s">
        <v>319</v>
      </c>
      <c r="B560" t="s">
        <v>1080</v>
      </c>
      <c r="C560" t="s">
        <v>34</v>
      </c>
      <c r="E560">
        <f ca="1">INDIRECT("'Sheet1'!AB80")</f>
        <v>0</v>
      </c>
      <c r="F560" t="b">
        <f t="shared" ca="1" si="68"/>
        <v>1</v>
      </c>
    </row>
    <row r="561" spans="1:6" x14ac:dyDescent="0.25">
      <c r="A561" t="s">
        <v>1208</v>
      </c>
      <c r="B561" t="s">
        <v>1076</v>
      </c>
      <c r="C561" t="s">
        <v>35</v>
      </c>
      <c r="D561" t="s">
        <v>96</v>
      </c>
      <c r="E561">
        <f ca="1">INDIRECT("'Sheet1'!AC80")</f>
        <v>0</v>
      </c>
      <c r="F561" t="b">
        <f t="shared" ca="1" si="68"/>
        <v>0</v>
      </c>
    </row>
    <row r="562" spans="1:6" x14ac:dyDescent="0.25">
      <c r="A562" t="s">
        <v>1209</v>
      </c>
      <c r="B562" t="s">
        <v>1081</v>
      </c>
      <c r="C562" t="s">
        <v>36</v>
      </c>
      <c r="D562" t="s">
        <v>680</v>
      </c>
      <c r="E562">
        <f ca="1">INDIRECT("'Sheet1'!AD80")</f>
        <v>0</v>
      </c>
      <c r="F562" t="b">
        <f t="shared" ca="1" si="68"/>
        <v>0</v>
      </c>
    </row>
    <row r="563" spans="1:6" x14ac:dyDescent="0.25">
      <c r="A563" t="s">
        <v>1210</v>
      </c>
      <c r="B563" t="s">
        <v>1142</v>
      </c>
      <c r="C563" t="s">
        <v>37</v>
      </c>
      <c r="E563">
        <f ca="1">INDIRECT("'Sheet1'!AE80")</f>
        <v>0</v>
      </c>
      <c r="F563" t="b">
        <f t="shared" ca="1" si="68"/>
        <v>1</v>
      </c>
    </row>
    <row r="564" spans="1:6" x14ac:dyDescent="0.25">
      <c r="A564" t="s">
        <v>1211</v>
      </c>
      <c r="B564" t="s">
        <v>1115</v>
      </c>
      <c r="C564" t="s">
        <v>38</v>
      </c>
      <c r="D564" t="s">
        <v>96</v>
      </c>
      <c r="E564">
        <f ca="1">INDIRECT("'Sheet1'!AF80")</f>
        <v>0</v>
      </c>
      <c r="F564" t="b">
        <f t="shared" ca="1" si="68"/>
        <v>0</v>
      </c>
    </row>
    <row r="565" spans="1:6" x14ac:dyDescent="0.25">
      <c r="A565" t="s">
        <v>1212</v>
      </c>
      <c r="B565" t="s">
        <v>1116</v>
      </c>
      <c r="C565" t="s">
        <v>39</v>
      </c>
      <c r="D565" t="s">
        <v>673</v>
      </c>
      <c r="E565">
        <f ca="1">INDIRECT("'Sheet1'!AG80")</f>
        <v>0</v>
      </c>
      <c r="F565" t="b">
        <f t="shared" ca="1" si="68"/>
        <v>0</v>
      </c>
    </row>
    <row r="566" spans="1:6" x14ac:dyDescent="0.25">
      <c r="A566" t="s">
        <v>1213</v>
      </c>
      <c r="B566" t="s">
        <v>1147</v>
      </c>
      <c r="C566" t="s">
        <v>40</v>
      </c>
      <c r="E566">
        <f ca="1">INDIRECT("'Sheet1'!AH80")</f>
        <v>0</v>
      </c>
      <c r="F566" t="b">
        <f t="shared" ca="1" si="68"/>
        <v>1</v>
      </c>
    </row>
    <row r="567" spans="1:6" x14ac:dyDescent="0.25">
      <c r="A567" t="s">
        <v>1214</v>
      </c>
      <c r="B567" t="s">
        <v>1120</v>
      </c>
      <c r="C567" t="s">
        <v>41</v>
      </c>
      <c r="D567" t="s">
        <v>96</v>
      </c>
      <c r="E567">
        <f ca="1">INDIRECT("'Sheet1'!AI80")</f>
        <v>0</v>
      </c>
      <c r="F567" t="b">
        <f t="shared" ca="1" si="68"/>
        <v>0</v>
      </c>
    </row>
    <row r="568" spans="1:6" x14ac:dyDescent="0.25">
      <c r="A568" t="s">
        <v>1215</v>
      </c>
      <c r="B568" t="s">
        <v>1668</v>
      </c>
      <c r="C568" t="s">
        <v>42</v>
      </c>
      <c r="D568" t="s">
        <v>871</v>
      </c>
      <c r="E568">
        <f ca="1">INDIRECT("'Sheet1'!AJ80")</f>
        <v>0</v>
      </c>
      <c r="F568" t="b">
        <f t="shared" ca="1" si="68"/>
        <v>0</v>
      </c>
    </row>
    <row r="569" spans="1:6" x14ac:dyDescent="0.25">
      <c r="A569" t="s">
        <v>1216</v>
      </c>
      <c r="B569" t="s">
        <v>1146</v>
      </c>
      <c r="C569" t="s">
        <v>43</v>
      </c>
      <c r="E569">
        <f ca="1">INDIRECT("'Sheet1'!AK80")</f>
        <v>0</v>
      </c>
      <c r="F569" t="b">
        <f t="shared" ca="1" si="68"/>
        <v>1</v>
      </c>
    </row>
    <row r="570" spans="1:6" x14ac:dyDescent="0.25">
      <c r="A570" t="s">
        <v>1217</v>
      </c>
      <c r="B570" t="s">
        <v>1130</v>
      </c>
      <c r="C570" t="s">
        <v>44</v>
      </c>
      <c r="D570" t="s">
        <v>96</v>
      </c>
      <c r="E570">
        <f ca="1">INDIRECT("'Sheet1'!AL80")</f>
        <v>0</v>
      </c>
      <c r="F570" t="b">
        <f t="shared" ca="1" si="68"/>
        <v>0</v>
      </c>
    </row>
    <row r="571" spans="1:6" x14ac:dyDescent="0.25">
      <c r="A571" t="s">
        <v>1218</v>
      </c>
      <c r="B571" t="s">
        <v>1133</v>
      </c>
      <c r="C571" t="s">
        <v>45</v>
      </c>
      <c r="D571" t="s">
        <v>675</v>
      </c>
      <c r="E571">
        <f ca="1">INDIRECT("'Sheet1'!AM80")</f>
        <v>0</v>
      </c>
      <c r="F571" t="b">
        <f t="shared" ca="1" si="68"/>
        <v>0</v>
      </c>
    </row>
    <row r="573" spans="1:6" x14ac:dyDescent="0.25">
      <c r="A573" t="s">
        <v>320</v>
      </c>
      <c r="B573" t="s">
        <v>1066</v>
      </c>
      <c r="C573" t="s">
        <v>31</v>
      </c>
      <c r="D573">
        <v>98</v>
      </c>
      <c r="E573">
        <f ca="1">INDIRECT("'Sheet1'!Y81")</f>
        <v>0</v>
      </c>
      <c r="F573" t="b">
        <f t="shared" ref="F573:F587" ca="1" si="69">E573=D573</f>
        <v>0</v>
      </c>
    </row>
    <row r="574" spans="1:6" x14ac:dyDescent="0.25">
      <c r="A574" t="s">
        <v>321</v>
      </c>
      <c r="B574" t="s">
        <v>1067</v>
      </c>
      <c r="C574" t="s">
        <v>32</v>
      </c>
      <c r="D574" t="s">
        <v>96</v>
      </c>
      <c r="E574">
        <f ca="1">INDIRECT("'Sheet1'!Z81")</f>
        <v>0</v>
      </c>
      <c r="F574" t="b">
        <f t="shared" ca="1" si="69"/>
        <v>0</v>
      </c>
    </row>
    <row r="575" spans="1:6" x14ac:dyDescent="0.25">
      <c r="A575" t="s">
        <v>322</v>
      </c>
      <c r="B575" t="s">
        <v>1071</v>
      </c>
      <c r="C575" t="s">
        <v>33</v>
      </c>
      <c r="D575" t="s">
        <v>679</v>
      </c>
      <c r="E575">
        <f ca="1">INDIRECT("'Sheet1'!AA81")</f>
        <v>0</v>
      </c>
      <c r="F575" t="b">
        <f t="shared" ca="1" si="69"/>
        <v>0</v>
      </c>
    </row>
    <row r="576" spans="1:6" x14ac:dyDescent="0.25">
      <c r="A576" t="s">
        <v>323</v>
      </c>
      <c r="B576" t="s">
        <v>1080</v>
      </c>
      <c r="C576" t="s">
        <v>34</v>
      </c>
      <c r="E576">
        <f ca="1">INDIRECT("'Sheet1'!AB81")</f>
        <v>0</v>
      </c>
      <c r="F576" t="b">
        <f t="shared" ca="1" si="69"/>
        <v>1</v>
      </c>
    </row>
    <row r="577" spans="1:6" x14ac:dyDescent="0.25">
      <c r="A577" t="s">
        <v>1219</v>
      </c>
      <c r="B577" t="s">
        <v>1076</v>
      </c>
      <c r="C577" t="s">
        <v>35</v>
      </c>
      <c r="D577" t="s">
        <v>96</v>
      </c>
      <c r="E577">
        <f ca="1">INDIRECT("'Sheet1'!AC81")</f>
        <v>0</v>
      </c>
      <c r="F577" t="b">
        <f t="shared" ca="1" si="69"/>
        <v>0</v>
      </c>
    </row>
    <row r="578" spans="1:6" x14ac:dyDescent="0.25">
      <c r="A578" t="s">
        <v>1220</v>
      </c>
      <c r="B578" t="s">
        <v>1081</v>
      </c>
      <c r="C578" t="s">
        <v>36</v>
      </c>
      <c r="D578" t="s">
        <v>680</v>
      </c>
      <c r="E578">
        <f ca="1">INDIRECT("'Sheet1'!AD81")</f>
        <v>0</v>
      </c>
      <c r="F578" t="b">
        <f t="shared" ca="1" si="69"/>
        <v>0</v>
      </c>
    </row>
    <row r="579" spans="1:6" x14ac:dyDescent="0.25">
      <c r="A579" t="s">
        <v>1221</v>
      </c>
      <c r="B579" t="s">
        <v>1142</v>
      </c>
      <c r="C579" t="s">
        <v>37</v>
      </c>
      <c r="E579">
        <f ca="1">INDIRECT("'Sheet1'!AE81")</f>
        <v>0</v>
      </c>
      <c r="F579" t="b">
        <f t="shared" ca="1" si="69"/>
        <v>1</v>
      </c>
    </row>
    <row r="580" spans="1:6" x14ac:dyDescent="0.25">
      <c r="A580" t="s">
        <v>1222</v>
      </c>
      <c r="B580" t="s">
        <v>1115</v>
      </c>
      <c r="C580" t="s">
        <v>38</v>
      </c>
      <c r="D580" t="s">
        <v>96</v>
      </c>
      <c r="E580">
        <f ca="1">INDIRECT("'Sheet1'!AF81")</f>
        <v>0</v>
      </c>
      <c r="F580" t="b">
        <f t="shared" ca="1" si="69"/>
        <v>0</v>
      </c>
    </row>
    <row r="581" spans="1:6" x14ac:dyDescent="0.25">
      <c r="A581" t="s">
        <v>1223</v>
      </c>
      <c r="B581" t="s">
        <v>1116</v>
      </c>
      <c r="C581" t="s">
        <v>39</v>
      </c>
      <c r="D581" t="s">
        <v>673</v>
      </c>
      <c r="E581">
        <f ca="1">INDIRECT("'Sheet1'!AG81")</f>
        <v>0</v>
      </c>
      <c r="F581" t="b">
        <f t="shared" ca="1" si="69"/>
        <v>0</v>
      </c>
    </row>
    <row r="582" spans="1:6" x14ac:dyDescent="0.25">
      <c r="A582" t="s">
        <v>1224</v>
      </c>
      <c r="B582" t="s">
        <v>1147</v>
      </c>
      <c r="C582" t="s">
        <v>40</v>
      </c>
      <c r="E582">
        <f ca="1">INDIRECT("'Sheet1'!AH81")</f>
        <v>0</v>
      </c>
      <c r="F582" t="b">
        <f t="shared" ca="1" si="69"/>
        <v>1</v>
      </c>
    </row>
    <row r="583" spans="1:6" x14ac:dyDescent="0.25">
      <c r="A583" t="s">
        <v>1225</v>
      </c>
      <c r="B583" t="s">
        <v>1120</v>
      </c>
      <c r="C583" t="s">
        <v>41</v>
      </c>
      <c r="D583" t="s">
        <v>96</v>
      </c>
      <c r="E583">
        <f ca="1">INDIRECT("'Sheet1'!AI81")</f>
        <v>0</v>
      </c>
      <c r="F583" t="b">
        <f t="shared" ca="1" si="69"/>
        <v>0</v>
      </c>
    </row>
    <row r="584" spans="1:6" x14ac:dyDescent="0.25">
      <c r="A584" t="s">
        <v>1226</v>
      </c>
      <c r="B584" t="s">
        <v>1124</v>
      </c>
      <c r="C584" t="s">
        <v>42</v>
      </c>
      <c r="D584" t="s">
        <v>677</v>
      </c>
      <c r="E584">
        <f ca="1">INDIRECT("'Sheet1'!AJ81")</f>
        <v>0</v>
      </c>
      <c r="F584" t="b">
        <f t="shared" ca="1" si="69"/>
        <v>0</v>
      </c>
    </row>
    <row r="585" spans="1:6" x14ac:dyDescent="0.25">
      <c r="A585" t="s">
        <v>1227</v>
      </c>
      <c r="B585" t="s">
        <v>1146</v>
      </c>
      <c r="C585" t="s">
        <v>43</v>
      </c>
      <c r="E585">
        <f ca="1">INDIRECT("'Sheet1'!AK81")</f>
        <v>0</v>
      </c>
      <c r="F585" t="b">
        <f t="shared" ca="1" si="69"/>
        <v>1</v>
      </c>
    </row>
    <row r="586" spans="1:6" x14ac:dyDescent="0.25">
      <c r="A586" t="s">
        <v>1228</v>
      </c>
      <c r="B586" t="s">
        <v>1130</v>
      </c>
      <c r="C586" t="s">
        <v>44</v>
      </c>
      <c r="D586" t="s">
        <v>96</v>
      </c>
      <c r="E586">
        <f ca="1">INDIRECT("'Sheet1'!AL81")</f>
        <v>0</v>
      </c>
      <c r="F586" t="b">
        <f t="shared" ca="1" si="69"/>
        <v>0</v>
      </c>
    </row>
    <row r="587" spans="1:6" x14ac:dyDescent="0.25">
      <c r="A587" t="s">
        <v>1229</v>
      </c>
      <c r="B587" t="s">
        <v>1230</v>
      </c>
      <c r="C587" t="s">
        <v>45</v>
      </c>
      <c r="D587" t="s">
        <v>871</v>
      </c>
      <c r="E587">
        <f ca="1">INDIRECT("'Sheet1'!AM81")</f>
        <v>0</v>
      </c>
      <c r="F587" t="b">
        <f t="shared" ca="1" si="69"/>
        <v>0</v>
      </c>
    </row>
    <row r="589" spans="1:6" x14ac:dyDescent="0.25">
      <c r="A589" t="s">
        <v>324</v>
      </c>
      <c r="B589" t="s">
        <v>1066</v>
      </c>
      <c r="C589" t="s">
        <v>31</v>
      </c>
      <c r="D589">
        <v>98</v>
      </c>
      <c r="E589">
        <f ca="1">INDIRECT("'Sheet1'!Y82")</f>
        <v>0</v>
      </c>
      <c r="F589" t="b">
        <f t="shared" ref="F589:F603" ca="1" si="70">E589=D589</f>
        <v>0</v>
      </c>
    </row>
    <row r="590" spans="1:6" x14ac:dyDescent="0.25">
      <c r="A590" t="s">
        <v>325</v>
      </c>
      <c r="B590" t="s">
        <v>1067</v>
      </c>
      <c r="C590" t="s">
        <v>32</v>
      </c>
      <c r="D590" t="s">
        <v>96</v>
      </c>
      <c r="E590">
        <f ca="1">INDIRECT("'Sheet1'!Z82")</f>
        <v>0</v>
      </c>
      <c r="F590" t="b">
        <f t="shared" ca="1" si="70"/>
        <v>0</v>
      </c>
    </row>
    <row r="591" spans="1:6" x14ac:dyDescent="0.25">
      <c r="A591" t="s">
        <v>326</v>
      </c>
      <c r="B591" t="s">
        <v>1183</v>
      </c>
      <c r="C591" t="s">
        <v>33</v>
      </c>
      <c r="D591" t="s">
        <v>871</v>
      </c>
      <c r="E591">
        <f ca="1">INDIRECT("'Sheet1'!AA82")</f>
        <v>0</v>
      </c>
      <c r="F591" t="b">
        <f t="shared" ca="1" si="70"/>
        <v>0</v>
      </c>
    </row>
    <row r="592" spans="1:6" x14ac:dyDescent="0.25">
      <c r="A592" t="s">
        <v>327</v>
      </c>
      <c r="B592" t="s">
        <v>1075</v>
      </c>
      <c r="C592" t="s">
        <v>34</v>
      </c>
      <c r="D592">
        <v>97</v>
      </c>
      <c r="E592">
        <f ca="1">INDIRECT("'Sheet1'!AB82")</f>
        <v>0</v>
      </c>
      <c r="F592" t="b">
        <f t="shared" ca="1" si="70"/>
        <v>0</v>
      </c>
    </row>
    <row r="593" spans="1:6" x14ac:dyDescent="0.25">
      <c r="A593" t="s">
        <v>328</v>
      </c>
      <c r="B593" t="s">
        <v>1076</v>
      </c>
      <c r="C593" t="s">
        <v>35</v>
      </c>
      <c r="D593" t="s">
        <v>96</v>
      </c>
      <c r="E593">
        <f ca="1">INDIRECT("'Sheet1'!AC82")</f>
        <v>0</v>
      </c>
      <c r="F593" t="b">
        <f t="shared" ca="1" si="70"/>
        <v>0</v>
      </c>
    </row>
    <row r="594" spans="1:6" x14ac:dyDescent="0.25">
      <c r="A594" t="s">
        <v>329</v>
      </c>
      <c r="B594" t="s">
        <v>1195</v>
      </c>
      <c r="C594" t="s">
        <v>36</v>
      </c>
      <c r="D594" t="s">
        <v>871</v>
      </c>
      <c r="E594">
        <f ca="1">INDIRECT("'Sheet1'!AD82")</f>
        <v>0</v>
      </c>
      <c r="F594" t="b">
        <f t="shared" ca="1" si="70"/>
        <v>0</v>
      </c>
    </row>
    <row r="595" spans="1:6" x14ac:dyDescent="0.25">
      <c r="A595" t="s">
        <v>330</v>
      </c>
      <c r="B595" t="s">
        <v>1114</v>
      </c>
      <c r="C595" t="s">
        <v>37</v>
      </c>
      <c r="D595">
        <v>96</v>
      </c>
      <c r="E595">
        <f ca="1">INDIRECT("'Sheet1'!AE82")</f>
        <v>0</v>
      </c>
      <c r="F595" t="b">
        <f t="shared" ca="1" si="70"/>
        <v>0</v>
      </c>
    </row>
    <row r="596" spans="1:6" x14ac:dyDescent="0.25">
      <c r="A596" t="s">
        <v>331</v>
      </c>
      <c r="B596" t="s">
        <v>1115</v>
      </c>
      <c r="C596" t="s">
        <v>38</v>
      </c>
      <c r="D596" t="s">
        <v>96</v>
      </c>
      <c r="E596">
        <f ca="1">INDIRECT("'Sheet1'!AF82")</f>
        <v>0</v>
      </c>
      <c r="F596" t="b">
        <f t="shared" ca="1" si="70"/>
        <v>0</v>
      </c>
    </row>
    <row r="597" spans="1:6" x14ac:dyDescent="0.25">
      <c r="A597" t="s">
        <v>332</v>
      </c>
      <c r="B597" t="s">
        <v>1207</v>
      </c>
      <c r="C597" t="s">
        <v>39</v>
      </c>
      <c r="D597" t="s">
        <v>871</v>
      </c>
      <c r="E597">
        <f ca="1">INDIRECT("'Sheet1'!AG82")</f>
        <v>0</v>
      </c>
      <c r="F597" t="b">
        <f t="shared" ca="1" si="70"/>
        <v>0</v>
      </c>
    </row>
    <row r="598" spans="1:6" x14ac:dyDescent="0.25">
      <c r="A598" t="s">
        <v>333</v>
      </c>
      <c r="B598" t="s">
        <v>1119</v>
      </c>
      <c r="C598" t="s">
        <v>40</v>
      </c>
      <c r="D598">
        <v>95</v>
      </c>
      <c r="E598">
        <f ca="1">INDIRECT("'Sheet1'!AH82")</f>
        <v>0</v>
      </c>
      <c r="F598" t="b">
        <f t="shared" ca="1" si="70"/>
        <v>0</v>
      </c>
    </row>
    <row r="599" spans="1:6" x14ac:dyDescent="0.25">
      <c r="A599" t="s">
        <v>334</v>
      </c>
      <c r="B599" t="s">
        <v>1120</v>
      </c>
      <c r="C599" t="s">
        <v>41</v>
      </c>
      <c r="D599" t="s">
        <v>96</v>
      </c>
      <c r="E599">
        <f ca="1">INDIRECT("'Sheet1'!AI82")</f>
        <v>0</v>
      </c>
      <c r="F599" t="b">
        <f t="shared" ca="1" si="70"/>
        <v>0</v>
      </c>
    </row>
    <row r="600" spans="1:6" x14ac:dyDescent="0.25">
      <c r="A600" t="s">
        <v>335</v>
      </c>
      <c r="B600" t="s">
        <v>1668</v>
      </c>
      <c r="C600" t="s">
        <v>42</v>
      </c>
      <c r="D600" t="s">
        <v>871</v>
      </c>
      <c r="E600">
        <f ca="1">INDIRECT("'Sheet1'!AJ82")</f>
        <v>0</v>
      </c>
      <c r="F600" t="b">
        <f t="shared" ca="1" si="70"/>
        <v>0</v>
      </c>
    </row>
    <row r="601" spans="1:6" x14ac:dyDescent="0.25">
      <c r="A601" t="s">
        <v>336</v>
      </c>
      <c r="B601" t="s">
        <v>1129</v>
      </c>
      <c r="C601" t="s">
        <v>43</v>
      </c>
      <c r="D601">
        <v>94</v>
      </c>
      <c r="E601">
        <f ca="1">INDIRECT("'Sheet1'!AK82")</f>
        <v>0</v>
      </c>
      <c r="F601" t="b">
        <f t="shared" ca="1" si="70"/>
        <v>0</v>
      </c>
    </row>
    <row r="602" spans="1:6" x14ac:dyDescent="0.25">
      <c r="A602" t="s">
        <v>337</v>
      </c>
      <c r="B602" t="s">
        <v>1130</v>
      </c>
      <c r="C602" t="s">
        <v>44</v>
      </c>
      <c r="D602" t="s">
        <v>96</v>
      </c>
      <c r="E602">
        <f ca="1">INDIRECT("'Sheet1'!AL82")</f>
        <v>0</v>
      </c>
      <c r="F602" t="b">
        <f t="shared" ca="1" si="70"/>
        <v>0</v>
      </c>
    </row>
    <row r="603" spans="1:6" x14ac:dyDescent="0.25">
      <c r="A603" t="s">
        <v>1231</v>
      </c>
      <c r="B603" t="s">
        <v>1230</v>
      </c>
      <c r="C603" t="s">
        <v>45</v>
      </c>
      <c r="D603" t="s">
        <v>871</v>
      </c>
      <c r="E603">
        <f ca="1">INDIRECT("'Sheet1'!AM82")</f>
        <v>0</v>
      </c>
      <c r="F603" t="b">
        <f t="shared" ca="1" si="70"/>
        <v>0</v>
      </c>
    </row>
    <row r="605" spans="1:6" x14ac:dyDescent="0.25">
      <c r="A605" t="s">
        <v>338</v>
      </c>
      <c r="B605" t="s">
        <v>1072</v>
      </c>
      <c r="C605" t="s">
        <v>31</v>
      </c>
      <c r="E605">
        <f ca="1">INDIRECT("'Sheet1'!Y83")</f>
        <v>0</v>
      </c>
      <c r="F605" t="b">
        <f t="shared" ref="F605:F619" ca="1" si="71">E605=D605</f>
        <v>1</v>
      </c>
    </row>
    <row r="606" spans="1:6" x14ac:dyDescent="0.25">
      <c r="A606" t="s">
        <v>339</v>
      </c>
      <c r="B606" t="s">
        <v>1067</v>
      </c>
      <c r="C606" t="s">
        <v>32</v>
      </c>
      <c r="D606" t="s">
        <v>96</v>
      </c>
      <c r="E606">
        <f ca="1">INDIRECT("'Sheet1'!Z83")</f>
        <v>0</v>
      </c>
      <c r="F606" t="b">
        <f t="shared" ca="1" si="71"/>
        <v>0</v>
      </c>
    </row>
    <row r="607" spans="1:6" x14ac:dyDescent="0.25">
      <c r="A607" t="s">
        <v>340</v>
      </c>
      <c r="B607" t="s">
        <v>1183</v>
      </c>
      <c r="C607" t="s">
        <v>33</v>
      </c>
      <c r="D607" t="s">
        <v>871</v>
      </c>
      <c r="E607">
        <f ca="1">INDIRECT("'Sheet1'!AA83")</f>
        <v>0</v>
      </c>
      <c r="F607" t="b">
        <f t="shared" ca="1" si="71"/>
        <v>0</v>
      </c>
    </row>
    <row r="608" spans="1:6" x14ac:dyDescent="0.25">
      <c r="A608" t="s">
        <v>341</v>
      </c>
      <c r="B608" t="s">
        <v>1080</v>
      </c>
      <c r="C608" t="s">
        <v>34</v>
      </c>
      <c r="E608">
        <f ca="1">INDIRECT("'Sheet1'!AB83")</f>
        <v>0</v>
      </c>
      <c r="F608" t="b">
        <f t="shared" ca="1" si="71"/>
        <v>1</v>
      </c>
    </row>
    <row r="609" spans="1:6" x14ac:dyDescent="0.25">
      <c r="A609" t="s">
        <v>342</v>
      </c>
      <c r="B609" t="s">
        <v>1076</v>
      </c>
      <c r="C609" t="s">
        <v>35</v>
      </c>
      <c r="D609" t="s">
        <v>96</v>
      </c>
      <c r="E609">
        <f ca="1">INDIRECT("'Sheet1'!AC83")</f>
        <v>0</v>
      </c>
      <c r="F609" t="b">
        <f t="shared" ca="1" si="71"/>
        <v>0</v>
      </c>
    </row>
    <row r="610" spans="1:6" x14ac:dyDescent="0.25">
      <c r="A610" t="s">
        <v>343</v>
      </c>
      <c r="B610" t="s">
        <v>1234</v>
      </c>
      <c r="C610" t="s">
        <v>36</v>
      </c>
      <c r="D610" t="s">
        <v>1020</v>
      </c>
      <c r="E610">
        <f ca="1">INDIRECT("'Sheet1'!AD83")</f>
        <v>0</v>
      </c>
      <c r="F610" t="b">
        <f t="shared" ca="1" si="71"/>
        <v>0</v>
      </c>
    </row>
    <row r="611" spans="1:6" x14ac:dyDescent="0.25">
      <c r="A611" t="s">
        <v>344</v>
      </c>
      <c r="B611" t="s">
        <v>1142</v>
      </c>
      <c r="C611" t="s">
        <v>37</v>
      </c>
      <c r="E611">
        <f ca="1">INDIRECT("'Sheet1'!AE83")</f>
        <v>0</v>
      </c>
      <c r="F611" t="b">
        <f t="shared" ca="1" si="71"/>
        <v>1</v>
      </c>
    </row>
    <row r="612" spans="1:6" x14ac:dyDescent="0.25">
      <c r="A612" t="s">
        <v>345</v>
      </c>
      <c r="B612" t="s">
        <v>1115</v>
      </c>
      <c r="C612" t="s">
        <v>38</v>
      </c>
      <c r="D612" t="s">
        <v>96</v>
      </c>
      <c r="E612">
        <f ca="1">INDIRECT("'Sheet1'!AF83")</f>
        <v>0</v>
      </c>
      <c r="F612" t="b">
        <f t="shared" ca="1" si="71"/>
        <v>0</v>
      </c>
    </row>
    <row r="613" spans="1:6" x14ac:dyDescent="0.25">
      <c r="A613" t="s">
        <v>346</v>
      </c>
      <c r="B613" t="s">
        <v>1233</v>
      </c>
      <c r="C613" t="s">
        <v>39</v>
      </c>
      <c r="D613" t="s">
        <v>1021</v>
      </c>
      <c r="E613">
        <f ca="1">INDIRECT("'Sheet1'!AG83")</f>
        <v>0</v>
      </c>
      <c r="F613" t="b">
        <f t="shared" ca="1" si="71"/>
        <v>0</v>
      </c>
    </row>
    <row r="614" spans="1:6" x14ac:dyDescent="0.25">
      <c r="A614" t="s">
        <v>347</v>
      </c>
      <c r="B614" t="s">
        <v>1147</v>
      </c>
      <c r="C614" t="s">
        <v>40</v>
      </c>
      <c r="E614">
        <f ca="1">INDIRECT("'Sheet1'!AH83")</f>
        <v>0</v>
      </c>
      <c r="F614" t="b">
        <f t="shared" ca="1" si="71"/>
        <v>1</v>
      </c>
    </row>
    <row r="615" spans="1:6" x14ac:dyDescent="0.25">
      <c r="A615" t="s">
        <v>348</v>
      </c>
      <c r="B615" t="s">
        <v>1120</v>
      </c>
      <c r="C615" t="s">
        <v>41</v>
      </c>
      <c r="D615" t="s">
        <v>96</v>
      </c>
      <c r="E615">
        <f ca="1">INDIRECT("'Sheet1'!AI83")</f>
        <v>0</v>
      </c>
      <c r="F615" t="b">
        <f t="shared" ca="1" si="71"/>
        <v>0</v>
      </c>
    </row>
    <row r="616" spans="1:6" x14ac:dyDescent="0.25">
      <c r="A616" t="s">
        <v>349</v>
      </c>
      <c r="B616" t="s">
        <v>1667</v>
      </c>
      <c r="C616" t="s">
        <v>42</v>
      </c>
      <c r="D616" t="s">
        <v>1022</v>
      </c>
      <c r="E616">
        <f ca="1">INDIRECT("'Sheet1'!AJ83")</f>
        <v>0</v>
      </c>
      <c r="F616" t="b">
        <f t="shared" ca="1" si="71"/>
        <v>0</v>
      </c>
    </row>
    <row r="617" spans="1:6" x14ac:dyDescent="0.25">
      <c r="A617" t="s">
        <v>350</v>
      </c>
      <c r="B617" t="s">
        <v>1129</v>
      </c>
      <c r="C617" t="s">
        <v>43</v>
      </c>
      <c r="D617">
        <v>94</v>
      </c>
      <c r="E617">
        <f ca="1">INDIRECT("'Sheet1'!AK83")</f>
        <v>0</v>
      </c>
      <c r="F617" t="b">
        <f t="shared" ca="1" si="71"/>
        <v>0</v>
      </c>
    </row>
    <row r="618" spans="1:6" x14ac:dyDescent="0.25">
      <c r="A618" t="s">
        <v>351</v>
      </c>
      <c r="B618" t="s">
        <v>1130</v>
      </c>
      <c r="C618" t="s">
        <v>44</v>
      </c>
      <c r="D618" t="s">
        <v>96</v>
      </c>
      <c r="E618">
        <f ca="1">INDIRECT("'Sheet1'!AL83")</f>
        <v>0</v>
      </c>
      <c r="F618" t="b">
        <f t="shared" ca="1" si="71"/>
        <v>0</v>
      </c>
    </row>
    <row r="619" spans="1:6" x14ac:dyDescent="0.25">
      <c r="A619" t="s">
        <v>1232</v>
      </c>
      <c r="B619" t="s">
        <v>1235</v>
      </c>
      <c r="C619" t="s">
        <v>45</v>
      </c>
      <c r="D619" t="s">
        <v>675</v>
      </c>
      <c r="E619">
        <f ca="1">INDIRECT("'Sheet1'!AM83")</f>
        <v>0</v>
      </c>
      <c r="F619" t="b">
        <f t="shared" ca="1" si="71"/>
        <v>0</v>
      </c>
    </row>
    <row r="621" spans="1:6" x14ac:dyDescent="0.25">
      <c r="A621" t="s">
        <v>352</v>
      </c>
      <c r="B621" t="s">
        <v>1072</v>
      </c>
      <c r="C621" t="s">
        <v>31</v>
      </c>
      <c r="E621">
        <f ca="1">INDIRECT("'Sheet1'!Y84")</f>
        <v>0</v>
      </c>
      <c r="F621" t="b">
        <f t="shared" ref="F621:F635" ca="1" si="72">E621=D621</f>
        <v>1</v>
      </c>
    </row>
    <row r="622" spans="1:6" x14ac:dyDescent="0.25">
      <c r="A622" t="s">
        <v>353</v>
      </c>
      <c r="B622" t="s">
        <v>1067</v>
      </c>
      <c r="C622" t="s">
        <v>32</v>
      </c>
      <c r="D622" t="s">
        <v>96</v>
      </c>
      <c r="E622">
        <f ca="1">INDIRECT("'Sheet1'!Z84")</f>
        <v>0</v>
      </c>
      <c r="F622" t="b">
        <f t="shared" ca="1" si="72"/>
        <v>0</v>
      </c>
    </row>
    <row r="623" spans="1:6" x14ac:dyDescent="0.25">
      <c r="A623" t="s">
        <v>354</v>
      </c>
      <c r="B623" t="s">
        <v>1183</v>
      </c>
      <c r="C623" t="s">
        <v>33</v>
      </c>
      <c r="D623" t="s">
        <v>871</v>
      </c>
      <c r="E623">
        <f ca="1">INDIRECT("'Sheet1'!AA84")</f>
        <v>0</v>
      </c>
      <c r="F623" t="b">
        <f t="shared" ca="1" si="72"/>
        <v>0</v>
      </c>
    </row>
    <row r="624" spans="1:6" x14ac:dyDescent="0.25">
      <c r="A624" t="s">
        <v>355</v>
      </c>
      <c r="B624" t="s">
        <v>1080</v>
      </c>
      <c r="C624" t="s">
        <v>34</v>
      </c>
      <c r="E624">
        <f ca="1">INDIRECT("'Sheet1'!AB84")</f>
        <v>0</v>
      </c>
      <c r="F624" t="b">
        <f t="shared" ca="1" si="72"/>
        <v>1</v>
      </c>
    </row>
    <row r="625" spans="1:6" x14ac:dyDescent="0.25">
      <c r="A625" t="s">
        <v>356</v>
      </c>
      <c r="B625" t="s">
        <v>1076</v>
      </c>
      <c r="C625" t="s">
        <v>35</v>
      </c>
      <c r="D625" t="s">
        <v>96</v>
      </c>
      <c r="E625">
        <f ca="1">INDIRECT("'Sheet1'!AC84")</f>
        <v>0</v>
      </c>
      <c r="F625" t="b">
        <f t="shared" ca="1" si="72"/>
        <v>0</v>
      </c>
    </row>
    <row r="626" spans="1:6" x14ac:dyDescent="0.25">
      <c r="A626" t="s">
        <v>357</v>
      </c>
      <c r="B626" t="s">
        <v>1234</v>
      </c>
      <c r="C626" t="s">
        <v>36</v>
      </c>
      <c r="D626" t="s">
        <v>1020</v>
      </c>
      <c r="E626">
        <f ca="1">INDIRECT("'Sheet1'!AD84")</f>
        <v>0</v>
      </c>
      <c r="F626" t="b">
        <f t="shared" ca="1" si="72"/>
        <v>0</v>
      </c>
    </row>
    <row r="627" spans="1:6" x14ac:dyDescent="0.25">
      <c r="A627" t="s">
        <v>358</v>
      </c>
      <c r="B627" t="s">
        <v>1142</v>
      </c>
      <c r="C627" t="s">
        <v>37</v>
      </c>
      <c r="E627">
        <f ca="1">INDIRECT("'Sheet1'!AE84")</f>
        <v>0</v>
      </c>
      <c r="F627" t="b">
        <f t="shared" ca="1" si="72"/>
        <v>1</v>
      </c>
    </row>
    <row r="628" spans="1:6" x14ac:dyDescent="0.25">
      <c r="A628" t="s">
        <v>359</v>
      </c>
      <c r="B628" t="s">
        <v>1115</v>
      </c>
      <c r="C628" t="s">
        <v>38</v>
      </c>
      <c r="D628" t="s">
        <v>96</v>
      </c>
      <c r="E628">
        <f ca="1">INDIRECT("'Sheet1'!AF84")</f>
        <v>0</v>
      </c>
      <c r="F628" t="b">
        <f t="shared" ca="1" si="72"/>
        <v>0</v>
      </c>
    </row>
    <row r="629" spans="1:6" x14ac:dyDescent="0.25">
      <c r="A629" t="s">
        <v>360</v>
      </c>
      <c r="B629" t="s">
        <v>1233</v>
      </c>
      <c r="C629" t="s">
        <v>39</v>
      </c>
      <c r="D629" t="s">
        <v>1021</v>
      </c>
      <c r="E629">
        <f ca="1">INDIRECT("'Sheet1'!AG84")</f>
        <v>0</v>
      </c>
      <c r="F629" t="b">
        <f t="shared" ca="1" si="72"/>
        <v>0</v>
      </c>
    </row>
    <row r="630" spans="1:6" x14ac:dyDescent="0.25">
      <c r="A630" t="s">
        <v>361</v>
      </c>
      <c r="B630" t="s">
        <v>1147</v>
      </c>
      <c r="C630" t="s">
        <v>40</v>
      </c>
      <c r="E630">
        <f ca="1">INDIRECT("'Sheet1'!AH84")</f>
        <v>0</v>
      </c>
      <c r="F630" t="b">
        <f t="shared" ca="1" si="72"/>
        <v>1</v>
      </c>
    </row>
    <row r="631" spans="1:6" x14ac:dyDescent="0.25">
      <c r="A631" t="s">
        <v>362</v>
      </c>
      <c r="B631" t="s">
        <v>1120</v>
      </c>
      <c r="C631" t="s">
        <v>41</v>
      </c>
      <c r="D631" t="s">
        <v>96</v>
      </c>
      <c r="E631">
        <f ca="1">INDIRECT("'Sheet1'!AI84")</f>
        <v>0</v>
      </c>
      <c r="F631" t="b">
        <f t="shared" ca="1" si="72"/>
        <v>0</v>
      </c>
    </row>
    <row r="632" spans="1:6" x14ac:dyDescent="0.25">
      <c r="A632" t="s">
        <v>363</v>
      </c>
      <c r="B632" t="s">
        <v>1667</v>
      </c>
      <c r="C632" t="s">
        <v>42</v>
      </c>
      <c r="D632" t="s">
        <v>1022</v>
      </c>
      <c r="E632">
        <f ca="1">INDIRECT("'Sheet1'!AJ84")</f>
        <v>0</v>
      </c>
      <c r="F632" t="b">
        <f t="shared" ca="1" si="72"/>
        <v>0</v>
      </c>
    </row>
    <row r="633" spans="1:6" x14ac:dyDescent="0.25">
      <c r="A633" t="s">
        <v>364</v>
      </c>
      <c r="B633" t="s">
        <v>1129</v>
      </c>
      <c r="C633" t="s">
        <v>43</v>
      </c>
      <c r="D633">
        <v>94</v>
      </c>
      <c r="E633">
        <f ca="1">INDIRECT("'Sheet1'!AK84")</f>
        <v>0</v>
      </c>
      <c r="F633" t="b">
        <f t="shared" ca="1" si="72"/>
        <v>0</v>
      </c>
    </row>
    <row r="634" spans="1:6" x14ac:dyDescent="0.25">
      <c r="A634" t="s">
        <v>365</v>
      </c>
      <c r="B634" t="s">
        <v>1130</v>
      </c>
      <c r="C634" t="s">
        <v>44</v>
      </c>
      <c r="D634" t="s">
        <v>96</v>
      </c>
      <c r="E634">
        <f ca="1">INDIRECT("'Sheet1'!AL84")</f>
        <v>0</v>
      </c>
      <c r="F634" t="b">
        <f t="shared" ca="1" si="72"/>
        <v>0</v>
      </c>
    </row>
    <row r="635" spans="1:6" x14ac:dyDescent="0.25">
      <c r="A635" t="s">
        <v>1236</v>
      </c>
      <c r="B635" t="s">
        <v>1235</v>
      </c>
      <c r="C635" t="s">
        <v>45</v>
      </c>
      <c r="D635" t="s">
        <v>675</v>
      </c>
      <c r="E635">
        <f ca="1">INDIRECT("'Sheet1'!AM84")</f>
        <v>0</v>
      </c>
      <c r="F635" t="b">
        <f t="shared" ca="1" si="72"/>
        <v>0</v>
      </c>
    </row>
    <row r="637" spans="1:6" x14ac:dyDescent="0.25">
      <c r="A637" t="s">
        <v>366</v>
      </c>
      <c r="B637" t="s">
        <v>1066</v>
      </c>
      <c r="C637" t="s">
        <v>31</v>
      </c>
      <c r="D637">
        <v>98</v>
      </c>
      <c r="E637">
        <f ca="1">INDIRECT("'Sheet1'!Y85")</f>
        <v>0</v>
      </c>
      <c r="F637" t="b">
        <f t="shared" ref="F637:F651" ca="1" si="73">E637=D637</f>
        <v>0</v>
      </c>
    </row>
    <row r="638" spans="1:6" x14ac:dyDescent="0.25">
      <c r="A638" t="s">
        <v>367</v>
      </c>
      <c r="B638" t="s">
        <v>1067</v>
      </c>
      <c r="C638" t="s">
        <v>32</v>
      </c>
      <c r="D638" t="s">
        <v>96</v>
      </c>
      <c r="E638">
        <f ca="1">INDIRECT("'Sheet1'!Z85")</f>
        <v>0</v>
      </c>
      <c r="F638" t="b">
        <f t="shared" ca="1" si="73"/>
        <v>0</v>
      </c>
    </row>
    <row r="639" spans="1:6" x14ac:dyDescent="0.25">
      <c r="A639" t="s">
        <v>368</v>
      </c>
      <c r="B639" t="s">
        <v>1068</v>
      </c>
      <c r="C639" t="s">
        <v>33</v>
      </c>
      <c r="D639" t="s">
        <v>673</v>
      </c>
      <c r="E639">
        <f ca="1">INDIRECT("'Sheet1'!AA85")</f>
        <v>0</v>
      </c>
      <c r="F639" t="b">
        <f t="shared" ca="1" si="73"/>
        <v>0</v>
      </c>
    </row>
    <row r="640" spans="1:6" x14ac:dyDescent="0.25">
      <c r="A640" t="s">
        <v>369</v>
      </c>
      <c r="B640" t="s">
        <v>1080</v>
      </c>
      <c r="C640" t="s">
        <v>34</v>
      </c>
      <c r="E640">
        <f ca="1">INDIRECT("'Sheet1'!AB85")</f>
        <v>0</v>
      </c>
      <c r="F640" t="b">
        <f t="shared" ca="1" si="73"/>
        <v>1</v>
      </c>
    </row>
    <row r="641" spans="1:6" x14ac:dyDescent="0.25">
      <c r="A641" t="s">
        <v>370</v>
      </c>
      <c r="B641" t="s">
        <v>1076</v>
      </c>
      <c r="C641" t="s">
        <v>35</v>
      </c>
      <c r="D641" t="s">
        <v>96</v>
      </c>
      <c r="E641">
        <f ca="1">INDIRECT("'Sheet1'!AC85")</f>
        <v>0</v>
      </c>
      <c r="F641" t="b">
        <f t="shared" ca="1" si="73"/>
        <v>0</v>
      </c>
    </row>
    <row r="642" spans="1:6" x14ac:dyDescent="0.25">
      <c r="A642" t="s">
        <v>371</v>
      </c>
      <c r="B642" t="s">
        <v>1234</v>
      </c>
      <c r="C642" t="s">
        <v>36</v>
      </c>
      <c r="D642" t="s">
        <v>1020</v>
      </c>
      <c r="E642">
        <f ca="1">INDIRECT("'Sheet1'!AD85")</f>
        <v>0</v>
      </c>
      <c r="F642" t="b">
        <f t="shared" ca="1" si="73"/>
        <v>0</v>
      </c>
    </row>
    <row r="643" spans="1:6" x14ac:dyDescent="0.25">
      <c r="A643" t="s">
        <v>372</v>
      </c>
      <c r="B643" t="s">
        <v>1142</v>
      </c>
      <c r="C643" t="s">
        <v>37</v>
      </c>
      <c r="E643">
        <f ca="1">INDIRECT("'Sheet1'!AE85")</f>
        <v>0</v>
      </c>
      <c r="F643" t="b">
        <f t="shared" ca="1" si="73"/>
        <v>1</v>
      </c>
    </row>
    <row r="644" spans="1:6" x14ac:dyDescent="0.25">
      <c r="A644" t="s">
        <v>373</v>
      </c>
      <c r="B644" t="s">
        <v>1115</v>
      </c>
      <c r="C644" t="s">
        <v>38</v>
      </c>
      <c r="D644" t="s">
        <v>96</v>
      </c>
      <c r="E644">
        <f ca="1">INDIRECT("'Sheet1'!AF85")</f>
        <v>0</v>
      </c>
      <c r="F644" t="b">
        <f t="shared" ca="1" si="73"/>
        <v>0</v>
      </c>
    </row>
    <row r="645" spans="1:6" x14ac:dyDescent="0.25">
      <c r="A645" t="s">
        <v>374</v>
      </c>
      <c r="B645" t="s">
        <v>1233</v>
      </c>
      <c r="C645" t="s">
        <v>39</v>
      </c>
      <c r="D645" t="s">
        <v>1021</v>
      </c>
      <c r="E645">
        <f ca="1">INDIRECT("'Sheet1'!AG85")</f>
        <v>0</v>
      </c>
      <c r="F645" t="b">
        <f t="shared" ca="1" si="73"/>
        <v>0</v>
      </c>
    </row>
    <row r="646" spans="1:6" x14ac:dyDescent="0.25">
      <c r="A646" t="s">
        <v>375</v>
      </c>
      <c r="B646" t="s">
        <v>1147</v>
      </c>
      <c r="C646" t="s">
        <v>40</v>
      </c>
      <c r="E646">
        <f ca="1">INDIRECT("'Sheet1'!AH85")</f>
        <v>0</v>
      </c>
      <c r="F646" t="b">
        <f t="shared" ca="1" si="73"/>
        <v>1</v>
      </c>
    </row>
    <row r="647" spans="1:6" x14ac:dyDescent="0.25">
      <c r="A647" t="s">
        <v>376</v>
      </c>
      <c r="B647" t="s">
        <v>1120</v>
      </c>
      <c r="C647" t="s">
        <v>41</v>
      </c>
      <c r="D647" t="s">
        <v>96</v>
      </c>
      <c r="E647">
        <f ca="1">INDIRECT("'Sheet1'!AI85")</f>
        <v>0</v>
      </c>
      <c r="F647" t="b">
        <f t="shared" ca="1" si="73"/>
        <v>0</v>
      </c>
    </row>
    <row r="648" spans="1:6" x14ac:dyDescent="0.25">
      <c r="A648" t="s">
        <v>377</v>
      </c>
      <c r="B648" t="s">
        <v>1667</v>
      </c>
      <c r="C648" t="s">
        <v>42</v>
      </c>
      <c r="D648" t="s">
        <v>1022</v>
      </c>
      <c r="E648">
        <f ca="1">INDIRECT("'Sheet1'!AJ85")</f>
        <v>0</v>
      </c>
      <c r="F648" t="b">
        <f t="shared" ca="1" si="73"/>
        <v>0</v>
      </c>
    </row>
    <row r="649" spans="1:6" x14ac:dyDescent="0.25">
      <c r="A649" t="s">
        <v>378</v>
      </c>
      <c r="B649" t="s">
        <v>1146</v>
      </c>
      <c r="C649" t="s">
        <v>43</v>
      </c>
      <c r="E649">
        <f ca="1">INDIRECT("'Sheet1'!AK85")</f>
        <v>0</v>
      </c>
      <c r="F649" t="b">
        <f t="shared" ca="1" si="73"/>
        <v>1</v>
      </c>
    </row>
    <row r="650" spans="1:6" x14ac:dyDescent="0.25">
      <c r="A650" t="s">
        <v>379</v>
      </c>
      <c r="B650" t="s">
        <v>1130</v>
      </c>
      <c r="C650" t="s">
        <v>44</v>
      </c>
      <c r="D650" t="s">
        <v>96</v>
      </c>
      <c r="E650">
        <f ca="1">INDIRECT("'Sheet1'!AL85")</f>
        <v>0</v>
      </c>
      <c r="F650" t="b">
        <f t="shared" ca="1" si="73"/>
        <v>0</v>
      </c>
    </row>
    <row r="651" spans="1:6" x14ac:dyDescent="0.25">
      <c r="A651" t="s">
        <v>1238</v>
      </c>
      <c r="B651" t="s">
        <v>1239</v>
      </c>
      <c r="C651" t="s">
        <v>45</v>
      </c>
      <c r="D651" t="s">
        <v>1237</v>
      </c>
      <c r="E651">
        <f ca="1">INDIRECT("'Sheet1'!AM85")</f>
        <v>0</v>
      </c>
      <c r="F651" t="b">
        <f t="shared" ca="1" si="73"/>
        <v>0</v>
      </c>
    </row>
    <row r="653" spans="1:6" x14ac:dyDescent="0.25">
      <c r="A653" t="s">
        <v>380</v>
      </c>
      <c r="B653" t="s">
        <v>1298</v>
      </c>
      <c r="C653" t="s">
        <v>46</v>
      </c>
      <c r="D653">
        <v>30</v>
      </c>
      <c r="E653">
        <f ca="1">INDIRECT("'Sheet1'!AN86")</f>
        <v>0</v>
      </c>
      <c r="F653" t="b">
        <f t="shared" ref="F653:F654" ca="1" si="74">E653=D653</f>
        <v>0</v>
      </c>
    </row>
    <row r="654" spans="1:6" x14ac:dyDescent="0.25">
      <c r="A654" t="s">
        <v>381</v>
      </c>
      <c r="B654" t="s">
        <v>1299</v>
      </c>
      <c r="C654" t="s">
        <v>47</v>
      </c>
      <c r="D654" t="s">
        <v>673</v>
      </c>
      <c r="E654">
        <f ca="1">INDIRECT("'Sheet1'!AO86")</f>
        <v>0</v>
      </c>
      <c r="F654" t="b">
        <f t="shared" ca="1" si="74"/>
        <v>0</v>
      </c>
    </row>
    <row r="656" spans="1:6" x14ac:dyDescent="0.25">
      <c r="A656" t="s">
        <v>382</v>
      </c>
      <c r="B656" t="s">
        <v>1298</v>
      </c>
      <c r="C656" t="s">
        <v>46</v>
      </c>
      <c r="D656">
        <v>30</v>
      </c>
      <c r="E656">
        <f ca="1">INDIRECT("'Sheet1'!AN87")</f>
        <v>0</v>
      </c>
      <c r="F656" t="b">
        <f t="shared" ref="F656:F657" ca="1" si="75">E656=D656</f>
        <v>0</v>
      </c>
    </row>
    <row r="657" spans="1:6" x14ac:dyDescent="0.25">
      <c r="A657" t="s">
        <v>383</v>
      </c>
      <c r="B657" t="s">
        <v>1300</v>
      </c>
      <c r="C657" t="s">
        <v>47</v>
      </c>
      <c r="D657" t="s">
        <v>872</v>
      </c>
      <c r="E657">
        <f ca="1">INDIRECT("'Sheet1'!AO87")</f>
        <v>0</v>
      </c>
      <c r="F657" t="b">
        <f t="shared" ca="1" si="75"/>
        <v>0</v>
      </c>
    </row>
    <row r="659" spans="1:6" x14ac:dyDescent="0.25">
      <c r="A659" t="s">
        <v>384</v>
      </c>
      <c r="B659" t="s">
        <v>1298</v>
      </c>
      <c r="C659" t="s">
        <v>46</v>
      </c>
      <c r="D659">
        <v>30.2</v>
      </c>
      <c r="E659">
        <f ca="1">INDIRECT("'Sheet1'!AN88")</f>
        <v>0</v>
      </c>
      <c r="F659" t="b">
        <f t="shared" ref="F659:F660" ca="1" si="76">E659=D659</f>
        <v>0</v>
      </c>
    </row>
    <row r="660" spans="1:6" x14ac:dyDescent="0.25">
      <c r="A660" t="s">
        <v>385</v>
      </c>
      <c r="B660" t="s">
        <v>1299</v>
      </c>
      <c r="C660" t="s">
        <v>47</v>
      </c>
      <c r="D660" t="s">
        <v>673</v>
      </c>
      <c r="E660">
        <f ca="1">INDIRECT("'Sheet1'!AO88")</f>
        <v>0</v>
      </c>
      <c r="F660" t="b">
        <f t="shared" ca="1" si="76"/>
        <v>0</v>
      </c>
    </row>
    <row r="662" spans="1:6" x14ac:dyDescent="0.25">
      <c r="A662" t="s">
        <v>386</v>
      </c>
      <c r="B662" t="s">
        <v>1298</v>
      </c>
      <c r="C662" t="s">
        <v>46</v>
      </c>
      <c r="D662">
        <v>30.25</v>
      </c>
      <c r="E662">
        <f ca="1">INDIRECT("'Sheet1'!AN89")</f>
        <v>0</v>
      </c>
      <c r="F662" t="b">
        <f t="shared" ref="F662:F663" ca="1" si="77">E662=D662</f>
        <v>0</v>
      </c>
    </row>
    <row r="663" spans="1:6" x14ac:dyDescent="0.25">
      <c r="A663" t="s">
        <v>387</v>
      </c>
      <c r="B663" t="s">
        <v>1301</v>
      </c>
      <c r="C663" t="s">
        <v>47</v>
      </c>
      <c r="D663" t="s">
        <v>871</v>
      </c>
      <c r="E663">
        <f ca="1">INDIRECT("'Sheet1'!AO89")</f>
        <v>0</v>
      </c>
      <c r="F663" t="b">
        <f t="shared" ca="1" si="77"/>
        <v>0</v>
      </c>
    </row>
    <row r="665" spans="1:6" x14ac:dyDescent="0.25">
      <c r="A665" t="s">
        <v>388</v>
      </c>
      <c r="B665" t="s">
        <v>1302</v>
      </c>
      <c r="C665" t="s">
        <v>48</v>
      </c>
      <c r="D665">
        <v>29</v>
      </c>
      <c r="E665">
        <f ca="1">INDIRECT("'Sheet1'!AP90")</f>
        <v>0</v>
      </c>
      <c r="F665" t="b">
        <f t="shared" ref="F665:F666" ca="1" si="78">E665=D665</f>
        <v>0</v>
      </c>
    </row>
    <row r="666" spans="1:6" x14ac:dyDescent="0.25">
      <c r="A666" t="s">
        <v>389</v>
      </c>
      <c r="B666" t="s">
        <v>1303</v>
      </c>
      <c r="C666" t="s">
        <v>49</v>
      </c>
      <c r="D666" t="s">
        <v>673</v>
      </c>
      <c r="E666">
        <f ca="1">INDIRECT("'Sheet1'!AQ90")</f>
        <v>0</v>
      </c>
      <c r="F666" t="b">
        <f t="shared" ca="1" si="78"/>
        <v>0</v>
      </c>
    </row>
    <row r="668" spans="1:6" x14ac:dyDescent="0.25">
      <c r="A668" t="s">
        <v>390</v>
      </c>
      <c r="B668" t="s">
        <v>1302</v>
      </c>
      <c r="C668" t="s">
        <v>48</v>
      </c>
      <c r="D668">
        <v>29</v>
      </c>
      <c r="E668">
        <f ca="1">INDIRECT("'Sheet1'!AP91")</f>
        <v>0</v>
      </c>
      <c r="F668" t="b">
        <f t="shared" ref="F668:F669" ca="1" si="79">E668=D668</f>
        <v>0</v>
      </c>
    </row>
    <row r="669" spans="1:6" x14ac:dyDescent="0.25">
      <c r="A669" t="s">
        <v>391</v>
      </c>
      <c r="B669" t="s">
        <v>1304</v>
      </c>
      <c r="C669" t="s">
        <v>49</v>
      </c>
      <c r="D669" t="s">
        <v>871</v>
      </c>
      <c r="E669">
        <f ca="1">INDIRECT("'Sheet1'!AQ91")</f>
        <v>0</v>
      </c>
      <c r="F669" t="b">
        <f t="shared" ca="1" si="79"/>
        <v>0</v>
      </c>
    </row>
    <row r="671" spans="1:6" x14ac:dyDescent="0.25">
      <c r="A671" t="s">
        <v>392</v>
      </c>
      <c r="B671" t="s">
        <v>1302</v>
      </c>
      <c r="C671" t="s">
        <v>48</v>
      </c>
      <c r="D671">
        <v>29.2</v>
      </c>
      <c r="E671">
        <f ca="1">INDIRECT("'Sheet1'!AP92")</f>
        <v>0</v>
      </c>
      <c r="F671" t="b">
        <f t="shared" ref="F671:F672" ca="1" si="80">E671=D671</f>
        <v>0</v>
      </c>
    </row>
    <row r="672" spans="1:6" x14ac:dyDescent="0.25">
      <c r="A672" t="s">
        <v>393</v>
      </c>
      <c r="B672" t="s">
        <v>1303</v>
      </c>
      <c r="C672" t="s">
        <v>49</v>
      </c>
      <c r="D672" t="s">
        <v>673</v>
      </c>
      <c r="E672">
        <f ca="1">INDIRECT("'Sheet1'!AQ92")</f>
        <v>0</v>
      </c>
      <c r="F672" t="b">
        <f t="shared" ca="1" si="80"/>
        <v>0</v>
      </c>
    </row>
    <row r="674" spans="1:6" x14ac:dyDescent="0.25">
      <c r="A674" t="s">
        <v>394</v>
      </c>
      <c r="B674" t="s">
        <v>1302</v>
      </c>
      <c r="C674" t="s">
        <v>48</v>
      </c>
      <c r="D674">
        <v>29.25</v>
      </c>
      <c r="E674">
        <f ca="1">INDIRECT("'Sheet1'!AP93")</f>
        <v>0</v>
      </c>
      <c r="F674" t="b">
        <f t="shared" ref="F674:F675" ca="1" si="81">E674=D674</f>
        <v>0</v>
      </c>
    </row>
    <row r="675" spans="1:6" x14ac:dyDescent="0.25">
      <c r="A675" t="s">
        <v>395</v>
      </c>
      <c r="B675" t="s">
        <v>1305</v>
      </c>
      <c r="C675" t="s">
        <v>49</v>
      </c>
      <c r="D675" t="s">
        <v>872</v>
      </c>
      <c r="E675">
        <f ca="1">INDIRECT("'Sheet1'!AQ93")</f>
        <v>0</v>
      </c>
      <c r="F675" t="b">
        <f t="shared" ca="1" si="81"/>
        <v>0</v>
      </c>
    </row>
    <row r="677" spans="1:6" x14ac:dyDescent="0.25">
      <c r="A677" t="s">
        <v>396</v>
      </c>
      <c r="B677" t="s">
        <v>1298</v>
      </c>
      <c r="C677" t="s">
        <v>46</v>
      </c>
      <c r="D677">
        <v>30</v>
      </c>
      <c r="E677">
        <f ca="1">INDIRECT("'Sheet1'!AN94")</f>
        <v>0</v>
      </c>
      <c r="F677" t="b">
        <f t="shared" ref="F677:F680" ca="1" si="82">E677=D677</f>
        <v>0</v>
      </c>
    </row>
    <row r="678" spans="1:6" x14ac:dyDescent="0.25">
      <c r="A678" t="s">
        <v>397</v>
      </c>
      <c r="B678" t="s">
        <v>1306</v>
      </c>
      <c r="C678" t="s">
        <v>47</v>
      </c>
      <c r="D678" t="s">
        <v>679</v>
      </c>
      <c r="E678">
        <f ca="1">INDIRECT("'Sheet1'!AO94")</f>
        <v>0</v>
      </c>
      <c r="F678" t="b">
        <f t="shared" ca="1" si="82"/>
        <v>0</v>
      </c>
    </row>
    <row r="679" spans="1:6" x14ac:dyDescent="0.25">
      <c r="A679" t="s">
        <v>398</v>
      </c>
      <c r="B679" t="s">
        <v>1307</v>
      </c>
      <c r="C679" t="s">
        <v>48</v>
      </c>
      <c r="E679">
        <f ca="1">INDIRECT("'Sheet1'!AP94")</f>
        <v>0</v>
      </c>
      <c r="F679" t="b">
        <f t="shared" ca="1" si="82"/>
        <v>1</v>
      </c>
    </row>
    <row r="680" spans="1:6" x14ac:dyDescent="0.25">
      <c r="A680" t="s">
        <v>1240</v>
      </c>
      <c r="B680" t="s">
        <v>1308</v>
      </c>
      <c r="C680" t="s">
        <v>49</v>
      </c>
      <c r="D680" t="s">
        <v>680</v>
      </c>
      <c r="E680">
        <f ca="1">INDIRECT("'Sheet1'!AQ94")</f>
        <v>0</v>
      </c>
      <c r="F680" t="b">
        <f t="shared" ca="1" si="82"/>
        <v>0</v>
      </c>
    </row>
    <row r="682" spans="1:6" x14ac:dyDescent="0.25">
      <c r="A682" t="s">
        <v>399</v>
      </c>
      <c r="B682" t="s">
        <v>1309</v>
      </c>
      <c r="C682" t="s">
        <v>46</v>
      </c>
      <c r="E682">
        <f ca="1">INDIRECT("'Sheet1'!AN95")</f>
        <v>0</v>
      </c>
      <c r="F682" t="b">
        <f t="shared" ref="F682:F685" ca="1" si="83">E682=D682</f>
        <v>1</v>
      </c>
    </row>
    <row r="683" spans="1:6" x14ac:dyDescent="0.25">
      <c r="A683" t="s">
        <v>400</v>
      </c>
      <c r="B683" t="s">
        <v>1310</v>
      </c>
      <c r="C683" t="s">
        <v>47</v>
      </c>
      <c r="D683" t="s">
        <v>680</v>
      </c>
      <c r="E683">
        <f ca="1">INDIRECT("'Sheet1'!AO95")</f>
        <v>0</v>
      </c>
      <c r="F683" t="b">
        <f t="shared" ca="1" si="83"/>
        <v>0</v>
      </c>
    </row>
    <row r="684" spans="1:6" x14ac:dyDescent="0.25">
      <c r="A684" t="s">
        <v>401</v>
      </c>
      <c r="B684" t="s">
        <v>1302</v>
      </c>
      <c r="C684" t="s">
        <v>48</v>
      </c>
      <c r="D684">
        <v>29.2</v>
      </c>
      <c r="E684">
        <f ca="1">INDIRECT("'Sheet1'!AP95")</f>
        <v>0</v>
      </c>
      <c r="F684" t="b">
        <f t="shared" ca="1" si="83"/>
        <v>0</v>
      </c>
    </row>
    <row r="685" spans="1:6" x14ac:dyDescent="0.25">
      <c r="A685" t="s">
        <v>1241</v>
      </c>
      <c r="B685" t="s">
        <v>1311</v>
      </c>
      <c r="C685" t="s">
        <v>49</v>
      </c>
      <c r="D685" t="s">
        <v>679</v>
      </c>
      <c r="E685">
        <f ca="1">INDIRECT("'Sheet1'!AQ95")</f>
        <v>0</v>
      </c>
      <c r="F685" t="b">
        <f t="shared" ca="1" si="83"/>
        <v>0</v>
      </c>
    </row>
    <row r="687" spans="1:6" x14ac:dyDescent="0.25">
      <c r="A687" t="s">
        <v>402</v>
      </c>
      <c r="B687" t="s">
        <v>1298</v>
      </c>
      <c r="C687" t="s">
        <v>46</v>
      </c>
      <c r="D687">
        <v>30</v>
      </c>
      <c r="E687">
        <f ca="1">INDIRECT("'Sheet1'!AN96")</f>
        <v>0</v>
      </c>
      <c r="F687" t="b">
        <f t="shared" ref="F687:F690" ca="1" si="84">E687=D687</f>
        <v>0</v>
      </c>
    </row>
    <row r="688" spans="1:6" x14ac:dyDescent="0.25">
      <c r="A688" t="s">
        <v>403</v>
      </c>
      <c r="B688" t="s">
        <v>1312</v>
      </c>
      <c r="C688" t="s">
        <v>47</v>
      </c>
      <c r="D688" t="s">
        <v>676</v>
      </c>
      <c r="E688">
        <f ca="1">INDIRECT("'Sheet1'!AO96")</f>
        <v>0</v>
      </c>
      <c r="F688" t="b">
        <f t="shared" ca="1" si="84"/>
        <v>0</v>
      </c>
    </row>
    <row r="689" spans="1:6" x14ac:dyDescent="0.25">
      <c r="A689" t="s">
        <v>1242</v>
      </c>
      <c r="B689" t="s">
        <v>1302</v>
      </c>
      <c r="C689" t="s">
        <v>48</v>
      </c>
      <c r="E689">
        <f ca="1">INDIRECT("'Sheet1'!AP96")</f>
        <v>0</v>
      </c>
      <c r="F689" t="b">
        <f t="shared" ca="1" si="84"/>
        <v>1</v>
      </c>
    </row>
    <row r="690" spans="1:6" x14ac:dyDescent="0.25">
      <c r="A690" t="s">
        <v>1243</v>
      </c>
      <c r="B690" t="s">
        <v>1313</v>
      </c>
      <c r="C690" t="s">
        <v>49</v>
      </c>
      <c r="D690" t="s">
        <v>676</v>
      </c>
      <c r="E690">
        <f ca="1">INDIRECT("'Sheet1'!AQ96")</f>
        <v>0</v>
      </c>
      <c r="F690" t="b">
        <f t="shared" ca="1" si="84"/>
        <v>0</v>
      </c>
    </row>
    <row r="692" spans="1:6" x14ac:dyDescent="0.25">
      <c r="A692" t="s">
        <v>404</v>
      </c>
      <c r="B692" t="s">
        <v>1314</v>
      </c>
      <c r="C692" t="s">
        <v>50</v>
      </c>
      <c r="D692">
        <v>28</v>
      </c>
      <c r="E692">
        <f ca="1">INDIRECT("'Sheet1'!AR97")</f>
        <v>0</v>
      </c>
      <c r="F692" t="b">
        <f t="shared" ref="F692:F693" ca="1" si="85">E692=D692</f>
        <v>0</v>
      </c>
    </row>
    <row r="693" spans="1:6" x14ac:dyDescent="0.25">
      <c r="A693" t="s">
        <v>405</v>
      </c>
      <c r="B693" t="s">
        <v>1315</v>
      </c>
      <c r="C693" t="s">
        <v>51</v>
      </c>
      <c r="D693" t="s">
        <v>673</v>
      </c>
      <c r="E693">
        <f ca="1">INDIRECT("'Sheet1'!AS97")</f>
        <v>0</v>
      </c>
      <c r="F693" t="b">
        <f t="shared" ca="1" si="85"/>
        <v>0</v>
      </c>
    </row>
    <row r="695" spans="1:6" x14ac:dyDescent="0.25">
      <c r="A695" t="s">
        <v>406</v>
      </c>
      <c r="B695" t="s">
        <v>1314</v>
      </c>
      <c r="C695" t="s">
        <v>50</v>
      </c>
      <c r="D695">
        <v>28</v>
      </c>
      <c r="E695">
        <f ca="1">INDIRECT("'Sheet1'!AR98")</f>
        <v>0</v>
      </c>
      <c r="F695" t="b">
        <f t="shared" ref="F695:F696" ca="1" si="86">E695=D695</f>
        <v>0</v>
      </c>
    </row>
    <row r="696" spans="1:6" x14ac:dyDescent="0.25">
      <c r="A696" t="s">
        <v>407</v>
      </c>
      <c r="B696" t="s">
        <v>1316</v>
      </c>
      <c r="C696" t="s">
        <v>51</v>
      </c>
      <c r="D696" t="s">
        <v>871</v>
      </c>
      <c r="E696">
        <f ca="1">INDIRECT("'Sheet1'!AS98")</f>
        <v>0</v>
      </c>
      <c r="F696" t="b">
        <f t="shared" ca="1" si="86"/>
        <v>0</v>
      </c>
    </row>
    <row r="698" spans="1:6" x14ac:dyDescent="0.25">
      <c r="A698" t="s">
        <v>408</v>
      </c>
      <c r="B698" t="s">
        <v>1314</v>
      </c>
      <c r="C698" t="s">
        <v>50</v>
      </c>
      <c r="D698">
        <v>28.2</v>
      </c>
      <c r="E698">
        <f ca="1">INDIRECT("'Sheet1'!AR99")</f>
        <v>0</v>
      </c>
      <c r="F698" t="b">
        <f t="shared" ref="F698:F699" ca="1" si="87">E698=D698</f>
        <v>0</v>
      </c>
    </row>
    <row r="699" spans="1:6" x14ac:dyDescent="0.25">
      <c r="A699" t="s">
        <v>409</v>
      </c>
      <c r="B699" t="s">
        <v>1315</v>
      </c>
      <c r="C699" t="s">
        <v>51</v>
      </c>
      <c r="D699" t="s">
        <v>673</v>
      </c>
      <c r="E699">
        <f ca="1">INDIRECT("'Sheet1'!AS99")</f>
        <v>0</v>
      </c>
      <c r="F699" t="b">
        <f t="shared" ca="1" si="87"/>
        <v>0</v>
      </c>
    </row>
    <row r="701" spans="1:6" x14ac:dyDescent="0.25">
      <c r="A701" t="s">
        <v>410</v>
      </c>
      <c r="B701" t="s">
        <v>1314</v>
      </c>
      <c r="C701" t="s">
        <v>50</v>
      </c>
      <c r="D701">
        <v>28.25</v>
      </c>
      <c r="E701">
        <f ca="1">INDIRECT("'Sheet1'!AR100")</f>
        <v>0</v>
      </c>
      <c r="F701" t="b">
        <f t="shared" ref="F701:F702" ca="1" si="88">E701=D701</f>
        <v>0</v>
      </c>
    </row>
    <row r="702" spans="1:6" x14ac:dyDescent="0.25">
      <c r="A702" t="s">
        <v>411</v>
      </c>
      <c r="B702" t="s">
        <v>1317</v>
      </c>
      <c r="C702" t="s">
        <v>51</v>
      </c>
      <c r="D702" t="s">
        <v>872</v>
      </c>
      <c r="E702">
        <f ca="1">INDIRECT("'Sheet1'!AS100")</f>
        <v>0</v>
      </c>
      <c r="F702" t="b">
        <f t="shared" ca="1" si="88"/>
        <v>0</v>
      </c>
    </row>
    <row r="704" spans="1:6" x14ac:dyDescent="0.25">
      <c r="A704" t="s">
        <v>412</v>
      </c>
      <c r="B704" t="s">
        <v>1318</v>
      </c>
      <c r="C704" t="s">
        <v>52</v>
      </c>
      <c r="D704">
        <v>27</v>
      </c>
      <c r="E704">
        <f ca="1">INDIRECT("'Sheet1'!AT101")</f>
        <v>0</v>
      </c>
      <c r="F704" t="b">
        <f t="shared" ref="F704:F705" ca="1" si="89">E704=D704</f>
        <v>0</v>
      </c>
    </row>
    <row r="705" spans="1:6" x14ac:dyDescent="0.25">
      <c r="A705" t="s">
        <v>413</v>
      </c>
      <c r="B705" t="s">
        <v>1319</v>
      </c>
      <c r="C705" t="s">
        <v>53</v>
      </c>
      <c r="D705" t="s">
        <v>673</v>
      </c>
      <c r="E705">
        <f ca="1">INDIRECT("'Sheet1'!AU101")</f>
        <v>0</v>
      </c>
      <c r="F705" t="b">
        <f t="shared" ca="1" si="89"/>
        <v>0</v>
      </c>
    </row>
    <row r="707" spans="1:6" x14ac:dyDescent="0.25">
      <c r="A707" t="s">
        <v>414</v>
      </c>
      <c r="B707" t="s">
        <v>1318</v>
      </c>
      <c r="C707" t="s">
        <v>52</v>
      </c>
      <c r="D707">
        <v>27</v>
      </c>
      <c r="E707">
        <f ca="1">INDIRECT("'Sheet1'!AT102")</f>
        <v>0</v>
      </c>
      <c r="F707" t="b">
        <f t="shared" ref="F707:F708" ca="1" si="90">E707=D707</f>
        <v>0</v>
      </c>
    </row>
    <row r="708" spans="1:6" x14ac:dyDescent="0.25">
      <c r="A708" t="s">
        <v>415</v>
      </c>
      <c r="B708" t="s">
        <v>1320</v>
      </c>
      <c r="C708" t="s">
        <v>53</v>
      </c>
      <c r="D708" t="s">
        <v>871</v>
      </c>
      <c r="E708">
        <f ca="1">INDIRECT("'Sheet1'!AU102")</f>
        <v>0</v>
      </c>
      <c r="F708" t="b">
        <f t="shared" ca="1" si="90"/>
        <v>0</v>
      </c>
    </row>
    <row r="710" spans="1:6" x14ac:dyDescent="0.25">
      <c r="A710" t="s">
        <v>416</v>
      </c>
      <c r="B710" t="s">
        <v>1318</v>
      </c>
      <c r="C710" t="s">
        <v>52</v>
      </c>
      <c r="D710">
        <v>27.2</v>
      </c>
      <c r="E710">
        <f ca="1">INDIRECT("'Sheet1'!AT103")</f>
        <v>0</v>
      </c>
      <c r="F710" t="b">
        <f t="shared" ref="F710:F711" ca="1" si="91">E710=D710</f>
        <v>0</v>
      </c>
    </row>
    <row r="711" spans="1:6" x14ac:dyDescent="0.25">
      <c r="A711" t="s">
        <v>417</v>
      </c>
      <c r="B711" t="s">
        <v>1319</v>
      </c>
      <c r="C711" t="s">
        <v>53</v>
      </c>
      <c r="D711" t="s">
        <v>673</v>
      </c>
      <c r="E711">
        <f ca="1">INDIRECT("'Sheet1'!AU103")</f>
        <v>0</v>
      </c>
      <c r="F711" t="b">
        <f t="shared" ca="1" si="91"/>
        <v>0</v>
      </c>
    </row>
    <row r="713" spans="1:6" x14ac:dyDescent="0.25">
      <c r="A713" t="s">
        <v>418</v>
      </c>
      <c r="B713" t="s">
        <v>1318</v>
      </c>
      <c r="C713" t="s">
        <v>52</v>
      </c>
      <c r="D713">
        <v>27.25</v>
      </c>
      <c r="E713">
        <f ca="1">INDIRECT("'Sheet1'!AT104")</f>
        <v>0</v>
      </c>
      <c r="F713" t="b">
        <f t="shared" ref="F713:F714" ca="1" si="92">E713=D713</f>
        <v>0</v>
      </c>
    </row>
    <row r="714" spans="1:6" x14ac:dyDescent="0.25">
      <c r="A714" t="s">
        <v>419</v>
      </c>
      <c r="B714" t="s">
        <v>1321</v>
      </c>
      <c r="C714" t="s">
        <v>53</v>
      </c>
      <c r="D714" t="s">
        <v>872</v>
      </c>
      <c r="E714">
        <f ca="1">INDIRECT("'Sheet1'!AU104")</f>
        <v>0</v>
      </c>
      <c r="F714" t="b">
        <f t="shared" ca="1" si="92"/>
        <v>0</v>
      </c>
    </row>
    <row r="716" spans="1:6" x14ac:dyDescent="0.25">
      <c r="A716" t="s">
        <v>420</v>
      </c>
      <c r="B716" t="s">
        <v>1314</v>
      </c>
      <c r="C716" t="s">
        <v>50</v>
      </c>
      <c r="D716">
        <v>28</v>
      </c>
      <c r="E716">
        <f ca="1">INDIRECT("'Sheet1'!AR105")</f>
        <v>0</v>
      </c>
      <c r="F716" t="b">
        <f t="shared" ref="F716:F719" ca="1" si="93">E716=D716</f>
        <v>0</v>
      </c>
    </row>
    <row r="717" spans="1:6" x14ac:dyDescent="0.25">
      <c r="A717" t="s">
        <v>421</v>
      </c>
      <c r="B717" t="s">
        <v>1322</v>
      </c>
      <c r="C717" t="s">
        <v>51</v>
      </c>
      <c r="D717" t="s">
        <v>679</v>
      </c>
      <c r="E717">
        <f ca="1">INDIRECT("'Sheet1'!AS105")</f>
        <v>0</v>
      </c>
      <c r="F717" t="b">
        <f t="shared" ca="1" si="93"/>
        <v>0</v>
      </c>
    </row>
    <row r="718" spans="1:6" x14ac:dyDescent="0.25">
      <c r="A718" t="s">
        <v>1244</v>
      </c>
      <c r="B718" t="s">
        <v>1323</v>
      </c>
      <c r="C718" t="s">
        <v>52</v>
      </c>
      <c r="E718">
        <f ca="1">INDIRECT("'Sheet1'!AT105")</f>
        <v>0</v>
      </c>
      <c r="F718" t="b">
        <f t="shared" ca="1" si="93"/>
        <v>1</v>
      </c>
    </row>
    <row r="719" spans="1:6" x14ac:dyDescent="0.25">
      <c r="A719" t="s">
        <v>1245</v>
      </c>
      <c r="B719" t="s">
        <v>1324</v>
      </c>
      <c r="C719" t="s">
        <v>53</v>
      </c>
      <c r="D719" t="s">
        <v>680</v>
      </c>
      <c r="E719">
        <f ca="1">INDIRECT("'Sheet1'!AU105")</f>
        <v>0</v>
      </c>
      <c r="F719" t="b">
        <f t="shared" ca="1" si="93"/>
        <v>0</v>
      </c>
    </row>
    <row r="721" spans="1:6" x14ac:dyDescent="0.25">
      <c r="A721" t="s">
        <v>422</v>
      </c>
      <c r="B721" t="s">
        <v>1325</v>
      </c>
      <c r="C721" t="s">
        <v>50</v>
      </c>
      <c r="E721">
        <f ca="1">INDIRECT("'Sheet1'!AR106")</f>
        <v>0</v>
      </c>
      <c r="F721" t="b">
        <f t="shared" ref="F721:F724" ca="1" si="94">E721=D721</f>
        <v>1</v>
      </c>
    </row>
    <row r="722" spans="1:6" x14ac:dyDescent="0.25">
      <c r="A722" t="s">
        <v>423</v>
      </c>
      <c r="B722" t="s">
        <v>1326</v>
      </c>
      <c r="C722" t="s">
        <v>51</v>
      </c>
      <c r="D722" t="s">
        <v>680</v>
      </c>
      <c r="E722">
        <f ca="1">INDIRECT("'Sheet1'!AS106")</f>
        <v>0</v>
      </c>
      <c r="F722" t="b">
        <f t="shared" ca="1" si="94"/>
        <v>0</v>
      </c>
    </row>
    <row r="723" spans="1:6" x14ac:dyDescent="0.25">
      <c r="A723" t="s">
        <v>424</v>
      </c>
      <c r="B723" t="s">
        <v>1318</v>
      </c>
      <c r="C723" t="s">
        <v>52</v>
      </c>
      <c r="D723">
        <v>27.2</v>
      </c>
      <c r="E723">
        <f ca="1">INDIRECT("'Sheet1'!AT106")</f>
        <v>0</v>
      </c>
      <c r="F723" t="b">
        <f t="shared" ca="1" si="94"/>
        <v>0</v>
      </c>
    </row>
    <row r="724" spans="1:6" x14ac:dyDescent="0.25">
      <c r="A724" t="s">
        <v>425</v>
      </c>
      <c r="B724" t="s">
        <v>1327</v>
      </c>
      <c r="C724" t="s">
        <v>53</v>
      </c>
      <c r="D724" t="s">
        <v>679</v>
      </c>
      <c r="E724">
        <f ca="1">INDIRECT("'Sheet1'!AU106")</f>
        <v>0</v>
      </c>
      <c r="F724" t="b">
        <f t="shared" ca="1" si="94"/>
        <v>0</v>
      </c>
    </row>
    <row r="726" spans="1:6" x14ac:dyDescent="0.25">
      <c r="A726" t="s">
        <v>426</v>
      </c>
      <c r="B726" t="s">
        <v>1314</v>
      </c>
      <c r="C726" t="s">
        <v>50</v>
      </c>
      <c r="D726">
        <v>28</v>
      </c>
      <c r="E726">
        <f ca="1">INDIRECT("'Sheet1'!AR107")</f>
        <v>0</v>
      </c>
      <c r="F726" t="b">
        <f t="shared" ref="F726:F729" ca="1" si="95">E726=D726</f>
        <v>0</v>
      </c>
    </row>
    <row r="727" spans="1:6" x14ac:dyDescent="0.25">
      <c r="A727" t="s">
        <v>427</v>
      </c>
      <c r="B727" t="s">
        <v>1328</v>
      </c>
      <c r="C727" t="s">
        <v>51</v>
      </c>
      <c r="D727" t="s">
        <v>676</v>
      </c>
      <c r="E727">
        <f ca="1">INDIRECT("'Sheet1'!AS107")</f>
        <v>0</v>
      </c>
      <c r="F727" t="b">
        <f t="shared" ca="1" si="95"/>
        <v>0</v>
      </c>
    </row>
    <row r="728" spans="1:6" x14ac:dyDescent="0.25">
      <c r="A728" t="s">
        <v>428</v>
      </c>
      <c r="B728" t="s">
        <v>1318</v>
      </c>
      <c r="C728" t="s">
        <v>52</v>
      </c>
      <c r="E728">
        <f ca="1">INDIRECT("'Sheet1'!AT107")</f>
        <v>0</v>
      </c>
      <c r="F728" t="b">
        <f t="shared" ca="1" si="95"/>
        <v>1</v>
      </c>
    </row>
    <row r="729" spans="1:6" x14ac:dyDescent="0.25">
      <c r="A729" t="s">
        <v>429</v>
      </c>
      <c r="B729" t="s">
        <v>1329</v>
      </c>
      <c r="C729" t="s">
        <v>53</v>
      </c>
      <c r="D729" t="s">
        <v>676</v>
      </c>
      <c r="E729">
        <f ca="1">INDIRECT("'Sheet1'!AU107")</f>
        <v>0</v>
      </c>
      <c r="F729" t="b">
        <f t="shared" ca="1" si="95"/>
        <v>0</v>
      </c>
    </row>
    <row r="731" spans="1:6" x14ac:dyDescent="0.25">
      <c r="A731" t="s">
        <v>430</v>
      </c>
      <c r="B731" t="s">
        <v>1330</v>
      </c>
      <c r="C731" t="s">
        <v>54</v>
      </c>
      <c r="D731">
        <v>26</v>
      </c>
      <c r="E731">
        <f ca="1">INDIRECT("'Sheet1'!AV108")</f>
        <v>0</v>
      </c>
      <c r="F731" t="b">
        <f t="shared" ref="F731:F732" ca="1" si="96">E731=D731</f>
        <v>0</v>
      </c>
    </row>
    <row r="732" spans="1:6" x14ac:dyDescent="0.25">
      <c r="A732" t="s">
        <v>431</v>
      </c>
      <c r="B732" t="s">
        <v>1331</v>
      </c>
      <c r="C732" t="s">
        <v>55</v>
      </c>
      <c r="D732" t="s">
        <v>673</v>
      </c>
      <c r="E732">
        <f ca="1">INDIRECT("'Sheet1'!AW108")</f>
        <v>0</v>
      </c>
      <c r="F732" t="b">
        <f t="shared" ca="1" si="96"/>
        <v>0</v>
      </c>
    </row>
    <row r="734" spans="1:6" x14ac:dyDescent="0.25">
      <c r="A734" t="s">
        <v>432</v>
      </c>
      <c r="B734" t="s">
        <v>1330</v>
      </c>
      <c r="C734" t="s">
        <v>54</v>
      </c>
      <c r="D734">
        <v>26</v>
      </c>
      <c r="E734">
        <f ca="1">INDIRECT("'Sheet1'!AV109")</f>
        <v>0</v>
      </c>
      <c r="F734" t="b">
        <f t="shared" ref="F734:F735" ca="1" si="97">E734=D734</f>
        <v>0</v>
      </c>
    </row>
    <row r="735" spans="1:6" x14ac:dyDescent="0.25">
      <c r="A735" t="s">
        <v>433</v>
      </c>
      <c r="B735" t="s">
        <v>1332</v>
      </c>
      <c r="C735" t="s">
        <v>55</v>
      </c>
      <c r="D735" t="s">
        <v>871</v>
      </c>
      <c r="E735">
        <f ca="1">INDIRECT("'Sheet1'!AW109")</f>
        <v>0</v>
      </c>
      <c r="F735" t="b">
        <f t="shared" ca="1" si="97"/>
        <v>0</v>
      </c>
    </row>
    <row r="737" spans="1:6" x14ac:dyDescent="0.25">
      <c r="A737" t="s">
        <v>434</v>
      </c>
      <c r="B737" t="s">
        <v>1330</v>
      </c>
      <c r="C737" t="s">
        <v>54</v>
      </c>
      <c r="D737">
        <v>26.2</v>
      </c>
      <c r="E737">
        <f ca="1">INDIRECT("'Sheet1'!AV110")</f>
        <v>0</v>
      </c>
      <c r="F737" t="b">
        <f t="shared" ref="F737:F738" ca="1" si="98">E737=D737</f>
        <v>0</v>
      </c>
    </row>
    <row r="738" spans="1:6" x14ac:dyDescent="0.25">
      <c r="A738" t="s">
        <v>435</v>
      </c>
      <c r="B738" t="s">
        <v>1331</v>
      </c>
      <c r="C738" t="s">
        <v>55</v>
      </c>
      <c r="D738" t="s">
        <v>673</v>
      </c>
      <c r="E738">
        <f ca="1">INDIRECT("'Sheet1'!AW110")</f>
        <v>0</v>
      </c>
      <c r="F738" t="b">
        <f t="shared" ca="1" si="98"/>
        <v>0</v>
      </c>
    </row>
    <row r="740" spans="1:6" x14ac:dyDescent="0.25">
      <c r="A740" t="s">
        <v>436</v>
      </c>
      <c r="B740" t="s">
        <v>1330</v>
      </c>
      <c r="C740" t="s">
        <v>54</v>
      </c>
      <c r="D740">
        <v>26.25</v>
      </c>
      <c r="E740">
        <f ca="1">INDIRECT("'Sheet1'!AV111")</f>
        <v>0</v>
      </c>
      <c r="F740" t="b">
        <f t="shared" ref="F740:F741" ca="1" si="99">E740=D740</f>
        <v>0</v>
      </c>
    </row>
    <row r="741" spans="1:6" x14ac:dyDescent="0.25">
      <c r="A741" t="s">
        <v>437</v>
      </c>
      <c r="B741" t="s">
        <v>1333</v>
      </c>
      <c r="C741" t="s">
        <v>55</v>
      </c>
      <c r="D741" t="s">
        <v>872</v>
      </c>
      <c r="E741">
        <f ca="1">INDIRECT("'Sheet1'!AW111")</f>
        <v>0</v>
      </c>
      <c r="F741" t="b">
        <f t="shared" ca="1" si="99"/>
        <v>0</v>
      </c>
    </row>
    <row r="743" spans="1:6" x14ac:dyDescent="0.25">
      <c r="A743" t="s">
        <v>438</v>
      </c>
      <c r="B743" t="s">
        <v>1334</v>
      </c>
      <c r="C743" t="s">
        <v>56</v>
      </c>
      <c r="D743">
        <v>25</v>
      </c>
      <c r="E743">
        <f ca="1">INDIRECT("'Sheet1'!AX112")</f>
        <v>0</v>
      </c>
      <c r="F743" t="b">
        <f t="shared" ref="F743:F744" ca="1" si="100">E743=D743</f>
        <v>0</v>
      </c>
    </row>
    <row r="744" spans="1:6" x14ac:dyDescent="0.25">
      <c r="A744" t="s">
        <v>439</v>
      </c>
      <c r="B744" t="s">
        <v>1335</v>
      </c>
      <c r="C744" t="s">
        <v>57</v>
      </c>
      <c r="D744" t="s">
        <v>677</v>
      </c>
      <c r="E744">
        <f ca="1">INDIRECT("'Sheet1'!AY112")</f>
        <v>0</v>
      </c>
      <c r="F744" t="b">
        <f t="shared" ca="1" si="100"/>
        <v>0</v>
      </c>
    </row>
    <row r="746" spans="1:6" x14ac:dyDescent="0.25">
      <c r="A746" t="s">
        <v>440</v>
      </c>
      <c r="B746" t="s">
        <v>1334</v>
      </c>
      <c r="C746" t="s">
        <v>56</v>
      </c>
      <c r="D746">
        <v>25</v>
      </c>
      <c r="E746">
        <f ca="1">INDIRECT("'Sheet1'!AX113")</f>
        <v>0</v>
      </c>
      <c r="F746" t="b">
        <f t="shared" ref="F746:F747" ca="1" si="101">E746=D746</f>
        <v>0</v>
      </c>
    </row>
    <row r="747" spans="1:6" x14ac:dyDescent="0.25">
      <c r="A747" t="s">
        <v>441</v>
      </c>
      <c r="B747" t="s">
        <v>1336</v>
      </c>
      <c r="C747" t="s">
        <v>57</v>
      </c>
      <c r="D747" t="s">
        <v>871</v>
      </c>
      <c r="E747">
        <f ca="1">INDIRECT("'Sheet1'!AY113")</f>
        <v>0</v>
      </c>
      <c r="F747" t="b">
        <f t="shared" ca="1" si="101"/>
        <v>0</v>
      </c>
    </row>
    <row r="749" spans="1:6" x14ac:dyDescent="0.25">
      <c r="A749" t="s">
        <v>442</v>
      </c>
      <c r="B749" t="s">
        <v>1334</v>
      </c>
      <c r="C749" t="s">
        <v>56</v>
      </c>
      <c r="D749">
        <v>25.2</v>
      </c>
      <c r="E749">
        <f ca="1">INDIRECT("'Sheet1'!AX114")</f>
        <v>0</v>
      </c>
      <c r="F749" t="b">
        <f t="shared" ref="F749:F750" ca="1" si="102">E749=D749</f>
        <v>0</v>
      </c>
    </row>
    <row r="750" spans="1:6" x14ac:dyDescent="0.25">
      <c r="A750" t="s">
        <v>443</v>
      </c>
      <c r="B750" t="s">
        <v>1337</v>
      </c>
      <c r="C750" t="s">
        <v>57</v>
      </c>
      <c r="D750" t="s">
        <v>674</v>
      </c>
      <c r="E750">
        <f ca="1">INDIRECT("'Sheet1'!AY114")</f>
        <v>0</v>
      </c>
      <c r="F750" t="b">
        <f t="shared" ca="1" si="102"/>
        <v>0</v>
      </c>
    </row>
    <row r="752" spans="1:6" x14ac:dyDescent="0.25">
      <c r="A752" t="s">
        <v>444</v>
      </c>
      <c r="B752" t="s">
        <v>1334</v>
      </c>
      <c r="C752" t="s">
        <v>56</v>
      </c>
      <c r="D752">
        <v>25.25</v>
      </c>
      <c r="E752">
        <f ca="1">INDIRECT("'Sheet1'!AX115")</f>
        <v>0</v>
      </c>
      <c r="F752" t="b">
        <f t="shared" ref="F752:F753" ca="1" si="103">E752=D752</f>
        <v>0</v>
      </c>
    </row>
    <row r="753" spans="1:6" x14ac:dyDescent="0.25">
      <c r="A753" t="s">
        <v>445</v>
      </c>
      <c r="B753" t="s">
        <v>1338</v>
      </c>
      <c r="C753" t="s">
        <v>57</v>
      </c>
      <c r="D753" t="s">
        <v>872</v>
      </c>
      <c r="E753">
        <f ca="1">INDIRECT("'Sheet1'!AY115")</f>
        <v>0</v>
      </c>
      <c r="F753" t="b">
        <f t="shared" ca="1" si="103"/>
        <v>0</v>
      </c>
    </row>
    <row r="755" spans="1:6" x14ac:dyDescent="0.25">
      <c r="A755" t="s">
        <v>446</v>
      </c>
      <c r="B755" t="s">
        <v>1339</v>
      </c>
      <c r="C755" t="s">
        <v>58</v>
      </c>
      <c r="D755">
        <v>24</v>
      </c>
      <c r="E755">
        <f ca="1">INDIRECT("'Sheet1'!AZ116")</f>
        <v>0</v>
      </c>
      <c r="F755" t="b">
        <f t="shared" ref="F755:F756" ca="1" si="104">E755=D755</f>
        <v>0</v>
      </c>
    </row>
    <row r="756" spans="1:6" x14ac:dyDescent="0.25">
      <c r="A756" t="s">
        <v>447</v>
      </c>
      <c r="B756" t="s">
        <v>1340</v>
      </c>
      <c r="C756" t="s">
        <v>59</v>
      </c>
      <c r="D756" t="s">
        <v>675</v>
      </c>
      <c r="E756">
        <f ca="1">INDIRECT("'Sheet1'!BA116")</f>
        <v>0</v>
      </c>
      <c r="F756" t="b">
        <f t="shared" ca="1" si="104"/>
        <v>0</v>
      </c>
    </row>
    <row r="758" spans="1:6" x14ac:dyDescent="0.25">
      <c r="A758" t="s">
        <v>448</v>
      </c>
      <c r="B758" t="s">
        <v>1339</v>
      </c>
      <c r="C758" t="s">
        <v>58</v>
      </c>
      <c r="D758">
        <v>24</v>
      </c>
      <c r="E758">
        <f ca="1">INDIRECT("'Sheet1'!AZ117")</f>
        <v>0</v>
      </c>
      <c r="F758" t="b">
        <f t="shared" ref="F758:F759" ca="1" si="105">E758=D758</f>
        <v>0</v>
      </c>
    </row>
    <row r="759" spans="1:6" x14ac:dyDescent="0.25">
      <c r="A759" t="s">
        <v>449</v>
      </c>
      <c r="B759" t="s">
        <v>1341</v>
      </c>
      <c r="C759" t="s">
        <v>59</v>
      </c>
      <c r="D759" t="s">
        <v>871</v>
      </c>
      <c r="E759">
        <f ca="1">INDIRECT("'Sheet1'!BA117")</f>
        <v>0</v>
      </c>
      <c r="F759" t="b">
        <f t="shared" ca="1" si="105"/>
        <v>0</v>
      </c>
    </row>
    <row r="761" spans="1:6" x14ac:dyDescent="0.25">
      <c r="A761" t="s">
        <v>450</v>
      </c>
      <c r="B761" t="s">
        <v>1339</v>
      </c>
      <c r="C761" t="s">
        <v>58</v>
      </c>
      <c r="D761">
        <v>24.2</v>
      </c>
      <c r="E761">
        <f ca="1">INDIRECT("'Sheet1'!AZ118")</f>
        <v>0</v>
      </c>
      <c r="F761" t="b">
        <f t="shared" ref="F761:F762" ca="1" si="106">E761=D761</f>
        <v>0</v>
      </c>
    </row>
    <row r="762" spans="1:6" x14ac:dyDescent="0.25">
      <c r="A762" t="s">
        <v>451</v>
      </c>
      <c r="B762" t="s">
        <v>1342</v>
      </c>
      <c r="C762" t="s">
        <v>59</v>
      </c>
      <c r="D762" t="s">
        <v>678</v>
      </c>
      <c r="E762">
        <f ca="1">INDIRECT("'Sheet1'!BA118")</f>
        <v>0</v>
      </c>
      <c r="F762" t="b">
        <f t="shared" ca="1" si="106"/>
        <v>0</v>
      </c>
    </row>
    <row r="764" spans="1:6" x14ac:dyDescent="0.25">
      <c r="A764" t="s">
        <v>452</v>
      </c>
      <c r="B764" t="s">
        <v>1339</v>
      </c>
      <c r="C764" t="s">
        <v>58</v>
      </c>
      <c r="D764">
        <v>24.25</v>
      </c>
      <c r="E764">
        <f ca="1">INDIRECT("'Sheet1'!AZ119")</f>
        <v>0</v>
      </c>
      <c r="F764" t="b">
        <f t="shared" ref="F764:F765" ca="1" si="107">E764=D764</f>
        <v>0</v>
      </c>
    </row>
    <row r="765" spans="1:6" x14ac:dyDescent="0.25">
      <c r="A765" t="s">
        <v>453</v>
      </c>
      <c r="B765" t="s">
        <v>1343</v>
      </c>
      <c r="C765" t="s">
        <v>59</v>
      </c>
      <c r="D765" t="s">
        <v>872</v>
      </c>
      <c r="E765">
        <f ca="1">INDIRECT("'Sheet1'!BA119")</f>
        <v>0</v>
      </c>
      <c r="F765" t="b">
        <f t="shared" ca="1" si="107"/>
        <v>0</v>
      </c>
    </row>
    <row r="767" spans="1:6" x14ac:dyDescent="0.25">
      <c r="A767" t="s">
        <v>454</v>
      </c>
      <c r="B767" t="s">
        <v>1314</v>
      </c>
      <c r="C767" t="s">
        <v>50</v>
      </c>
      <c r="D767">
        <v>28</v>
      </c>
      <c r="E767">
        <f ca="1">INDIRECT("'Sheet1'!AR120")</f>
        <v>0</v>
      </c>
      <c r="F767" t="b">
        <f t="shared" ref="F767:F776" ca="1" si="108">E767=D767</f>
        <v>0</v>
      </c>
    </row>
    <row r="768" spans="1:6" x14ac:dyDescent="0.25">
      <c r="A768" t="s">
        <v>455</v>
      </c>
      <c r="B768" t="s">
        <v>1322</v>
      </c>
      <c r="C768" t="s">
        <v>51</v>
      </c>
      <c r="D768" t="s">
        <v>679</v>
      </c>
      <c r="E768">
        <f ca="1">INDIRECT("'Sheet1'!AS120")</f>
        <v>0</v>
      </c>
      <c r="F768" t="b">
        <f t="shared" ca="1" si="108"/>
        <v>0</v>
      </c>
    </row>
    <row r="769" spans="1:6" x14ac:dyDescent="0.25">
      <c r="A769" t="s">
        <v>456</v>
      </c>
      <c r="B769" t="s">
        <v>1323</v>
      </c>
      <c r="C769" t="s">
        <v>52</v>
      </c>
      <c r="E769">
        <f ca="1">INDIRECT("'Sheet1'!AT120")</f>
        <v>0</v>
      </c>
      <c r="F769" t="b">
        <f t="shared" ca="1" si="108"/>
        <v>1</v>
      </c>
    </row>
    <row r="770" spans="1:6" x14ac:dyDescent="0.25">
      <c r="A770" t="s">
        <v>457</v>
      </c>
      <c r="B770" t="s">
        <v>1324</v>
      </c>
      <c r="C770" t="s">
        <v>53</v>
      </c>
      <c r="D770" t="s">
        <v>680</v>
      </c>
      <c r="E770">
        <f ca="1">INDIRECT("'Sheet1'!AU120")</f>
        <v>0</v>
      </c>
      <c r="F770" t="b">
        <f t="shared" ca="1" si="108"/>
        <v>0</v>
      </c>
    </row>
    <row r="771" spans="1:6" x14ac:dyDescent="0.25">
      <c r="A771" t="s">
        <v>458</v>
      </c>
      <c r="B771" t="s">
        <v>1344</v>
      </c>
      <c r="C771" t="s">
        <v>54</v>
      </c>
      <c r="E771">
        <f ca="1">INDIRECT("'Sheet1'!AV120")</f>
        <v>0</v>
      </c>
      <c r="F771" t="b">
        <f t="shared" ca="1" si="108"/>
        <v>1</v>
      </c>
    </row>
    <row r="772" spans="1:6" x14ac:dyDescent="0.25">
      <c r="A772" t="s">
        <v>459</v>
      </c>
      <c r="B772" t="s">
        <v>1331</v>
      </c>
      <c r="C772" t="s">
        <v>55</v>
      </c>
      <c r="D772" t="s">
        <v>673</v>
      </c>
      <c r="E772">
        <f ca="1">INDIRECT("'Sheet1'!AW120")</f>
        <v>0</v>
      </c>
      <c r="F772" t="b">
        <f t="shared" ca="1" si="108"/>
        <v>0</v>
      </c>
    </row>
    <row r="773" spans="1:6" x14ac:dyDescent="0.25">
      <c r="A773" t="s">
        <v>460</v>
      </c>
      <c r="B773" t="s">
        <v>1664</v>
      </c>
      <c r="C773" t="s">
        <v>56</v>
      </c>
      <c r="E773">
        <f ca="1">INDIRECT("'Sheet1'!AX120")</f>
        <v>0</v>
      </c>
      <c r="F773" t="b">
        <f t="shared" ca="1" si="108"/>
        <v>1</v>
      </c>
    </row>
    <row r="774" spans="1:6" x14ac:dyDescent="0.25">
      <c r="A774" t="s">
        <v>461</v>
      </c>
      <c r="B774" t="s">
        <v>1335</v>
      </c>
      <c r="C774" t="s">
        <v>57</v>
      </c>
      <c r="D774" t="s">
        <v>677</v>
      </c>
      <c r="E774">
        <f ca="1">INDIRECT("'Sheet1'!AY120")</f>
        <v>0</v>
      </c>
      <c r="F774" t="b">
        <f t="shared" ca="1" si="108"/>
        <v>0</v>
      </c>
    </row>
    <row r="775" spans="1:6" x14ac:dyDescent="0.25">
      <c r="A775" t="s">
        <v>462</v>
      </c>
      <c r="B775" t="s">
        <v>1345</v>
      </c>
      <c r="C775" t="s">
        <v>58</v>
      </c>
      <c r="E775">
        <f ca="1">INDIRECT("'Sheet1'!AZ120")</f>
        <v>0</v>
      </c>
      <c r="F775" t="b">
        <f t="shared" ca="1" si="108"/>
        <v>1</v>
      </c>
    </row>
    <row r="776" spans="1:6" x14ac:dyDescent="0.25">
      <c r="A776" t="s">
        <v>463</v>
      </c>
      <c r="B776" t="s">
        <v>1340</v>
      </c>
      <c r="C776" t="s">
        <v>59</v>
      </c>
      <c r="D776" t="s">
        <v>675</v>
      </c>
      <c r="E776">
        <f ca="1">INDIRECT("'Sheet1'!BA120")</f>
        <v>0</v>
      </c>
      <c r="F776" t="b">
        <f t="shared" ca="1" si="108"/>
        <v>0</v>
      </c>
    </row>
    <row r="778" spans="1:6" x14ac:dyDescent="0.25">
      <c r="A778" t="s">
        <v>464</v>
      </c>
      <c r="B778" t="s">
        <v>1318</v>
      </c>
      <c r="C778" t="s">
        <v>52</v>
      </c>
      <c r="D778">
        <v>27</v>
      </c>
      <c r="E778">
        <f ca="1">INDIRECT("'Sheet1'!AT121")</f>
        <v>0</v>
      </c>
      <c r="F778" t="b">
        <f t="shared" ref="F778:F785" ca="1" si="109">E778=D778</f>
        <v>0</v>
      </c>
    </row>
    <row r="779" spans="1:6" x14ac:dyDescent="0.25">
      <c r="A779" t="s">
        <v>465</v>
      </c>
      <c r="B779" t="s">
        <v>1319</v>
      </c>
      <c r="C779" t="s">
        <v>53</v>
      </c>
      <c r="D779" t="s">
        <v>673</v>
      </c>
      <c r="E779">
        <f ca="1">INDIRECT("'Sheet1'!AU121")</f>
        <v>0</v>
      </c>
      <c r="F779" t="b">
        <f t="shared" ca="1" si="109"/>
        <v>0</v>
      </c>
    </row>
    <row r="780" spans="1:6" x14ac:dyDescent="0.25">
      <c r="A780" t="s">
        <v>466</v>
      </c>
      <c r="B780" t="s">
        <v>1344</v>
      </c>
      <c r="C780" t="s">
        <v>54</v>
      </c>
      <c r="E780">
        <f ca="1">INDIRECT("'Sheet1'!AV121")</f>
        <v>0</v>
      </c>
      <c r="F780" t="b">
        <f t="shared" ca="1" si="109"/>
        <v>1</v>
      </c>
    </row>
    <row r="781" spans="1:6" x14ac:dyDescent="0.25">
      <c r="A781" t="s">
        <v>467</v>
      </c>
      <c r="B781" t="s">
        <v>1331</v>
      </c>
      <c r="C781" t="s">
        <v>55</v>
      </c>
      <c r="D781" t="s">
        <v>673</v>
      </c>
      <c r="E781">
        <f ca="1">INDIRECT("'Sheet1'!AW121")</f>
        <v>0</v>
      </c>
      <c r="F781" t="b">
        <f t="shared" ca="1" si="109"/>
        <v>0</v>
      </c>
    </row>
    <row r="782" spans="1:6" x14ac:dyDescent="0.25">
      <c r="A782" t="s">
        <v>468</v>
      </c>
      <c r="B782" t="s">
        <v>1664</v>
      </c>
      <c r="C782" t="s">
        <v>56</v>
      </c>
      <c r="E782">
        <f ca="1">INDIRECT("'Sheet1'!AX121")</f>
        <v>0</v>
      </c>
      <c r="F782" t="b">
        <f t="shared" ca="1" si="109"/>
        <v>1</v>
      </c>
    </row>
    <row r="783" spans="1:6" x14ac:dyDescent="0.25">
      <c r="A783" t="s">
        <v>469</v>
      </c>
      <c r="B783" t="s">
        <v>1335</v>
      </c>
      <c r="C783" t="s">
        <v>57</v>
      </c>
      <c r="D783" t="s">
        <v>677</v>
      </c>
      <c r="E783">
        <f ca="1">INDIRECT("'Sheet1'!AY121")</f>
        <v>0</v>
      </c>
      <c r="F783" t="b">
        <f t="shared" ca="1" si="109"/>
        <v>0</v>
      </c>
    </row>
    <row r="784" spans="1:6" x14ac:dyDescent="0.25">
      <c r="A784" t="s">
        <v>470</v>
      </c>
      <c r="B784" t="s">
        <v>1345</v>
      </c>
      <c r="C784" t="s">
        <v>58</v>
      </c>
      <c r="E784">
        <f ca="1">INDIRECT("'Sheet1'!AZ121")</f>
        <v>0</v>
      </c>
      <c r="F784" t="b">
        <f t="shared" ca="1" si="109"/>
        <v>1</v>
      </c>
    </row>
    <row r="785" spans="1:6" x14ac:dyDescent="0.25">
      <c r="A785" t="s">
        <v>471</v>
      </c>
      <c r="B785" t="s">
        <v>1340</v>
      </c>
      <c r="C785" t="s">
        <v>59</v>
      </c>
      <c r="D785" t="s">
        <v>675</v>
      </c>
      <c r="E785">
        <f ca="1">INDIRECT("'Sheet1'!BA121")</f>
        <v>0</v>
      </c>
      <c r="F785" t="b">
        <f t="shared" ca="1" si="109"/>
        <v>0</v>
      </c>
    </row>
    <row r="787" spans="1:6" x14ac:dyDescent="0.25">
      <c r="A787" t="s">
        <v>472</v>
      </c>
      <c r="B787" t="s">
        <v>1330</v>
      </c>
      <c r="C787" t="s">
        <v>54</v>
      </c>
      <c r="D787">
        <v>26</v>
      </c>
      <c r="E787">
        <f ca="1">INDIRECT("'Sheet1'!AV122")</f>
        <v>0</v>
      </c>
      <c r="F787" t="b">
        <f t="shared" ref="F787:F792" ca="1" si="110">E787=D787</f>
        <v>0</v>
      </c>
    </row>
    <row r="788" spans="1:6" x14ac:dyDescent="0.25">
      <c r="A788" t="s">
        <v>473</v>
      </c>
      <c r="B788" t="s">
        <v>1331</v>
      </c>
      <c r="C788" t="s">
        <v>55</v>
      </c>
      <c r="D788" t="s">
        <v>673</v>
      </c>
      <c r="E788">
        <f ca="1">INDIRECT("'Sheet1'!AW122")</f>
        <v>0</v>
      </c>
      <c r="F788" t="b">
        <f t="shared" ca="1" si="110"/>
        <v>0</v>
      </c>
    </row>
    <row r="789" spans="1:6" x14ac:dyDescent="0.25">
      <c r="A789" t="s">
        <v>474</v>
      </c>
      <c r="B789" t="s">
        <v>1664</v>
      </c>
      <c r="C789" t="s">
        <v>56</v>
      </c>
      <c r="E789">
        <f ca="1">INDIRECT("'Sheet1'!AX122")</f>
        <v>0</v>
      </c>
      <c r="F789" t="b">
        <f t="shared" ca="1" si="110"/>
        <v>1</v>
      </c>
    </row>
    <row r="790" spans="1:6" x14ac:dyDescent="0.25">
      <c r="A790" t="s">
        <v>475</v>
      </c>
      <c r="B790" t="s">
        <v>1335</v>
      </c>
      <c r="C790" t="s">
        <v>57</v>
      </c>
      <c r="D790" t="s">
        <v>677</v>
      </c>
      <c r="E790">
        <f ca="1">INDIRECT("'Sheet1'!AY122")</f>
        <v>0</v>
      </c>
      <c r="F790" t="b">
        <f t="shared" ca="1" si="110"/>
        <v>0</v>
      </c>
    </row>
    <row r="791" spans="1:6" x14ac:dyDescent="0.25">
      <c r="A791" t="s">
        <v>476</v>
      </c>
      <c r="B791" t="s">
        <v>1345</v>
      </c>
      <c r="C791" t="s">
        <v>58</v>
      </c>
      <c r="E791">
        <f ca="1">INDIRECT("'Sheet1'!AZ122")</f>
        <v>0</v>
      </c>
      <c r="F791" t="b">
        <f t="shared" ca="1" si="110"/>
        <v>1</v>
      </c>
    </row>
    <row r="792" spans="1:6" x14ac:dyDescent="0.25">
      <c r="A792" t="s">
        <v>477</v>
      </c>
      <c r="B792" t="s">
        <v>1340</v>
      </c>
      <c r="C792" t="s">
        <v>59</v>
      </c>
      <c r="D792" t="s">
        <v>675</v>
      </c>
      <c r="E792">
        <f ca="1">INDIRECT("'Sheet1'!BA122")</f>
        <v>0</v>
      </c>
      <c r="F792" t="b">
        <f t="shared" ca="1" si="110"/>
        <v>0</v>
      </c>
    </row>
    <row r="794" spans="1:6" x14ac:dyDescent="0.25">
      <c r="A794" t="s">
        <v>478</v>
      </c>
      <c r="B794" t="s">
        <v>1334</v>
      </c>
      <c r="C794" t="s">
        <v>56</v>
      </c>
      <c r="D794">
        <v>25</v>
      </c>
      <c r="E794">
        <f ca="1">INDIRECT("'Sheet1'!AX123")</f>
        <v>0</v>
      </c>
      <c r="F794" t="b">
        <f t="shared" ref="F794:F797" ca="1" si="111">E794=D794</f>
        <v>0</v>
      </c>
    </row>
    <row r="795" spans="1:6" x14ac:dyDescent="0.25">
      <c r="A795" t="s">
        <v>479</v>
      </c>
      <c r="B795" t="s">
        <v>1335</v>
      </c>
      <c r="C795" t="s">
        <v>57</v>
      </c>
      <c r="D795" t="s">
        <v>677</v>
      </c>
      <c r="E795">
        <f ca="1">INDIRECT("'Sheet1'!AY123")</f>
        <v>0</v>
      </c>
      <c r="F795" t="b">
        <f t="shared" ca="1" si="111"/>
        <v>0</v>
      </c>
    </row>
    <row r="796" spans="1:6" x14ac:dyDescent="0.25">
      <c r="A796" t="s">
        <v>480</v>
      </c>
      <c r="B796" t="s">
        <v>1345</v>
      </c>
      <c r="C796" t="s">
        <v>58</v>
      </c>
      <c r="E796">
        <f ca="1">INDIRECT("'Sheet1'!AZ123")</f>
        <v>0</v>
      </c>
      <c r="F796" t="b">
        <f t="shared" ca="1" si="111"/>
        <v>1</v>
      </c>
    </row>
    <row r="797" spans="1:6" x14ac:dyDescent="0.25">
      <c r="A797" t="s">
        <v>481</v>
      </c>
      <c r="B797" t="s">
        <v>1340</v>
      </c>
      <c r="C797" t="s">
        <v>59</v>
      </c>
      <c r="D797" t="s">
        <v>675</v>
      </c>
      <c r="E797">
        <f ca="1">INDIRECT("'Sheet1'!BA123")</f>
        <v>0</v>
      </c>
      <c r="F797" t="b">
        <f t="shared" ca="1" si="111"/>
        <v>0</v>
      </c>
    </row>
    <row r="799" spans="1:6" x14ac:dyDescent="0.25">
      <c r="A799" t="s">
        <v>483</v>
      </c>
      <c r="B799" t="s">
        <v>1325</v>
      </c>
      <c r="C799" t="s">
        <v>50</v>
      </c>
      <c r="E799">
        <f ca="1">INDIRECT("'Sheet1'!AR124")</f>
        <v>0</v>
      </c>
      <c r="F799" t="b">
        <f t="shared" ref="F799:F808" ca="1" si="112">E799=D799</f>
        <v>1</v>
      </c>
    </row>
    <row r="800" spans="1:6" x14ac:dyDescent="0.25">
      <c r="A800" t="s">
        <v>484</v>
      </c>
      <c r="B800" t="s">
        <v>1346</v>
      </c>
      <c r="C800" t="s">
        <v>51</v>
      </c>
      <c r="D800" t="s">
        <v>871</v>
      </c>
      <c r="E800">
        <f ca="1">INDIRECT("'Sheet1'!AS124")</f>
        <v>0</v>
      </c>
      <c r="F800" t="b">
        <f t="shared" ca="1" si="112"/>
        <v>0</v>
      </c>
    </row>
    <row r="801" spans="1:6" x14ac:dyDescent="0.25">
      <c r="A801" t="s">
        <v>1246</v>
      </c>
      <c r="B801" t="s">
        <v>1318</v>
      </c>
      <c r="C801" t="s">
        <v>52</v>
      </c>
      <c r="D801">
        <v>27</v>
      </c>
      <c r="E801">
        <f ca="1">INDIRECT("'Sheet1'!AT124")</f>
        <v>0</v>
      </c>
      <c r="F801" t="b">
        <f t="shared" ca="1" si="112"/>
        <v>0</v>
      </c>
    </row>
    <row r="802" spans="1:6" x14ac:dyDescent="0.25">
      <c r="A802" t="s">
        <v>1247</v>
      </c>
      <c r="B802" t="s">
        <v>1319</v>
      </c>
      <c r="C802" t="s">
        <v>53</v>
      </c>
      <c r="D802" t="s">
        <v>673</v>
      </c>
      <c r="E802">
        <f ca="1">INDIRECT("'Sheet1'!AU124")</f>
        <v>0</v>
      </c>
      <c r="F802" t="b">
        <f t="shared" ca="1" si="112"/>
        <v>0</v>
      </c>
    </row>
    <row r="803" spans="1:6" x14ac:dyDescent="0.25">
      <c r="A803" t="s">
        <v>1248</v>
      </c>
      <c r="B803" t="s">
        <v>1344</v>
      </c>
      <c r="C803" t="s">
        <v>54</v>
      </c>
      <c r="E803">
        <f ca="1">INDIRECT("'Sheet1'!AV124")</f>
        <v>0</v>
      </c>
      <c r="F803" t="b">
        <f t="shared" ca="1" si="112"/>
        <v>1</v>
      </c>
    </row>
    <row r="804" spans="1:6" x14ac:dyDescent="0.25">
      <c r="A804" t="s">
        <v>1249</v>
      </c>
      <c r="B804" t="s">
        <v>1331</v>
      </c>
      <c r="C804" t="s">
        <v>55</v>
      </c>
      <c r="D804" t="s">
        <v>673</v>
      </c>
      <c r="E804">
        <f ca="1">INDIRECT("'Sheet1'!AW124")</f>
        <v>0</v>
      </c>
      <c r="F804" t="b">
        <f t="shared" ca="1" si="112"/>
        <v>0</v>
      </c>
    </row>
    <row r="805" spans="1:6" x14ac:dyDescent="0.25">
      <c r="A805" t="s">
        <v>1250</v>
      </c>
      <c r="B805" t="s">
        <v>1664</v>
      </c>
      <c r="C805" t="s">
        <v>56</v>
      </c>
      <c r="E805">
        <f ca="1">INDIRECT("'Sheet1'!AX124")</f>
        <v>0</v>
      </c>
      <c r="F805" t="b">
        <f t="shared" ca="1" si="112"/>
        <v>1</v>
      </c>
    </row>
    <row r="806" spans="1:6" x14ac:dyDescent="0.25">
      <c r="A806" t="s">
        <v>1251</v>
      </c>
      <c r="B806" t="s">
        <v>1335</v>
      </c>
      <c r="C806" t="s">
        <v>57</v>
      </c>
      <c r="D806" t="s">
        <v>677</v>
      </c>
      <c r="E806">
        <f ca="1">INDIRECT("'Sheet1'!AY124")</f>
        <v>0</v>
      </c>
      <c r="F806" t="b">
        <f t="shared" ca="1" si="112"/>
        <v>0</v>
      </c>
    </row>
    <row r="807" spans="1:6" x14ac:dyDescent="0.25">
      <c r="A807" t="s">
        <v>1252</v>
      </c>
      <c r="B807" t="s">
        <v>1345</v>
      </c>
      <c r="C807" t="s">
        <v>58</v>
      </c>
      <c r="E807">
        <f ca="1">INDIRECT("'Sheet1'!AZ124")</f>
        <v>0</v>
      </c>
      <c r="F807" t="b">
        <f t="shared" ca="1" si="112"/>
        <v>1</v>
      </c>
    </row>
    <row r="808" spans="1:6" x14ac:dyDescent="0.25">
      <c r="A808" t="s">
        <v>1253</v>
      </c>
      <c r="B808" t="s">
        <v>1340</v>
      </c>
      <c r="C808" t="s">
        <v>59</v>
      </c>
      <c r="D808" t="s">
        <v>675</v>
      </c>
      <c r="E808">
        <f ca="1">INDIRECT("'Sheet1'!BA124")</f>
        <v>0</v>
      </c>
      <c r="F808" t="b">
        <f t="shared" ca="1" si="112"/>
        <v>0</v>
      </c>
    </row>
    <row r="810" spans="1:6" x14ac:dyDescent="0.25">
      <c r="A810" t="s">
        <v>485</v>
      </c>
      <c r="B810" t="s">
        <v>1314</v>
      </c>
      <c r="C810" t="s">
        <v>50</v>
      </c>
      <c r="D810">
        <v>28</v>
      </c>
      <c r="E810">
        <f ca="1">INDIRECT("'Sheet1'!AR125")</f>
        <v>0</v>
      </c>
      <c r="F810" t="b">
        <f t="shared" ref="F810:F819" ca="1" si="113">E810=D810</f>
        <v>0</v>
      </c>
    </row>
    <row r="811" spans="1:6" x14ac:dyDescent="0.25">
      <c r="A811" t="s">
        <v>486</v>
      </c>
      <c r="B811" t="s">
        <v>1315</v>
      </c>
      <c r="C811" t="s">
        <v>51</v>
      </c>
      <c r="D811" t="s">
        <v>673</v>
      </c>
      <c r="E811">
        <f ca="1">INDIRECT("'Sheet1'!AS125")</f>
        <v>0</v>
      </c>
      <c r="F811" t="b">
        <f t="shared" ca="1" si="113"/>
        <v>0</v>
      </c>
    </row>
    <row r="812" spans="1:6" x14ac:dyDescent="0.25">
      <c r="A812" t="s">
        <v>1254</v>
      </c>
      <c r="B812" t="s">
        <v>1323</v>
      </c>
      <c r="C812" t="s">
        <v>52</v>
      </c>
      <c r="E812">
        <f ca="1">INDIRECT("'Sheet1'!AT125")</f>
        <v>0</v>
      </c>
      <c r="F812" t="b">
        <f t="shared" ca="1" si="113"/>
        <v>1</v>
      </c>
    </row>
    <row r="813" spans="1:6" x14ac:dyDescent="0.25">
      <c r="A813" t="s">
        <v>1255</v>
      </c>
      <c r="B813" t="s">
        <v>1347</v>
      </c>
      <c r="C813" t="s">
        <v>53</v>
      </c>
      <c r="D813" t="s">
        <v>871</v>
      </c>
      <c r="E813">
        <f ca="1">INDIRECT("'Sheet1'!AU125")</f>
        <v>0</v>
      </c>
      <c r="F813" t="b">
        <f t="shared" ca="1" si="113"/>
        <v>0</v>
      </c>
    </row>
    <row r="814" spans="1:6" x14ac:dyDescent="0.25">
      <c r="A814" t="s">
        <v>1256</v>
      </c>
      <c r="B814" t="s">
        <v>1344</v>
      </c>
      <c r="C814" t="s">
        <v>54</v>
      </c>
      <c r="E814">
        <f ca="1">INDIRECT("'Sheet1'!AV125")</f>
        <v>0</v>
      </c>
      <c r="F814" t="b">
        <f t="shared" ca="1" si="113"/>
        <v>1</v>
      </c>
    </row>
    <row r="815" spans="1:6" x14ac:dyDescent="0.25">
      <c r="A815" t="s">
        <v>1257</v>
      </c>
      <c r="B815" t="s">
        <v>1331</v>
      </c>
      <c r="C815" t="s">
        <v>55</v>
      </c>
      <c r="D815" t="s">
        <v>673</v>
      </c>
      <c r="E815">
        <f ca="1">INDIRECT("'Sheet1'!AW125")</f>
        <v>0</v>
      </c>
      <c r="F815" t="b">
        <f t="shared" ca="1" si="113"/>
        <v>0</v>
      </c>
    </row>
    <row r="816" spans="1:6" x14ac:dyDescent="0.25">
      <c r="A816" t="s">
        <v>1258</v>
      </c>
      <c r="B816" t="s">
        <v>1664</v>
      </c>
      <c r="C816" t="s">
        <v>56</v>
      </c>
      <c r="E816">
        <f ca="1">INDIRECT("'Sheet1'!AX125")</f>
        <v>0</v>
      </c>
      <c r="F816" t="b">
        <f t="shared" ca="1" si="113"/>
        <v>1</v>
      </c>
    </row>
    <row r="817" spans="1:6" x14ac:dyDescent="0.25">
      <c r="A817" t="s">
        <v>1259</v>
      </c>
      <c r="B817" t="s">
        <v>1335</v>
      </c>
      <c r="C817" t="s">
        <v>57</v>
      </c>
      <c r="D817" t="s">
        <v>677</v>
      </c>
      <c r="E817">
        <f ca="1">INDIRECT("'Sheet1'!AY125")</f>
        <v>0</v>
      </c>
      <c r="F817" t="b">
        <f t="shared" ca="1" si="113"/>
        <v>0</v>
      </c>
    </row>
    <row r="818" spans="1:6" x14ac:dyDescent="0.25">
      <c r="A818" t="s">
        <v>1260</v>
      </c>
      <c r="B818" t="s">
        <v>1345</v>
      </c>
      <c r="C818" t="s">
        <v>58</v>
      </c>
      <c r="E818">
        <f ca="1">INDIRECT("'Sheet1'!AZ125")</f>
        <v>0</v>
      </c>
      <c r="F818" t="b">
        <f t="shared" ca="1" si="113"/>
        <v>1</v>
      </c>
    </row>
    <row r="819" spans="1:6" x14ac:dyDescent="0.25">
      <c r="A819" t="s">
        <v>1261</v>
      </c>
      <c r="B819" t="s">
        <v>1340</v>
      </c>
      <c r="C819" t="s">
        <v>59</v>
      </c>
      <c r="D819" t="s">
        <v>675</v>
      </c>
      <c r="E819">
        <f ca="1">INDIRECT("'Sheet1'!BA125")</f>
        <v>0</v>
      </c>
      <c r="F819" t="b">
        <f t="shared" ca="1" si="113"/>
        <v>0</v>
      </c>
    </row>
    <row r="821" spans="1:6" x14ac:dyDescent="0.25">
      <c r="A821" t="s">
        <v>488</v>
      </c>
      <c r="B821" t="s">
        <v>1314</v>
      </c>
      <c r="C821" t="s">
        <v>50</v>
      </c>
      <c r="D821">
        <v>28</v>
      </c>
      <c r="E821">
        <f ca="1">INDIRECT("'Sheet1'!AR126")</f>
        <v>0</v>
      </c>
      <c r="F821" t="b">
        <f t="shared" ref="F821:F830" ca="1" si="114">E821=D821</f>
        <v>0</v>
      </c>
    </row>
    <row r="822" spans="1:6" x14ac:dyDescent="0.25">
      <c r="A822" t="s">
        <v>489</v>
      </c>
      <c r="B822" t="s">
        <v>1322</v>
      </c>
      <c r="C822" t="s">
        <v>51</v>
      </c>
      <c r="D822" t="s">
        <v>679</v>
      </c>
      <c r="E822">
        <f ca="1">INDIRECT("'Sheet1'!AS126")</f>
        <v>0</v>
      </c>
      <c r="F822" t="b">
        <f t="shared" ca="1" si="114"/>
        <v>0</v>
      </c>
    </row>
    <row r="823" spans="1:6" x14ac:dyDescent="0.25">
      <c r="A823" t="s">
        <v>490</v>
      </c>
      <c r="B823" t="s">
        <v>1323</v>
      </c>
      <c r="C823" t="s">
        <v>52</v>
      </c>
      <c r="E823">
        <f ca="1">INDIRECT("'Sheet1'!AT126")</f>
        <v>0</v>
      </c>
      <c r="F823" t="b">
        <f t="shared" ca="1" si="114"/>
        <v>1</v>
      </c>
    </row>
    <row r="824" spans="1:6" x14ac:dyDescent="0.25">
      <c r="A824" t="s">
        <v>491</v>
      </c>
      <c r="B824" t="s">
        <v>1324</v>
      </c>
      <c r="C824" t="s">
        <v>53</v>
      </c>
      <c r="D824" t="s">
        <v>680</v>
      </c>
      <c r="E824">
        <f ca="1">INDIRECT("'Sheet1'!AU126")</f>
        <v>0</v>
      </c>
      <c r="F824" t="b">
        <f t="shared" ca="1" si="114"/>
        <v>0</v>
      </c>
    </row>
    <row r="825" spans="1:6" x14ac:dyDescent="0.25">
      <c r="A825" t="s">
        <v>492</v>
      </c>
      <c r="B825" t="s">
        <v>1344</v>
      </c>
      <c r="C825" t="s">
        <v>54</v>
      </c>
      <c r="E825">
        <f ca="1">INDIRECT("'Sheet1'!AV126")</f>
        <v>0</v>
      </c>
      <c r="F825" t="b">
        <f t="shared" ca="1" si="114"/>
        <v>1</v>
      </c>
    </row>
    <row r="826" spans="1:6" x14ac:dyDescent="0.25">
      <c r="A826" t="s">
        <v>493</v>
      </c>
      <c r="B826" t="s">
        <v>1348</v>
      </c>
      <c r="C826" t="s">
        <v>55</v>
      </c>
      <c r="D826" t="s">
        <v>871</v>
      </c>
      <c r="E826">
        <f ca="1">INDIRECT("'Sheet1'!AW126")</f>
        <v>0</v>
      </c>
      <c r="F826" t="b">
        <f t="shared" ca="1" si="114"/>
        <v>0</v>
      </c>
    </row>
    <row r="827" spans="1:6" x14ac:dyDescent="0.25">
      <c r="A827" t="s">
        <v>1262</v>
      </c>
      <c r="B827" t="s">
        <v>1664</v>
      </c>
      <c r="C827" t="s">
        <v>56</v>
      </c>
      <c r="E827">
        <f ca="1">INDIRECT("'Sheet1'!AX126")</f>
        <v>0</v>
      </c>
      <c r="F827" t="b">
        <f t="shared" ca="1" si="114"/>
        <v>1</v>
      </c>
    </row>
    <row r="828" spans="1:6" x14ac:dyDescent="0.25">
      <c r="A828" t="s">
        <v>1263</v>
      </c>
      <c r="B828" t="s">
        <v>1335</v>
      </c>
      <c r="C828" t="s">
        <v>57</v>
      </c>
      <c r="D828" t="s">
        <v>677</v>
      </c>
      <c r="E828">
        <f ca="1">INDIRECT("'Sheet1'!AY126")</f>
        <v>0</v>
      </c>
      <c r="F828" t="b">
        <f t="shared" ca="1" si="114"/>
        <v>0</v>
      </c>
    </row>
    <row r="829" spans="1:6" x14ac:dyDescent="0.25">
      <c r="A829" t="s">
        <v>1264</v>
      </c>
      <c r="B829" t="s">
        <v>1345</v>
      </c>
      <c r="C829" t="s">
        <v>58</v>
      </c>
      <c r="E829">
        <f ca="1">INDIRECT("'Sheet1'!AZ126")</f>
        <v>0</v>
      </c>
      <c r="F829" t="b">
        <f t="shared" ca="1" si="114"/>
        <v>1</v>
      </c>
    </row>
    <row r="830" spans="1:6" x14ac:dyDescent="0.25">
      <c r="A830" t="s">
        <v>1265</v>
      </c>
      <c r="B830" t="s">
        <v>1340</v>
      </c>
      <c r="C830" t="s">
        <v>59</v>
      </c>
      <c r="D830" t="s">
        <v>675</v>
      </c>
      <c r="E830">
        <f ca="1">INDIRECT("'Sheet1'!BA126")</f>
        <v>0</v>
      </c>
      <c r="F830" t="b">
        <f t="shared" ca="1" si="114"/>
        <v>0</v>
      </c>
    </row>
    <row r="832" spans="1:6" x14ac:dyDescent="0.25">
      <c r="A832" t="s">
        <v>496</v>
      </c>
      <c r="B832" t="s">
        <v>1314</v>
      </c>
      <c r="C832" t="s">
        <v>50</v>
      </c>
      <c r="D832">
        <v>28</v>
      </c>
      <c r="E832">
        <f ca="1">INDIRECT("'Sheet1'!AR127")</f>
        <v>0</v>
      </c>
      <c r="F832" t="b">
        <f t="shared" ref="F832:F841" ca="1" si="115">E832=D832</f>
        <v>0</v>
      </c>
    </row>
    <row r="833" spans="1:6" x14ac:dyDescent="0.25">
      <c r="A833" t="s">
        <v>497</v>
      </c>
      <c r="B833" t="s">
        <v>1322</v>
      </c>
      <c r="C833" t="s">
        <v>51</v>
      </c>
      <c r="D833" t="s">
        <v>679</v>
      </c>
      <c r="E833">
        <f ca="1">INDIRECT("'Sheet1'!AS127")</f>
        <v>0</v>
      </c>
      <c r="F833" t="b">
        <f t="shared" ca="1" si="115"/>
        <v>0</v>
      </c>
    </row>
    <row r="834" spans="1:6" x14ac:dyDescent="0.25">
      <c r="A834" t="s">
        <v>498</v>
      </c>
      <c r="B834" t="s">
        <v>1323</v>
      </c>
      <c r="C834" t="s">
        <v>52</v>
      </c>
      <c r="E834">
        <f ca="1">INDIRECT("'Sheet1'!AT127")</f>
        <v>0</v>
      </c>
      <c r="F834" t="b">
        <f t="shared" ca="1" si="115"/>
        <v>1</v>
      </c>
    </row>
    <row r="835" spans="1:6" x14ac:dyDescent="0.25">
      <c r="A835" t="s">
        <v>499</v>
      </c>
      <c r="B835" t="s">
        <v>1324</v>
      </c>
      <c r="C835" t="s">
        <v>53</v>
      </c>
      <c r="D835" t="s">
        <v>680</v>
      </c>
      <c r="E835">
        <f ca="1">INDIRECT("'Sheet1'!AU127")</f>
        <v>0</v>
      </c>
      <c r="F835" t="b">
        <f t="shared" ca="1" si="115"/>
        <v>0</v>
      </c>
    </row>
    <row r="836" spans="1:6" x14ac:dyDescent="0.25">
      <c r="A836" t="s">
        <v>500</v>
      </c>
      <c r="B836" t="s">
        <v>1344</v>
      </c>
      <c r="C836" t="s">
        <v>54</v>
      </c>
      <c r="E836">
        <f ca="1">INDIRECT("'Sheet1'!AV127")</f>
        <v>0</v>
      </c>
      <c r="F836" t="b">
        <f t="shared" ca="1" si="115"/>
        <v>1</v>
      </c>
    </row>
    <row r="837" spans="1:6" x14ac:dyDescent="0.25">
      <c r="A837" t="s">
        <v>501</v>
      </c>
      <c r="B837" t="s">
        <v>1331</v>
      </c>
      <c r="C837" t="s">
        <v>55</v>
      </c>
      <c r="D837" t="s">
        <v>673</v>
      </c>
      <c r="E837">
        <f ca="1">INDIRECT("'Sheet1'!AW127")</f>
        <v>0</v>
      </c>
      <c r="F837" t="b">
        <f t="shared" ca="1" si="115"/>
        <v>0</v>
      </c>
    </row>
    <row r="838" spans="1:6" x14ac:dyDescent="0.25">
      <c r="A838" t="s">
        <v>1266</v>
      </c>
      <c r="B838" t="s">
        <v>1664</v>
      </c>
      <c r="C838" t="s">
        <v>56</v>
      </c>
      <c r="E838">
        <f ca="1">INDIRECT("'Sheet1'!AX127")</f>
        <v>0</v>
      </c>
      <c r="F838" t="b">
        <f t="shared" ca="1" si="115"/>
        <v>1</v>
      </c>
    </row>
    <row r="839" spans="1:6" x14ac:dyDescent="0.25">
      <c r="A839" t="s">
        <v>1267</v>
      </c>
      <c r="B839" t="s">
        <v>1666</v>
      </c>
      <c r="C839" t="s">
        <v>57</v>
      </c>
      <c r="D839" t="s">
        <v>871</v>
      </c>
      <c r="E839">
        <f ca="1">INDIRECT("'Sheet1'!AY127")</f>
        <v>0</v>
      </c>
      <c r="F839" t="b">
        <f t="shared" ca="1" si="115"/>
        <v>0</v>
      </c>
    </row>
    <row r="840" spans="1:6" x14ac:dyDescent="0.25">
      <c r="A840" t="s">
        <v>1268</v>
      </c>
      <c r="B840" t="s">
        <v>1345</v>
      </c>
      <c r="C840" t="s">
        <v>58</v>
      </c>
      <c r="E840">
        <f ca="1">INDIRECT("'Sheet1'!AZ127")</f>
        <v>0</v>
      </c>
      <c r="F840" t="b">
        <f t="shared" ca="1" si="115"/>
        <v>1</v>
      </c>
    </row>
    <row r="841" spans="1:6" x14ac:dyDescent="0.25">
      <c r="A841" t="s">
        <v>1269</v>
      </c>
      <c r="B841" t="s">
        <v>1340</v>
      </c>
      <c r="C841" t="s">
        <v>59</v>
      </c>
      <c r="D841" t="s">
        <v>675</v>
      </c>
      <c r="E841">
        <f ca="1">INDIRECT("'Sheet1'!BA127")</f>
        <v>0</v>
      </c>
      <c r="F841" t="b">
        <f t="shared" ca="1" si="115"/>
        <v>0</v>
      </c>
    </row>
    <row r="843" spans="1:6" x14ac:dyDescent="0.25">
      <c r="A843" t="s">
        <v>502</v>
      </c>
      <c r="B843" t="s">
        <v>1314</v>
      </c>
      <c r="C843" t="s">
        <v>50</v>
      </c>
      <c r="D843">
        <v>28</v>
      </c>
      <c r="E843">
        <f ca="1">INDIRECT("'Sheet1'!AR128")</f>
        <v>0</v>
      </c>
      <c r="F843" t="b">
        <f t="shared" ref="F843:F852" ca="1" si="116">E843=D843</f>
        <v>0</v>
      </c>
    </row>
    <row r="844" spans="1:6" x14ac:dyDescent="0.25">
      <c r="A844" t="s">
        <v>503</v>
      </c>
      <c r="B844" t="s">
        <v>1322</v>
      </c>
      <c r="C844" t="s">
        <v>51</v>
      </c>
      <c r="D844" t="s">
        <v>679</v>
      </c>
      <c r="E844">
        <f ca="1">INDIRECT("'Sheet1'!AS128")</f>
        <v>0</v>
      </c>
      <c r="F844" t="b">
        <f t="shared" ca="1" si="116"/>
        <v>0</v>
      </c>
    </row>
    <row r="845" spans="1:6" x14ac:dyDescent="0.25">
      <c r="A845" t="s">
        <v>504</v>
      </c>
      <c r="B845" t="s">
        <v>1323</v>
      </c>
      <c r="C845" t="s">
        <v>52</v>
      </c>
      <c r="E845">
        <f ca="1">INDIRECT("'Sheet1'!AT128")</f>
        <v>0</v>
      </c>
      <c r="F845" t="b">
        <f t="shared" ca="1" si="116"/>
        <v>1</v>
      </c>
    </row>
    <row r="846" spans="1:6" x14ac:dyDescent="0.25">
      <c r="A846" t="s">
        <v>505</v>
      </c>
      <c r="B846" t="s">
        <v>1324</v>
      </c>
      <c r="C846" t="s">
        <v>53</v>
      </c>
      <c r="D846" t="s">
        <v>680</v>
      </c>
      <c r="E846">
        <f ca="1">INDIRECT("'Sheet1'!AU128")</f>
        <v>0</v>
      </c>
      <c r="F846" t="b">
        <f t="shared" ca="1" si="116"/>
        <v>0</v>
      </c>
    </row>
    <row r="847" spans="1:6" x14ac:dyDescent="0.25">
      <c r="A847" t="s">
        <v>506</v>
      </c>
      <c r="B847" t="s">
        <v>1344</v>
      </c>
      <c r="C847" t="s">
        <v>54</v>
      </c>
      <c r="E847">
        <f ca="1">INDIRECT("'Sheet1'!AV128")</f>
        <v>0</v>
      </c>
      <c r="F847" t="b">
        <f t="shared" ca="1" si="116"/>
        <v>1</v>
      </c>
    </row>
    <row r="848" spans="1:6" x14ac:dyDescent="0.25">
      <c r="A848" t="s">
        <v>507</v>
      </c>
      <c r="B848" t="s">
        <v>1331</v>
      </c>
      <c r="C848" t="s">
        <v>55</v>
      </c>
      <c r="D848" t="s">
        <v>673</v>
      </c>
      <c r="E848">
        <f ca="1">INDIRECT("'Sheet1'!AW128")</f>
        <v>0</v>
      </c>
      <c r="F848" t="b">
        <f t="shared" ca="1" si="116"/>
        <v>0</v>
      </c>
    </row>
    <row r="849" spans="1:6" x14ac:dyDescent="0.25">
      <c r="A849" t="s">
        <v>1270</v>
      </c>
      <c r="B849" t="s">
        <v>1664</v>
      </c>
      <c r="C849" t="s">
        <v>56</v>
      </c>
      <c r="E849">
        <f ca="1">INDIRECT("'Sheet1'!AX128")</f>
        <v>0</v>
      </c>
      <c r="F849" t="b">
        <f t="shared" ca="1" si="116"/>
        <v>1</v>
      </c>
    </row>
    <row r="850" spans="1:6" x14ac:dyDescent="0.25">
      <c r="A850" t="s">
        <v>1271</v>
      </c>
      <c r="B850" t="s">
        <v>1335</v>
      </c>
      <c r="C850" t="s">
        <v>57</v>
      </c>
      <c r="D850" t="s">
        <v>677</v>
      </c>
      <c r="E850">
        <f ca="1">INDIRECT("'Sheet1'!AY128")</f>
        <v>0</v>
      </c>
      <c r="F850" t="b">
        <f t="shared" ca="1" si="116"/>
        <v>0</v>
      </c>
    </row>
    <row r="851" spans="1:6" x14ac:dyDescent="0.25">
      <c r="A851" t="s">
        <v>1272</v>
      </c>
      <c r="B851" t="s">
        <v>1345</v>
      </c>
      <c r="C851" t="s">
        <v>58</v>
      </c>
      <c r="E851">
        <f ca="1">INDIRECT("'Sheet1'!AZ128")</f>
        <v>0</v>
      </c>
      <c r="F851" t="b">
        <f t="shared" ca="1" si="116"/>
        <v>1</v>
      </c>
    </row>
    <row r="852" spans="1:6" x14ac:dyDescent="0.25">
      <c r="A852" t="s">
        <v>1273</v>
      </c>
      <c r="B852" t="s">
        <v>1349</v>
      </c>
      <c r="C852" t="s">
        <v>59</v>
      </c>
      <c r="D852" t="s">
        <v>871</v>
      </c>
      <c r="E852">
        <f ca="1">INDIRECT("'Sheet1'!BA128")</f>
        <v>0</v>
      </c>
      <c r="F852" t="b">
        <f t="shared" ca="1" si="116"/>
        <v>0</v>
      </c>
    </row>
    <row r="854" spans="1:6" x14ac:dyDescent="0.25">
      <c r="A854" t="s">
        <v>508</v>
      </c>
      <c r="B854" t="s">
        <v>1314</v>
      </c>
      <c r="C854" t="s">
        <v>50</v>
      </c>
      <c r="D854">
        <v>28</v>
      </c>
      <c r="E854">
        <f ca="1">INDIRECT("'Sheet1'!AR129")</f>
        <v>0</v>
      </c>
      <c r="F854" t="b">
        <f t="shared" ref="F854:F863" ca="1" si="117">E854=D854</f>
        <v>0</v>
      </c>
    </row>
    <row r="855" spans="1:6" x14ac:dyDescent="0.25">
      <c r="A855" t="s">
        <v>509</v>
      </c>
      <c r="B855" t="s">
        <v>1346</v>
      </c>
      <c r="C855" t="s">
        <v>51</v>
      </c>
      <c r="D855" t="s">
        <v>871</v>
      </c>
      <c r="E855">
        <f ca="1">INDIRECT("'Sheet1'!AS129")</f>
        <v>0</v>
      </c>
      <c r="F855" t="b">
        <f t="shared" ca="1" si="117"/>
        <v>0</v>
      </c>
    </row>
    <row r="856" spans="1:6" x14ac:dyDescent="0.25">
      <c r="A856" t="s">
        <v>510</v>
      </c>
      <c r="B856" t="s">
        <v>1318</v>
      </c>
      <c r="C856" t="s">
        <v>52</v>
      </c>
      <c r="D856">
        <v>27</v>
      </c>
      <c r="E856">
        <f ca="1">INDIRECT("'Sheet1'!AT129")</f>
        <v>0</v>
      </c>
      <c r="F856" t="b">
        <f t="shared" ca="1" si="117"/>
        <v>0</v>
      </c>
    </row>
    <row r="857" spans="1:6" x14ac:dyDescent="0.25">
      <c r="A857" t="s">
        <v>511</v>
      </c>
      <c r="B857" t="s">
        <v>1347</v>
      </c>
      <c r="C857" t="s">
        <v>53</v>
      </c>
      <c r="D857" t="s">
        <v>871</v>
      </c>
      <c r="E857">
        <f ca="1">INDIRECT("'Sheet1'!AU129")</f>
        <v>0</v>
      </c>
      <c r="F857" t="b">
        <f t="shared" ca="1" si="117"/>
        <v>0</v>
      </c>
    </row>
    <row r="858" spans="1:6" x14ac:dyDescent="0.25">
      <c r="A858" t="s">
        <v>512</v>
      </c>
      <c r="B858" t="s">
        <v>1330</v>
      </c>
      <c r="C858" t="s">
        <v>54</v>
      </c>
      <c r="D858">
        <v>26</v>
      </c>
      <c r="E858">
        <f ca="1">INDIRECT("'Sheet1'!AV129")</f>
        <v>0</v>
      </c>
      <c r="F858" t="b">
        <f t="shared" ca="1" si="117"/>
        <v>0</v>
      </c>
    </row>
    <row r="859" spans="1:6" x14ac:dyDescent="0.25">
      <c r="A859" t="s">
        <v>513</v>
      </c>
      <c r="B859" t="s">
        <v>1348</v>
      </c>
      <c r="C859" t="s">
        <v>55</v>
      </c>
      <c r="D859" t="s">
        <v>871</v>
      </c>
      <c r="E859">
        <f ca="1">INDIRECT("'Sheet1'!AW129")</f>
        <v>0</v>
      </c>
      <c r="F859" t="b">
        <f t="shared" ca="1" si="117"/>
        <v>0</v>
      </c>
    </row>
    <row r="860" spans="1:6" x14ac:dyDescent="0.25">
      <c r="A860" t="s">
        <v>1274</v>
      </c>
      <c r="B860" t="s">
        <v>1334</v>
      </c>
      <c r="C860" t="s">
        <v>56</v>
      </c>
      <c r="D860">
        <v>25</v>
      </c>
      <c r="E860">
        <f ca="1">INDIRECT("'Sheet1'!AX129")</f>
        <v>0</v>
      </c>
      <c r="F860" t="b">
        <f t="shared" ca="1" si="117"/>
        <v>0</v>
      </c>
    </row>
    <row r="861" spans="1:6" x14ac:dyDescent="0.25">
      <c r="A861" t="s">
        <v>1275</v>
      </c>
      <c r="B861" t="s">
        <v>1666</v>
      </c>
      <c r="C861" t="s">
        <v>57</v>
      </c>
      <c r="D861" t="s">
        <v>871</v>
      </c>
      <c r="E861">
        <f ca="1">INDIRECT("'Sheet1'!AY129")</f>
        <v>0</v>
      </c>
      <c r="F861" t="b">
        <f t="shared" ca="1" si="117"/>
        <v>0</v>
      </c>
    </row>
    <row r="862" spans="1:6" x14ac:dyDescent="0.25">
      <c r="A862" t="s">
        <v>1276</v>
      </c>
      <c r="B862" t="s">
        <v>1339</v>
      </c>
      <c r="C862" t="s">
        <v>58</v>
      </c>
      <c r="D862">
        <v>24</v>
      </c>
      <c r="E862">
        <f ca="1">INDIRECT("'Sheet1'!AZ129")</f>
        <v>0</v>
      </c>
      <c r="F862" t="b">
        <f t="shared" ca="1" si="117"/>
        <v>0</v>
      </c>
    </row>
    <row r="863" spans="1:6" x14ac:dyDescent="0.25">
      <c r="A863" t="s">
        <v>1277</v>
      </c>
      <c r="B863" t="s">
        <v>1349</v>
      </c>
      <c r="C863" t="s">
        <v>59</v>
      </c>
      <c r="D863" t="s">
        <v>871</v>
      </c>
      <c r="E863">
        <f ca="1">INDIRECT("'Sheet1'!BA129")</f>
        <v>0</v>
      </c>
      <c r="F863" t="b">
        <f t="shared" ca="1" si="117"/>
        <v>0</v>
      </c>
    </row>
    <row r="865" spans="1:6" x14ac:dyDescent="0.25">
      <c r="A865" t="s">
        <v>514</v>
      </c>
      <c r="B865" t="s">
        <v>1325</v>
      </c>
      <c r="C865" t="s">
        <v>50</v>
      </c>
      <c r="E865">
        <f ca="1">INDIRECT("'Sheet1'!AR130")</f>
        <v>0</v>
      </c>
      <c r="F865" t="b">
        <f t="shared" ref="F865:F874" ca="1" si="118">E865=D865</f>
        <v>1</v>
      </c>
    </row>
    <row r="866" spans="1:6" x14ac:dyDescent="0.25">
      <c r="A866" t="s">
        <v>515</v>
      </c>
      <c r="B866" t="s">
        <v>1346</v>
      </c>
      <c r="C866" t="s">
        <v>51</v>
      </c>
      <c r="D866" t="s">
        <v>871</v>
      </c>
      <c r="E866">
        <f ca="1">INDIRECT("'Sheet1'!AS130")</f>
        <v>0</v>
      </c>
      <c r="F866" t="b">
        <f t="shared" ca="1" si="118"/>
        <v>0</v>
      </c>
    </row>
    <row r="867" spans="1:6" x14ac:dyDescent="0.25">
      <c r="A867" t="s">
        <v>516</v>
      </c>
      <c r="B867" t="s">
        <v>1323</v>
      </c>
      <c r="C867" t="s">
        <v>52</v>
      </c>
      <c r="E867">
        <f ca="1">INDIRECT("'Sheet1'!AT130")</f>
        <v>0</v>
      </c>
      <c r="F867" t="b">
        <f t="shared" ca="1" si="118"/>
        <v>1</v>
      </c>
    </row>
    <row r="868" spans="1:6" x14ac:dyDescent="0.25">
      <c r="A868" t="s">
        <v>517</v>
      </c>
      <c r="B868" t="s">
        <v>1350</v>
      </c>
      <c r="C868" t="s">
        <v>53</v>
      </c>
      <c r="D868" t="s">
        <v>1020</v>
      </c>
      <c r="E868">
        <f ca="1">INDIRECT("'Sheet1'!AU130")</f>
        <v>0</v>
      </c>
      <c r="F868" t="b">
        <f t="shared" ca="1" si="118"/>
        <v>0</v>
      </c>
    </row>
    <row r="869" spans="1:6" x14ac:dyDescent="0.25">
      <c r="A869" t="s">
        <v>518</v>
      </c>
      <c r="B869" t="s">
        <v>1344</v>
      </c>
      <c r="C869" t="s">
        <v>54</v>
      </c>
      <c r="E869">
        <f ca="1">INDIRECT("'Sheet1'!AV130")</f>
        <v>0</v>
      </c>
      <c r="F869" t="b">
        <f t="shared" ca="1" si="118"/>
        <v>1</v>
      </c>
    </row>
    <row r="870" spans="1:6" x14ac:dyDescent="0.25">
      <c r="A870" t="s">
        <v>519</v>
      </c>
      <c r="B870" t="s">
        <v>1351</v>
      </c>
      <c r="C870" t="s">
        <v>55</v>
      </c>
      <c r="D870" t="s">
        <v>1021</v>
      </c>
      <c r="E870">
        <f ca="1">INDIRECT("'Sheet1'!AW130")</f>
        <v>0</v>
      </c>
      <c r="F870" t="b">
        <f t="shared" ca="1" si="118"/>
        <v>0</v>
      </c>
    </row>
    <row r="871" spans="1:6" x14ac:dyDescent="0.25">
      <c r="A871" t="s">
        <v>1278</v>
      </c>
      <c r="B871" t="s">
        <v>1664</v>
      </c>
      <c r="C871" t="s">
        <v>56</v>
      </c>
      <c r="E871">
        <f ca="1">INDIRECT("'Sheet1'!AX130")</f>
        <v>0</v>
      </c>
      <c r="F871" t="b">
        <f t="shared" ca="1" si="118"/>
        <v>1</v>
      </c>
    </row>
    <row r="872" spans="1:6" x14ac:dyDescent="0.25">
      <c r="A872" t="s">
        <v>1279</v>
      </c>
      <c r="B872" t="s">
        <v>1665</v>
      </c>
      <c r="C872" t="s">
        <v>57</v>
      </c>
      <c r="D872" t="s">
        <v>1022</v>
      </c>
      <c r="E872">
        <f ca="1">INDIRECT("'Sheet1'!AY130")</f>
        <v>0</v>
      </c>
      <c r="F872" t="b">
        <f t="shared" ca="1" si="118"/>
        <v>0</v>
      </c>
    </row>
    <row r="873" spans="1:6" x14ac:dyDescent="0.25">
      <c r="A873" t="s">
        <v>1280</v>
      </c>
      <c r="B873" t="s">
        <v>1339</v>
      </c>
      <c r="C873" t="s">
        <v>58</v>
      </c>
      <c r="D873">
        <v>24</v>
      </c>
      <c r="E873">
        <f ca="1">INDIRECT("'Sheet1'!AZ130")</f>
        <v>0</v>
      </c>
      <c r="F873" t="b">
        <f t="shared" ca="1" si="118"/>
        <v>0</v>
      </c>
    </row>
    <row r="874" spans="1:6" x14ac:dyDescent="0.25">
      <c r="A874" t="s">
        <v>1281</v>
      </c>
      <c r="B874" t="s">
        <v>1352</v>
      </c>
      <c r="C874" t="s">
        <v>59</v>
      </c>
      <c r="D874" t="s">
        <v>675</v>
      </c>
      <c r="E874">
        <f ca="1">INDIRECT("'Sheet1'!BA130")</f>
        <v>0</v>
      </c>
      <c r="F874" t="b">
        <f t="shared" ca="1" si="118"/>
        <v>0</v>
      </c>
    </row>
    <row r="876" spans="1:6" x14ac:dyDescent="0.25">
      <c r="A876" t="s">
        <v>522</v>
      </c>
      <c r="B876" t="s">
        <v>1325</v>
      </c>
      <c r="C876" t="s">
        <v>50</v>
      </c>
      <c r="E876">
        <f ca="1">INDIRECT("'Sheet1'!AR131")</f>
        <v>0</v>
      </c>
      <c r="F876" t="b">
        <f t="shared" ref="F876:F885" ca="1" si="119">E876=D876</f>
        <v>1</v>
      </c>
    </row>
    <row r="877" spans="1:6" x14ac:dyDescent="0.25">
      <c r="A877" t="s">
        <v>523</v>
      </c>
      <c r="B877" t="s">
        <v>1346</v>
      </c>
      <c r="C877" t="s">
        <v>51</v>
      </c>
      <c r="D877" t="s">
        <v>871</v>
      </c>
      <c r="E877">
        <f ca="1">INDIRECT("'Sheet1'!AS131")</f>
        <v>0</v>
      </c>
      <c r="F877" t="b">
        <f t="shared" ca="1" si="119"/>
        <v>0</v>
      </c>
    </row>
    <row r="878" spans="1:6" x14ac:dyDescent="0.25">
      <c r="A878" t="s">
        <v>1282</v>
      </c>
      <c r="B878" t="s">
        <v>1323</v>
      </c>
      <c r="C878" t="s">
        <v>52</v>
      </c>
      <c r="E878">
        <f ca="1">INDIRECT("'Sheet1'!AT131")</f>
        <v>0</v>
      </c>
      <c r="F878" t="b">
        <f t="shared" ca="1" si="119"/>
        <v>1</v>
      </c>
    </row>
    <row r="879" spans="1:6" x14ac:dyDescent="0.25">
      <c r="A879" t="s">
        <v>1283</v>
      </c>
      <c r="B879" t="s">
        <v>1350</v>
      </c>
      <c r="C879" t="s">
        <v>53</v>
      </c>
      <c r="D879" t="s">
        <v>1020</v>
      </c>
      <c r="E879">
        <f ca="1">INDIRECT("'Sheet1'!AU131")</f>
        <v>0</v>
      </c>
      <c r="F879" t="b">
        <f t="shared" ca="1" si="119"/>
        <v>0</v>
      </c>
    </row>
    <row r="880" spans="1:6" x14ac:dyDescent="0.25">
      <c r="A880" t="s">
        <v>1284</v>
      </c>
      <c r="B880" t="s">
        <v>1344</v>
      </c>
      <c r="C880" t="s">
        <v>54</v>
      </c>
      <c r="E880">
        <f ca="1">INDIRECT("'Sheet1'!AV131")</f>
        <v>0</v>
      </c>
      <c r="F880" t="b">
        <f t="shared" ca="1" si="119"/>
        <v>1</v>
      </c>
    </row>
    <row r="881" spans="1:6" x14ac:dyDescent="0.25">
      <c r="A881" t="s">
        <v>1285</v>
      </c>
      <c r="B881" t="s">
        <v>1351</v>
      </c>
      <c r="C881" t="s">
        <v>55</v>
      </c>
      <c r="D881" t="s">
        <v>1021</v>
      </c>
      <c r="E881">
        <f ca="1">INDIRECT("'Sheet1'!AW131")</f>
        <v>0</v>
      </c>
      <c r="F881" t="b">
        <f t="shared" ca="1" si="119"/>
        <v>0</v>
      </c>
    </row>
    <row r="882" spans="1:6" x14ac:dyDescent="0.25">
      <c r="A882" t="s">
        <v>1286</v>
      </c>
      <c r="B882" t="s">
        <v>1664</v>
      </c>
      <c r="C882" t="s">
        <v>56</v>
      </c>
      <c r="E882">
        <f ca="1">INDIRECT("'Sheet1'!AX131")</f>
        <v>0</v>
      </c>
      <c r="F882" t="b">
        <f t="shared" ca="1" si="119"/>
        <v>1</v>
      </c>
    </row>
    <row r="883" spans="1:6" x14ac:dyDescent="0.25">
      <c r="A883" t="s">
        <v>1287</v>
      </c>
      <c r="B883" t="s">
        <v>1665</v>
      </c>
      <c r="C883" t="s">
        <v>57</v>
      </c>
      <c r="D883" t="s">
        <v>1022</v>
      </c>
      <c r="E883">
        <f ca="1">INDIRECT("'Sheet1'!AY131")</f>
        <v>0</v>
      </c>
      <c r="F883" t="b">
        <f t="shared" ca="1" si="119"/>
        <v>0</v>
      </c>
    </row>
    <row r="884" spans="1:6" x14ac:dyDescent="0.25">
      <c r="A884" t="s">
        <v>1288</v>
      </c>
      <c r="B884" t="s">
        <v>1339</v>
      </c>
      <c r="C884" t="s">
        <v>58</v>
      </c>
      <c r="D884">
        <v>24</v>
      </c>
      <c r="E884">
        <f ca="1">INDIRECT("'Sheet1'!AZ131")</f>
        <v>0</v>
      </c>
      <c r="F884" t="b">
        <f t="shared" ca="1" si="119"/>
        <v>0</v>
      </c>
    </row>
    <row r="885" spans="1:6" x14ac:dyDescent="0.25">
      <c r="A885" t="s">
        <v>1289</v>
      </c>
      <c r="B885" t="s">
        <v>1352</v>
      </c>
      <c r="C885" t="s">
        <v>59</v>
      </c>
      <c r="D885" t="s">
        <v>675</v>
      </c>
      <c r="E885">
        <f ca="1">INDIRECT("'Sheet1'!BA131")</f>
        <v>0</v>
      </c>
      <c r="F885" t="b">
        <f t="shared" ca="1" si="119"/>
        <v>0</v>
      </c>
    </row>
    <row r="887" spans="1:6" x14ac:dyDescent="0.25">
      <c r="A887" t="s">
        <v>524</v>
      </c>
      <c r="B887" t="s">
        <v>1314</v>
      </c>
      <c r="C887" t="s">
        <v>50</v>
      </c>
      <c r="D887">
        <v>28</v>
      </c>
      <c r="E887">
        <f ca="1">INDIRECT("'Sheet1'!AR132")</f>
        <v>0</v>
      </c>
      <c r="F887" t="b">
        <f t="shared" ref="F887:F896" ca="1" si="120">E887=D887</f>
        <v>0</v>
      </c>
    </row>
    <row r="888" spans="1:6" x14ac:dyDescent="0.25">
      <c r="A888" t="s">
        <v>525</v>
      </c>
      <c r="B888" t="s">
        <v>1315</v>
      </c>
      <c r="C888" t="s">
        <v>51</v>
      </c>
      <c r="D888" t="s">
        <v>673</v>
      </c>
      <c r="E888">
        <f ca="1">INDIRECT("'Sheet1'!AS132")</f>
        <v>0</v>
      </c>
      <c r="F888" t="b">
        <f t="shared" ca="1" si="120"/>
        <v>0</v>
      </c>
    </row>
    <row r="889" spans="1:6" x14ac:dyDescent="0.25">
      <c r="A889" t="s">
        <v>1290</v>
      </c>
      <c r="B889" t="s">
        <v>1323</v>
      </c>
      <c r="C889" t="s">
        <v>52</v>
      </c>
      <c r="E889">
        <f ca="1">INDIRECT("'Sheet1'!AT132")</f>
        <v>0</v>
      </c>
      <c r="F889" t="b">
        <f t="shared" ca="1" si="120"/>
        <v>1</v>
      </c>
    </row>
    <row r="890" spans="1:6" x14ac:dyDescent="0.25">
      <c r="A890" t="s">
        <v>1291</v>
      </c>
      <c r="B890" t="s">
        <v>1350</v>
      </c>
      <c r="C890" t="s">
        <v>53</v>
      </c>
      <c r="D890" t="s">
        <v>1020</v>
      </c>
      <c r="E890">
        <f ca="1">INDIRECT("'Sheet1'!AU132")</f>
        <v>0</v>
      </c>
      <c r="F890" t="b">
        <f t="shared" ca="1" si="120"/>
        <v>0</v>
      </c>
    </row>
    <row r="891" spans="1:6" x14ac:dyDescent="0.25">
      <c r="A891" t="s">
        <v>1292</v>
      </c>
      <c r="B891" t="s">
        <v>1344</v>
      </c>
      <c r="C891" t="s">
        <v>54</v>
      </c>
      <c r="E891">
        <f ca="1">INDIRECT("'Sheet1'!AV132")</f>
        <v>0</v>
      </c>
      <c r="F891" t="b">
        <f t="shared" ca="1" si="120"/>
        <v>1</v>
      </c>
    </row>
    <row r="892" spans="1:6" x14ac:dyDescent="0.25">
      <c r="A892" t="s">
        <v>1293</v>
      </c>
      <c r="B892" t="s">
        <v>1351</v>
      </c>
      <c r="C892" t="s">
        <v>55</v>
      </c>
      <c r="D892" t="s">
        <v>1021</v>
      </c>
      <c r="E892">
        <f ca="1">INDIRECT("'Sheet1'!AW132")</f>
        <v>0</v>
      </c>
      <c r="F892" t="b">
        <f t="shared" ca="1" si="120"/>
        <v>0</v>
      </c>
    </row>
    <row r="893" spans="1:6" x14ac:dyDescent="0.25">
      <c r="A893" t="s">
        <v>1294</v>
      </c>
      <c r="B893" t="s">
        <v>1664</v>
      </c>
      <c r="C893" t="s">
        <v>56</v>
      </c>
      <c r="E893">
        <f ca="1">INDIRECT("'Sheet1'!AX132")</f>
        <v>0</v>
      </c>
      <c r="F893" t="b">
        <f t="shared" ca="1" si="120"/>
        <v>1</v>
      </c>
    </row>
    <row r="894" spans="1:6" x14ac:dyDescent="0.25">
      <c r="A894" t="s">
        <v>1295</v>
      </c>
      <c r="B894" t="s">
        <v>1665</v>
      </c>
      <c r="C894" t="s">
        <v>57</v>
      </c>
      <c r="D894" t="s">
        <v>1022</v>
      </c>
      <c r="E894">
        <f ca="1">INDIRECT("'Sheet1'!AY132")</f>
        <v>0</v>
      </c>
      <c r="F894" t="b">
        <f t="shared" ca="1" si="120"/>
        <v>0</v>
      </c>
    </row>
    <row r="895" spans="1:6" x14ac:dyDescent="0.25">
      <c r="A895" t="s">
        <v>1296</v>
      </c>
      <c r="B895" t="s">
        <v>1345</v>
      </c>
      <c r="C895" t="s">
        <v>58</v>
      </c>
      <c r="E895">
        <f ca="1">INDIRECT("'Sheet1'!AZ132")</f>
        <v>0</v>
      </c>
      <c r="F895" t="b">
        <f t="shared" ca="1" si="120"/>
        <v>1</v>
      </c>
    </row>
    <row r="896" spans="1:6" x14ac:dyDescent="0.25">
      <c r="A896" t="s">
        <v>1297</v>
      </c>
      <c r="B896" t="s">
        <v>1353</v>
      </c>
      <c r="C896" t="s">
        <v>59</v>
      </c>
      <c r="D896" t="s">
        <v>1237</v>
      </c>
      <c r="E896">
        <f ca="1">INDIRECT("'Sheet1'!BA132")</f>
        <v>0</v>
      </c>
      <c r="F896" t="b">
        <f t="shared" ca="1" si="120"/>
        <v>0</v>
      </c>
    </row>
    <row r="898" spans="1:6" x14ac:dyDescent="0.25">
      <c r="A898" t="s">
        <v>526</v>
      </c>
      <c r="B898" t="s">
        <v>1399</v>
      </c>
      <c r="C898" t="s">
        <v>60</v>
      </c>
      <c r="D898">
        <v>185</v>
      </c>
      <c r="E898">
        <f ca="1">INDIRECT("'Sheet1'!BB133")</f>
        <v>0</v>
      </c>
      <c r="F898" t="b">
        <f t="shared" ref="F898:F900" ca="1" si="121">E898=D898</f>
        <v>0</v>
      </c>
    </row>
    <row r="899" spans="1:6" x14ac:dyDescent="0.25">
      <c r="A899" t="s">
        <v>527</v>
      </c>
      <c r="B899" t="s">
        <v>1400</v>
      </c>
      <c r="C899" t="s">
        <v>61</v>
      </c>
      <c r="D899" t="s">
        <v>482</v>
      </c>
      <c r="E899">
        <f ca="1">INDIRECT("'Sheet1'!BC133")</f>
        <v>0</v>
      </c>
      <c r="F899" t="b">
        <f t="shared" ca="1" si="121"/>
        <v>0</v>
      </c>
    </row>
    <row r="900" spans="1:6" x14ac:dyDescent="0.25">
      <c r="A900" t="s">
        <v>1463</v>
      </c>
      <c r="B900" t="s">
        <v>1401</v>
      </c>
      <c r="C900" t="s">
        <v>62</v>
      </c>
      <c r="D900" t="s">
        <v>673</v>
      </c>
      <c r="E900">
        <f ca="1">INDIRECT("'Sheet1'!BD133")</f>
        <v>0</v>
      </c>
      <c r="F900" t="b">
        <f t="shared" ca="1" si="121"/>
        <v>0</v>
      </c>
    </row>
    <row r="902" spans="1:6" x14ac:dyDescent="0.25">
      <c r="A902" t="s">
        <v>528</v>
      </c>
      <c r="B902" t="s">
        <v>1399</v>
      </c>
      <c r="C902" t="s">
        <v>60</v>
      </c>
      <c r="D902">
        <v>185</v>
      </c>
      <c r="E902">
        <f ca="1">INDIRECT("'Sheet1'!BB134")</f>
        <v>0</v>
      </c>
      <c r="F902" t="b">
        <f t="shared" ref="F902:F904" ca="1" si="122">E902=D902</f>
        <v>0</v>
      </c>
    </row>
    <row r="903" spans="1:6" x14ac:dyDescent="0.25">
      <c r="A903" t="s">
        <v>529</v>
      </c>
      <c r="B903" t="s">
        <v>1400</v>
      </c>
      <c r="C903" t="s">
        <v>61</v>
      </c>
      <c r="D903" t="s">
        <v>1669</v>
      </c>
      <c r="E903">
        <f ca="1">INDIRECT("'Sheet1'!BC134")</f>
        <v>0</v>
      </c>
      <c r="F903" t="b">
        <f t="shared" ca="1" si="122"/>
        <v>0</v>
      </c>
    </row>
    <row r="904" spans="1:6" x14ac:dyDescent="0.25">
      <c r="A904" t="s">
        <v>1464</v>
      </c>
      <c r="B904" t="s">
        <v>1402</v>
      </c>
      <c r="C904" t="s">
        <v>62</v>
      </c>
      <c r="D904" t="s">
        <v>872</v>
      </c>
      <c r="E904">
        <f ca="1">INDIRECT("'Sheet1'!BD134")</f>
        <v>0</v>
      </c>
      <c r="F904" t="b">
        <f t="shared" ca="1" si="122"/>
        <v>0</v>
      </c>
    </row>
    <row r="906" spans="1:6" x14ac:dyDescent="0.25">
      <c r="A906" t="s">
        <v>530</v>
      </c>
      <c r="B906" t="s">
        <v>1399</v>
      </c>
      <c r="C906" t="s">
        <v>60</v>
      </c>
      <c r="D906">
        <v>185.2</v>
      </c>
      <c r="E906">
        <f ca="1">INDIRECT("'Sheet1'!BB135")</f>
        <v>0</v>
      </c>
      <c r="F906" t="b">
        <f t="shared" ref="F906:F908" ca="1" si="123">E906=D906</f>
        <v>0</v>
      </c>
    </row>
    <row r="907" spans="1:6" x14ac:dyDescent="0.25">
      <c r="A907" t="s">
        <v>1465</v>
      </c>
      <c r="B907" t="s">
        <v>1400</v>
      </c>
      <c r="C907" t="s">
        <v>61</v>
      </c>
      <c r="D907" t="s">
        <v>482</v>
      </c>
      <c r="E907">
        <f ca="1">INDIRECT("'Sheet1'!BC135")</f>
        <v>0</v>
      </c>
      <c r="F907" t="b">
        <f t="shared" ca="1" si="123"/>
        <v>0</v>
      </c>
    </row>
    <row r="908" spans="1:6" x14ac:dyDescent="0.25">
      <c r="A908" t="s">
        <v>1466</v>
      </c>
      <c r="B908" t="s">
        <v>1401</v>
      </c>
      <c r="C908" t="s">
        <v>62</v>
      </c>
      <c r="D908" t="s">
        <v>673</v>
      </c>
      <c r="E908">
        <f ca="1">INDIRECT("'Sheet1'!BD135")</f>
        <v>0</v>
      </c>
      <c r="F908" t="b">
        <f t="shared" ca="1" si="123"/>
        <v>0</v>
      </c>
    </row>
    <row r="910" spans="1:6" x14ac:dyDescent="0.25">
      <c r="A910" t="s">
        <v>786</v>
      </c>
      <c r="B910" t="s">
        <v>1399</v>
      </c>
      <c r="C910" t="s">
        <v>60</v>
      </c>
      <c r="D910">
        <v>185.25</v>
      </c>
      <c r="E910">
        <f ca="1">INDIRECT("'Sheet1'!BB136")</f>
        <v>0</v>
      </c>
      <c r="F910" t="b">
        <f t="shared" ref="F910:F912" ca="1" si="124">E910=D910</f>
        <v>0</v>
      </c>
    </row>
    <row r="911" spans="1:6" x14ac:dyDescent="0.25">
      <c r="A911" t="s">
        <v>787</v>
      </c>
      <c r="B911" t="s">
        <v>1400</v>
      </c>
      <c r="C911" t="s">
        <v>61</v>
      </c>
      <c r="D911" t="s">
        <v>482</v>
      </c>
      <c r="E911">
        <f ca="1">INDIRECT("'Sheet1'!BC136")</f>
        <v>0</v>
      </c>
      <c r="F911" t="b">
        <f t="shared" ca="1" si="124"/>
        <v>0</v>
      </c>
    </row>
    <row r="912" spans="1:6" x14ac:dyDescent="0.25">
      <c r="A912" t="s">
        <v>788</v>
      </c>
      <c r="B912" t="s">
        <v>1403</v>
      </c>
      <c r="C912" t="s">
        <v>62</v>
      </c>
      <c r="D912" t="s">
        <v>871</v>
      </c>
      <c r="E912">
        <f ca="1">INDIRECT("'Sheet1'!BD136")</f>
        <v>0</v>
      </c>
      <c r="F912" t="b">
        <f t="shared" ca="1" si="124"/>
        <v>0</v>
      </c>
    </row>
    <row r="914" spans="1:6" x14ac:dyDescent="0.25">
      <c r="A914" t="s">
        <v>1467</v>
      </c>
      <c r="B914" t="s">
        <v>1404</v>
      </c>
      <c r="C914" t="s">
        <v>63</v>
      </c>
      <c r="D914">
        <v>184</v>
      </c>
      <c r="E914">
        <f ca="1">INDIRECT("'Sheet1'!BE137")</f>
        <v>0</v>
      </c>
      <c r="F914" t="b">
        <f t="shared" ref="F914:F916" ca="1" si="125">E914=D914</f>
        <v>0</v>
      </c>
    </row>
    <row r="915" spans="1:6" x14ac:dyDescent="0.25">
      <c r="A915" t="s">
        <v>1468</v>
      </c>
      <c r="B915" t="s">
        <v>1405</v>
      </c>
      <c r="C915" t="s">
        <v>64</v>
      </c>
      <c r="D915" t="s">
        <v>482</v>
      </c>
      <c r="E915">
        <f ca="1">INDIRECT("'Sheet1'!BF137")</f>
        <v>0</v>
      </c>
      <c r="F915" t="b">
        <f t="shared" ca="1" si="125"/>
        <v>0</v>
      </c>
    </row>
    <row r="916" spans="1:6" x14ac:dyDescent="0.25">
      <c r="A916" t="s">
        <v>1469</v>
      </c>
      <c r="B916" t="s">
        <v>1406</v>
      </c>
      <c r="C916" t="s">
        <v>65</v>
      </c>
      <c r="D916" t="s">
        <v>673</v>
      </c>
      <c r="E916">
        <f ca="1">INDIRECT("'Sheet1'!BG137")</f>
        <v>0</v>
      </c>
      <c r="F916" t="b">
        <f t="shared" ca="1" si="125"/>
        <v>0</v>
      </c>
    </row>
    <row r="918" spans="1:6" x14ac:dyDescent="0.25">
      <c r="A918" t="s">
        <v>1470</v>
      </c>
      <c r="B918" t="s">
        <v>1404</v>
      </c>
      <c r="C918" t="s">
        <v>63</v>
      </c>
      <c r="D918">
        <v>184</v>
      </c>
      <c r="E918">
        <f ca="1">INDIRECT("'Sheet1'!BE138")</f>
        <v>0</v>
      </c>
      <c r="F918" t="b">
        <f t="shared" ref="F918:F920" ca="1" si="126">E918=D918</f>
        <v>0</v>
      </c>
    </row>
    <row r="919" spans="1:6" x14ac:dyDescent="0.25">
      <c r="A919" t="s">
        <v>1471</v>
      </c>
      <c r="B919" t="s">
        <v>1405</v>
      </c>
      <c r="C919" t="s">
        <v>64</v>
      </c>
      <c r="D919" t="s">
        <v>1669</v>
      </c>
      <c r="E919">
        <f ca="1">INDIRECT("'Sheet1'!BF138")</f>
        <v>0</v>
      </c>
      <c r="F919" t="b">
        <f t="shared" ca="1" si="126"/>
        <v>0</v>
      </c>
    </row>
    <row r="920" spans="1:6" x14ac:dyDescent="0.25">
      <c r="A920" t="s">
        <v>1472</v>
      </c>
      <c r="B920" t="s">
        <v>1407</v>
      </c>
      <c r="C920" t="s">
        <v>65</v>
      </c>
      <c r="D920" t="s">
        <v>871</v>
      </c>
      <c r="E920">
        <f ca="1">INDIRECT("'Sheet1'!BG138")</f>
        <v>0</v>
      </c>
      <c r="F920" t="b">
        <f t="shared" ca="1" si="126"/>
        <v>0</v>
      </c>
    </row>
    <row r="922" spans="1:6" x14ac:dyDescent="0.25">
      <c r="A922" t="s">
        <v>1473</v>
      </c>
      <c r="B922" t="s">
        <v>1404</v>
      </c>
      <c r="C922" t="s">
        <v>63</v>
      </c>
      <c r="D922">
        <v>184.2</v>
      </c>
      <c r="E922">
        <f ca="1">INDIRECT("'Sheet1'!BE139")</f>
        <v>0</v>
      </c>
      <c r="F922" t="b">
        <f t="shared" ref="F922:F924" ca="1" si="127">E922=D922</f>
        <v>0</v>
      </c>
    </row>
    <row r="923" spans="1:6" x14ac:dyDescent="0.25">
      <c r="A923" t="s">
        <v>1474</v>
      </c>
      <c r="B923" t="s">
        <v>1405</v>
      </c>
      <c r="C923" t="s">
        <v>64</v>
      </c>
      <c r="D923" t="s">
        <v>482</v>
      </c>
      <c r="E923">
        <f ca="1">INDIRECT("'Sheet1'!BF139")</f>
        <v>0</v>
      </c>
      <c r="F923" t="b">
        <f t="shared" ca="1" si="127"/>
        <v>0</v>
      </c>
    </row>
    <row r="924" spans="1:6" x14ac:dyDescent="0.25">
      <c r="A924" t="s">
        <v>1475</v>
      </c>
      <c r="B924" t="s">
        <v>1406</v>
      </c>
      <c r="C924" t="s">
        <v>65</v>
      </c>
      <c r="D924" t="s">
        <v>673</v>
      </c>
      <c r="E924">
        <f ca="1">INDIRECT("'Sheet1'!BG139")</f>
        <v>0</v>
      </c>
      <c r="F924" t="b">
        <f t="shared" ca="1" si="127"/>
        <v>0</v>
      </c>
    </row>
    <row r="926" spans="1:6" x14ac:dyDescent="0.25">
      <c r="A926" t="s">
        <v>1476</v>
      </c>
      <c r="B926" t="s">
        <v>1404</v>
      </c>
      <c r="C926" t="s">
        <v>63</v>
      </c>
      <c r="D926">
        <v>184.25</v>
      </c>
      <c r="E926">
        <f ca="1">INDIRECT("'Sheet1'!BE140")</f>
        <v>0</v>
      </c>
      <c r="F926" t="b">
        <f t="shared" ref="F926:F928" ca="1" si="128">E926=D926</f>
        <v>0</v>
      </c>
    </row>
    <row r="927" spans="1:6" x14ac:dyDescent="0.25">
      <c r="A927" t="s">
        <v>1477</v>
      </c>
      <c r="B927" t="s">
        <v>1405</v>
      </c>
      <c r="C927" t="s">
        <v>64</v>
      </c>
      <c r="D927" t="s">
        <v>482</v>
      </c>
      <c r="E927">
        <f ca="1">INDIRECT("'Sheet1'!BF140")</f>
        <v>0</v>
      </c>
      <c r="F927" t="b">
        <f t="shared" ca="1" si="128"/>
        <v>0</v>
      </c>
    </row>
    <row r="928" spans="1:6" x14ac:dyDescent="0.25">
      <c r="A928" t="s">
        <v>1478</v>
      </c>
      <c r="B928" t="s">
        <v>1408</v>
      </c>
      <c r="C928" t="s">
        <v>65</v>
      </c>
      <c r="D928" t="s">
        <v>872</v>
      </c>
      <c r="E928">
        <f ca="1">INDIRECT("'Sheet1'!BG140")</f>
        <v>0</v>
      </c>
      <c r="F928" t="b">
        <f t="shared" ca="1" si="128"/>
        <v>0</v>
      </c>
    </row>
    <row r="930" spans="1:6" x14ac:dyDescent="0.25">
      <c r="A930" t="s">
        <v>1479</v>
      </c>
      <c r="B930" t="s">
        <v>1399</v>
      </c>
      <c r="C930" t="s">
        <v>60</v>
      </c>
      <c r="D930">
        <v>185</v>
      </c>
      <c r="E930">
        <f ca="1">INDIRECT("'Sheet1'!BB141")</f>
        <v>0</v>
      </c>
      <c r="F930" t="b">
        <f t="shared" ref="F930:F935" ca="1" si="129">E930=D930</f>
        <v>0</v>
      </c>
    </row>
    <row r="931" spans="1:6" x14ac:dyDescent="0.25">
      <c r="A931" t="s">
        <v>1480</v>
      </c>
      <c r="B931" t="s">
        <v>1400</v>
      </c>
      <c r="C931" t="s">
        <v>61</v>
      </c>
      <c r="D931" t="s">
        <v>482</v>
      </c>
      <c r="E931">
        <f ca="1">INDIRECT("'Sheet1'!BC141")</f>
        <v>0</v>
      </c>
      <c r="F931" t="b">
        <f t="shared" ca="1" si="129"/>
        <v>0</v>
      </c>
    </row>
    <row r="932" spans="1:6" x14ac:dyDescent="0.25">
      <c r="A932" t="s">
        <v>1481</v>
      </c>
      <c r="B932" t="s">
        <v>1409</v>
      </c>
      <c r="C932" t="s">
        <v>62</v>
      </c>
      <c r="D932" t="s">
        <v>679</v>
      </c>
      <c r="E932">
        <f ca="1">INDIRECT("'Sheet1'!BD141")</f>
        <v>0</v>
      </c>
      <c r="F932" t="b">
        <f t="shared" ca="1" si="129"/>
        <v>0</v>
      </c>
    </row>
    <row r="933" spans="1:6" x14ac:dyDescent="0.25">
      <c r="A933" t="s">
        <v>1482</v>
      </c>
      <c r="B933" t="s">
        <v>1410</v>
      </c>
      <c r="C933" t="s">
        <v>63</v>
      </c>
      <c r="E933">
        <f ca="1">INDIRECT("'Sheet1'!BE141")</f>
        <v>0</v>
      </c>
      <c r="F933" t="b">
        <f t="shared" ca="1" si="129"/>
        <v>1</v>
      </c>
    </row>
    <row r="934" spans="1:6" x14ac:dyDescent="0.25">
      <c r="A934" t="s">
        <v>1483</v>
      </c>
      <c r="B934" t="s">
        <v>1405</v>
      </c>
      <c r="C934" t="s">
        <v>64</v>
      </c>
      <c r="D934" t="s">
        <v>482</v>
      </c>
      <c r="E934">
        <f ca="1">INDIRECT("'Sheet1'!BF141")</f>
        <v>0</v>
      </c>
      <c r="F934" t="b">
        <f t="shared" ca="1" si="129"/>
        <v>0</v>
      </c>
    </row>
    <row r="935" spans="1:6" x14ac:dyDescent="0.25">
      <c r="A935" t="s">
        <v>1484</v>
      </c>
      <c r="B935" t="s">
        <v>1411</v>
      </c>
      <c r="C935" t="s">
        <v>65</v>
      </c>
      <c r="D935" t="s">
        <v>680</v>
      </c>
      <c r="E935">
        <f ca="1">INDIRECT("'Sheet1'!BG141")</f>
        <v>0</v>
      </c>
      <c r="F935" t="b">
        <f t="shared" ca="1" si="129"/>
        <v>0</v>
      </c>
    </row>
    <row r="937" spans="1:6" x14ac:dyDescent="0.25">
      <c r="A937" t="s">
        <v>1485</v>
      </c>
      <c r="B937" t="s">
        <v>1412</v>
      </c>
      <c r="C937" t="s">
        <v>60</v>
      </c>
      <c r="E937">
        <f ca="1">INDIRECT("'Sheet1'!BB142")</f>
        <v>0</v>
      </c>
      <c r="F937" t="b">
        <f t="shared" ref="F937:F942" ca="1" si="130">E937=D937</f>
        <v>1</v>
      </c>
    </row>
    <row r="938" spans="1:6" x14ac:dyDescent="0.25">
      <c r="A938" t="s">
        <v>1486</v>
      </c>
      <c r="B938" t="s">
        <v>1400</v>
      </c>
      <c r="C938" t="s">
        <v>61</v>
      </c>
      <c r="D938" t="s">
        <v>1669</v>
      </c>
      <c r="E938">
        <f ca="1">INDIRECT("'Sheet1'!BC142")</f>
        <v>0</v>
      </c>
      <c r="F938" t="b">
        <f t="shared" ca="1" si="130"/>
        <v>0</v>
      </c>
    </row>
    <row r="939" spans="1:6" x14ac:dyDescent="0.25">
      <c r="A939" t="s">
        <v>1487</v>
      </c>
      <c r="B939" t="s">
        <v>1413</v>
      </c>
      <c r="C939" t="s">
        <v>62</v>
      </c>
      <c r="D939" t="s">
        <v>680</v>
      </c>
      <c r="E939">
        <f ca="1">INDIRECT("'Sheet1'!BD142")</f>
        <v>0</v>
      </c>
      <c r="F939" t="b">
        <f t="shared" ca="1" si="130"/>
        <v>0</v>
      </c>
    </row>
    <row r="940" spans="1:6" x14ac:dyDescent="0.25">
      <c r="A940" t="s">
        <v>1488</v>
      </c>
      <c r="B940" t="s">
        <v>1404</v>
      </c>
      <c r="C940" t="s">
        <v>63</v>
      </c>
      <c r="D940">
        <v>184.2</v>
      </c>
      <c r="E940">
        <f ca="1">INDIRECT("'Sheet1'!BE142")</f>
        <v>0</v>
      </c>
      <c r="F940" t="b">
        <f t="shared" ca="1" si="130"/>
        <v>0</v>
      </c>
    </row>
    <row r="941" spans="1:6" x14ac:dyDescent="0.25">
      <c r="A941" t="s">
        <v>1489</v>
      </c>
      <c r="B941" t="s">
        <v>1405</v>
      </c>
      <c r="C941" t="s">
        <v>64</v>
      </c>
      <c r="D941" t="s">
        <v>482</v>
      </c>
      <c r="E941">
        <f ca="1">INDIRECT("'Sheet1'!BF142")</f>
        <v>0</v>
      </c>
      <c r="F941" t="b">
        <f t="shared" ca="1" si="130"/>
        <v>0</v>
      </c>
    </row>
    <row r="942" spans="1:6" x14ac:dyDescent="0.25">
      <c r="A942" t="s">
        <v>1490</v>
      </c>
      <c r="B942" t="s">
        <v>1414</v>
      </c>
      <c r="C942" t="s">
        <v>65</v>
      </c>
      <c r="D942" t="s">
        <v>679</v>
      </c>
      <c r="E942">
        <f ca="1">INDIRECT("'Sheet1'!BG142")</f>
        <v>0</v>
      </c>
      <c r="F942" t="b">
        <f t="shared" ca="1" si="130"/>
        <v>0</v>
      </c>
    </row>
    <row r="944" spans="1:6" x14ac:dyDescent="0.25">
      <c r="A944" t="s">
        <v>1491</v>
      </c>
      <c r="B944" t="s">
        <v>1399</v>
      </c>
      <c r="C944" t="s">
        <v>60</v>
      </c>
      <c r="D944">
        <v>185</v>
      </c>
      <c r="E944">
        <f ca="1">INDIRECT("'Sheet1'!BB143")</f>
        <v>0</v>
      </c>
      <c r="F944" t="b">
        <f t="shared" ref="F944:F949" ca="1" si="131">E944=D944</f>
        <v>0</v>
      </c>
    </row>
    <row r="945" spans="1:6" x14ac:dyDescent="0.25">
      <c r="A945" t="s">
        <v>1492</v>
      </c>
      <c r="B945" t="s">
        <v>1400</v>
      </c>
      <c r="C945" t="s">
        <v>61</v>
      </c>
      <c r="D945" t="s">
        <v>1669</v>
      </c>
      <c r="E945">
        <f ca="1">INDIRECT("'Sheet1'!BC143")</f>
        <v>0</v>
      </c>
      <c r="F945" t="b">
        <f t="shared" ca="1" si="131"/>
        <v>0</v>
      </c>
    </row>
    <row r="946" spans="1:6" x14ac:dyDescent="0.25">
      <c r="A946" t="s">
        <v>1493</v>
      </c>
      <c r="B946" t="s">
        <v>1415</v>
      </c>
      <c r="C946" t="s">
        <v>62</v>
      </c>
      <c r="D946" t="s">
        <v>676</v>
      </c>
      <c r="E946">
        <f ca="1">INDIRECT("'Sheet1'!BD143")</f>
        <v>0</v>
      </c>
      <c r="F946" t="b">
        <f t="shared" ca="1" si="131"/>
        <v>0</v>
      </c>
    </row>
    <row r="947" spans="1:6" x14ac:dyDescent="0.25">
      <c r="A947" t="s">
        <v>1494</v>
      </c>
      <c r="B947" t="s">
        <v>1404</v>
      </c>
      <c r="C947" t="s">
        <v>63</v>
      </c>
      <c r="E947">
        <f ca="1">INDIRECT("'Sheet1'!BE143")</f>
        <v>0</v>
      </c>
      <c r="F947" t="b">
        <f t="shared" ca="1" si="131"/>
        <v>1</v>
      </c>
    </row>
    <row r="948" spans="1:6" x14ac:dyDescent="0.25">
      <c r="A948" t="s">
        <v>1495</v>
      </c>
      <c r="B948" t="s">
        <v>1405</v>
      </c>
      <c r="C948" t="s">
        <v>64</v>
      </c>
      <c r="D948" t="s">
        <v>482</v>
      </c>
      <c r="E948">
        <f ca="1">INDIRECT("'Sheet1'!BF143")</f>
        <v>0</v>
      </c>
      <c r="F948" t="b">
        <f t="shared" ca="1" si="131"/>
        <v>0</v>
      </c>
    </row>
    <row r="949" spans="1:6" x14ac:dyDescent="0.25">
      <c r="A949" t="s">
        <v>1496</v>
      </c>
      <c r="B949" t="s">
        <v>1416</v>
      </c>
      <c r="C949" t="s">
        <v>65</v>
      </c>
      <c r="D949" t="s">
        <v>676</v>
      </c>
      <c r="E949">
        <f ca="1">INDIRECT("'Sheet1'!BG143")</f>
        <v>0</v>
      </c>
      <c r="F949" t="b">
        <f t="shared" ca="1" si="131"/>
        <v>0</v>
      </c>
    </row>
    <row r="951" spans="1:6" x14ac:dyDescent="0.25">
      <c r="A951" t="s">
        <v>1497</v>
      </c>
      <c r="B951" t="s">
        <v>1417</v>
      </c>
      <c r="C951" t="s">
        <v>66</v>
      </c>
      <c r="D951">
        <v>183</v>
      </c>
      <c r="E951">
        <f ca="1">INDIRECT("'Sheet1'!BH144")</f>
        <v>0</v>
      </c>
      <c r="F951" t="b">
        <f t="shared" ref="F951:F953" ca="1" si="132">E951=D951</f>
        <v>0</v>
      </c>
    </row>
    <row r="952" spans="1:6" x14ac:dyDescent="0.25">
      <c r="A952" t="s">
        <v>1498</v>
      </c>
      <c r="B952" t="s">
        <v>1418</v>
      </c>
      <c r="C952" t="s">
        <v>67</v>
      </c>
      <c r="D952" t="s">
        <v>482</v>
      </c>
      <c r="E952">
        <f ca="1">INDIRECT("'Sheet1'!BI144")</f>
        <v>0</v>
      </c>
      <c r="F952" t="b">
        <f t="shared" ca="1" si="132"/>
        <v>0</v>
      </c>
    </row>
    <row r="953" spans="1:6" x14ac:dyDescent="0.25">
      <c r="A953" t="s">
        <v>1499</v>
      </c>
      <c r="B953" t="s">
        <v>1419</v>
      </c>
      <c r="C953" t="s">
        <v>68</v>
      </c>
      <c r="D953" t="s">
        <v>673</v>
      </c>
      <c r="E953">
        <f ca="1">INDIRECT("'Sheet1'!BJ144")</f>
        <v>0</v>
      </c>
      <c r="F953" t="b">
        <f t="shared" ca="1" si="132"/>
        <v>0</v>
      </c>
    </row>
    <row r="955" spans="1:6" x14ac:dyDescent="0.25">
      <c r="A955" t="s">
        <v>1500</v>
      </c>
      <c r="B955" t="s">
        <v>1417</v>
      </c>
      <c r="C955" t="s">
        <v>66</v>
      </c>
      <c r="D955">
        <v>183</v>
      </c>
      <c r="E955">
        <f ca="1">INDIRECT("'Sheet1'!BH145")</f>
        <v>0</v>
      </c>
      <c r="F955" t="b">
        <f t="shared" ref="F955:F957" ca="1" si="133">E955=D955</f>
        <v>0</v>
      </c>
    </row>
    <row r="956" spans="1:6" x14ac:dyDescent="0.25">
      <c r="A956" t="s">
        <v>1501</v>
      </c>
      <c r="B956" t="s">
        <v>1418</v>
      </c>
      <c r="C956" t="s">
        <v>67</v>
      </c>
      <c r="D956" t="s">
        <v>1669</v>
      </c>
      <c r="E956">
        <f ca="1">INDIRECT("'Sheet1'!BI145")</f>
        <v>0</v>
      </c>
      <c r="F956" t="b">
        <f t="shared" ca="1" si="133"/>
        <v>0</v>
      </c>
    </row>
    <row r="957" spans="1:6" x14ac:dyDescent="0.25">
      <c r="A957" t="s">
        <v>1502</v>
      </c>
      <c r="B957" t="s">
        <v>1420</v>
      </c>
      <c r="C957" t="s">
        <v>68</v>
      </c>
      <c r="D957" t="s">
        <v>871</v>
      </c>
      <c r="E957">
        <f ca="1">INDIRECT("'Sheet1'!BJ145")</f>
        <v>0</v>
      </c>
      <c r="F957" t="b">
        <f t="shared" ca="1" si="133"/>
        <v>0</v>
      </c>
    </row>
    <row r="959" spans="1:6" x14ac:dyDescent="0.25">
      <c r="A959" t="s">
        <v>1503</v>
      </c>
      <c r="B959" t="s">
        <v>1417</v>
      </c>
      <c r="C959" t="s">
        <v>66</v>
      </c>
      <c r="D959">
        <v>183.2</v>
      </c>
      <c r="E959">
        <f ca="1">INDIRECT("'Sheet1'!BH146")</f>
        <v>0</v>
      </c>
      <c r="F959" t="b">
        <f t="shared" ref="F959:F961" ca="1" si="134">E959=D959</f>
        <v>0</v>
      </c>
    </row>
    <row r="960" spans="1:6" x14ac:dyDescent="0.25">
      <c r="A960" t="s">
        <v>1504</v>
      </c>
      <c r="B960" t="s">
        <v>1418</v>
      </c>
      <c r="C960" t="s">
        <v>67</v>
      </c>
      <c r="D960" t="s">
        <v>482</v>
      </c>
      <c r="E960">
        <f ca="1">INDIRECT("'Sheet1'!BI146")</f>
        <v>0</v>
      </c>
      <c r="F960" t="b">
        <f t="shared" ca="1" si="134"/>
        <v>0</v>
      </c>
    </row>
    <row r="961" spans="1:6" x14ac:dyDescent="0.25">
      <c r="A961" t="s">
        <v>1505</v>
      </c>
      <c r="B961" t="s">
        <v>1419</v>
      </c>
      <c r="C961" t="s">
        <v>68</v>
      </c>
      <c r="D961" t="s">
        <v>673</v>
      </c>
      <c r="E961">
        <f ca="1">INDIRECT("'Sheet1'!BJ146")</f>
        <v>0</v>
      </c>
      <c r="F961" t="b">
        <f t="shared" ca="1" si="134"/>
        <v>0</v>
      </c>
    </row>
    <row r="963" spans="1:6" x14ac:dyDescent="0.25">
      <c r="A963" t="s">
        <v>1506</v>
      </c>
      <c r="B963" t="s">
        <v>1417</v>
      </c>
      <c r="C963" t="s">
        <v>66</v>
      </c>
      <c r="D963">
        <v>183.25</v>
      </c>
      <c r="E963">
        <f ca="1">INDIRECT("'Sheet1'!BH147")</f>
        <v>0</v>
      </c>
      <c r="F963" t="b">
        <f t="shared" ref="F963:F965" ca="1" si="135">E963=D963</f>
        <v>0</v>
      </c>
    </row>
    <row r="964" spans="1:6" x14ac:dyDescent="0.25">
      <c r="A964" t="s">
        <v>1507</v>
      </c>
      <c r="B964" t="s">
        <v>1418</v>
      </c>
      <c r="C964" t="s">
        <v>67</v>
      </c>
      <c r="D964" t="s">
        <v>482</v>
      </c>
      <c r="E964">
        <f ca="1">INDIRECT("'Sheet1'!BI147")</f>
        <v>0</v>
      </c>
      <c r="F964" t="b">
        <f t="shared" ca="1" si="135"/>
        <v>0</v>
      </c>
    </row>
    <row r="965" spans="1:6" x14ac:dyDescent="0.25">
      <c r="A965" t="s">
        <v>1508</v>
      </c>
      <c r="B965" t="s">
        <v>1421</v>
      </c>
      <c r="C965" t="s">
        <v>68</v>
      </c>
      <c r="D965" t="s">
        <v>872</v>
      </c>
      <c r="E965">
        <f ca="1">INDIRECT("'Sheet1'!BJ147")</f>
        <v>0</v>
      </c>
      <c r="F965" t="b">
        <f t="shared" ca="1" si="135"/>
        <v>0</v>
      </c>
    </row>
    <row r="967" spans="1:6" x14ac:dyDescent="0.25">
      <c r="A967" t="s">
        <v>1509</v>
      </c>
      <c r="B967" t="s">
        <v>1422</v>
      </c>
      <c r="C967" t="s">
        <v>69</v>
      </c>
      <c r="D967">
        <v>182</v>
      </c>
      <c r="E967">
        <f ca="1">INDIRECT("'Sheet1'!BK148")</f>
        <v>0</v>
      </c>
      <c r="F967" t="b">
        <f t="shared" ref="F967:F969" ca="1" si="136">E967=D967</f>
        <v>0</v>
      </c>
    </row>
    <row r="968" spans="1:6" x14ac:dyDescent="0.25">
      <c r="A968" t="s">
        <v>1510</v>
      </c>
      <c r="B968" t="s">
        <v>1423</v>
      </c>
      <c r="C968" t="s">
        <v>70</v>
      </c>
      <c r="D968" t="s">
        <v>482</v>
      </c>
      <c r="E968">
        <f ca="1">INDIRECT("'Sheet1'!BL148")</f>
        <v>0</v>
      </c>
      <c r="F968" t="b">
        <f t="shared" ca="1" si="136"/>
        <v>0</v>
      </c>
    </row>
    <row r="969" spans="1:6" x14ac:dyDescent="0.25">
      <c r="A969" t="s">
        <v>1511</v>
      </c>
      <c r="B969" t="s">
        <v>1424</v>
      </c>
      <c r="C969" t="s">
        <v>71</v>
      </c>
      <c r="D969" t="s">
        <v>673</v>
      </c>
      <c r="E969">
        <f ca="1">INDIRECT("'Sheet1'!BM148")</f>
        <v>0</v>
      </c>
      <c r="F969" t="b">
        <f t="shared" ca="1" si="136"/>
        <v>0</v>
      </c>
    </row>
    <row r="971" spans="1:6" x14ac:dyDescent="0.25">
      <c r="A971" t="s">
        <v>1515</v>
      </c>
      <c r="B971" t="s">
        <v>1422</v>
      </c>
      <c r="C971" t="s">
        <v>69</v>
      </c>
      <c r="D971">
        <v>182</v>
      </c>
      <c r="E971">
        <f ca="1">INDIRECT("'Sheet1'!BK149")</f>
        <v>0</v>
      </c>
      <c r="F971" t="b">
        <f t="shared" ref="F971:F973" ca="1" si="137">E971=D971</f>
        <v>0</v>
      </c>
    </row>
    <row r="972" spans="1:6" x14ac:dyDescent="0.25">
      <c r="A972" t="s">
        <v>1516</v>
      </c>
      <c r="B972" t="s">
        <v>1423</v>
      </c>
      <c r="C972" t="s">
        <v>70</v>
      </c>
      <c r="D972" t="s">
        <v>1669</v>
      </c>
      <c r="E972">
        <f ca="1">INDIRECT("'Sheet1'!BL149")</f>
        <v>0</v>
      </c>
      <c r="F972" t="b">
        <f t="shared" ca="1" si="137"/>
        <v>0</v>
      </c>
    </row>
    <row r="973" spans="1:6" x14ac:dyDescent="0.25">
      <c r="A973" t="s">
        <v>1517</v>
      </c>
      <c r="B973" t="s">
        <v>1425</v>
      </c>
      <c r="C973" t="s">
        <v>71</v>
      </c>
      <c r="D973" t="s">
        <v>871</v>
      </c>
      <c r="E973">
        <f ca="1">INDIRECT("'Sheet1'!BM149")</f>
        <v>0</v>
      </c>
      <c r="F973" t="b">
        <f t="shared" ca="1" si="137"/>
        <v>0</v>
      </c>
    </row>
    <row r="975" spans="1:6" x14ac:dyDescent="0.25">
      <c r="A975" t="s">
        <v>1512</v>
      </c>
      <c r="B975" t="s">
        <v>1422</v>
      </c>
      <c r="C975" t="s">
        <v>69</v>
      </c>
      <c r="D975">
        <v>182.2</v>
      </c>
      <c r="E975">
        <f ca="1">INDIRECT("'Sheet1'!BK150")</f>
        <v>0</v>
      </c>
      <c r="F975" t="b">
        <f t="shared" ref="F975:F977" ca="1" si="138">E975=D975</f>
        <v>0</v>
      </c>
    </row>
    <row r="976" spans="1:6" x14ac:dyDescent="0.25">
      <c r="A976" t="s">
        <v>1513</v>
      </c>
      <c r="B976" t="s">
        <v>1423</v>
      </c>
      <c r="C976" t="s">
        <v>70</v>
      </c>
      <c r="D976" t="s">
        <v>482</v>
      </c>
      <c r="E976">
        <f ca="1">INDIRECT("'Sheet1'!BL150")</f>
        <v>0</v>
      </c>
      <c r="F976" t="b">
        <f t="shared" ca="1" si="138"/>
        <v>0</v>
      </c>
    </row>
    <row r="977" spans="1:6" x14ac:dyDescent="0.25">
      <c r="A977" t="s">
        <v>1514</v>
      </c>
      <c r="B977" t="s">
        <v>1424</v>
      </c>
      <c r="C977" t="s">
        <v>71</v>
      </c>
      <c r="D977" t="s">
        <v>673</v>
      </c>
      <c r="E977">
        <f ca="1">INDIRECT("'Sheet1'!BM150")</f>
        <v>0</v>
      </c>
      <c r="F977" t="b">
        <f t="shared" ca="1" si="138"/>
        <v>0</v>
      </c>
    </row>
    <row r="979" spans="1:6" x14ac:dyDescent="0.25">
      <c r="A979" t="s">
        <v>1518</v>
      </c>
      <c r="B979" t="s">
        <v>1422</v>
      </c>
      <c r="C979" t="s">
        <v>69</v>
      </c>
      <c r="D979">
        <v>182.25</v>
      </c>
      <c r="E979">
        <f ca="1">INDIRECT("'Sheet1'!BK151")</f>
        <v>0</v>
      </c>
      <c r="F979" t="b">
        <f t="shared" ref="F979:F981" ca="1" si="139">E979=D979</f>
        <v>0</v>
      </c>
    </row>
    <row r="980" spans="1:6" x14ac:dyDescent="0.25">
      <c r="A980" t="s">
        <v>1519</v>
      </c>
      <c r="B980" t="s">
        <v>1423</v>
      </c>
      <c r="C980" t="s">
        <v>70</v>
      </c>
      <c r="D980" t="s">
        <v>482</v>
      </c>
      <c r="E980">
        <f ca="1">INDIRECT("'Sheet1'!BL151")</f>
        <v>0</v>
      </c>
      <c r="F980" t="b">
        <f t="shared" ca="1" si="139"/>
        <v>0</v>
      </c>
    </row>
    <row r="981" spans="1:6" x14ac:dyDescent="0.25">
      <c r="A981" t="s">
        <v>1520</v>
      </c>
      <c r="B981" t="s">
        <v>1426</v>
      </c>
      <c r="C981" t="s">
        <v>71</v>
      </c>
      <c r="D981" t="s">
        <v>872</v>
      </c>
      <c r="E981">
        <f ca="1">INDIRECT("'Sheet1'!BM151")</f>
        <v>0</v>
      </c>
      <c r="F981" t="b">
        <f t="shared" ca="1" si="139"/>
        <v>0</v>
      </c>
    </row>
    <row r="983" spans="1:6" x14ac:dyDescent="0.25">
      <c r="A983" t="s">
        <v>1521</v>
      </c>
      <c r="B983" t="s">
        <v>1417</v>
      </c>
      <c r="C983" t="s">
        <v>66</v>
      </c>
      <c r="D983">
        <v>183</v>
      </c>
      <c r="E983">
        <f ca="1">INDIRECT("'Sheet1'!BH152")</f>
        <v>0</v>
      </c>
      <c r="F983" t="b">
        <f t="shared" ref="F983:F988" ca="1" si="140">E983=D983</f>
        <v>0</v>
      </c>
    </row>
    <row r="984" spans="1:6" x14ac:dyDescent="0.25">
      <c r="A984" t="s">
        <v>1522</v>
      </c>
      <c r="B984" t="s">
        <v>1418</v>
      </c>
      <c r="C984" t="s">
        <v>67</v>
      </c>
      <c r="D984" t="s">
        <v>482</v>
      </c>
      <c r="E984">
        <f ca="1">INDIRECT("'Sheet1'!BI152")</f>
        <v>0</v>
      </c>
      <c r="F984" t="b">
        <f t="shared" ca="1" si="140"/>
        <v>0</v>
      </c>
    </row>
    <row r="985" spans="1:6" x14ac:dyDescent="0.25">
      <c r="A985" t="s">
        <v>1523</v>
      </c>
      <c r="B985" t="s">
        <v>1427</v>
      </c>
      <c r="C985" t="s">
        <v>68</v>
      </c>
      <c r="D985" t="s">
        <v>679</v>
      </c>
      <c r="E985">
        <f ca="1">INDIRECT("'Sheet1'!BJ152")</f>
        <v>0</v>
      </c>
      <c r="F985" t="b">
        <f t="shared" ca="1" si="140"/>
        <v>0</v>
      </c>
    </row>
    <row r="986" spans="1:6" x14ac:dyDescent="0.25">
      <c r="A986" t="s">
        <v>1524</v>
      </c>
      <c r="B986" t="s">
        <v>1428</v>
      </c>
      <c r="C986" t="s">
        <v>69</v>
      </c>
      <c r="E986">
        <f ca="1">INDIRECT("'Sheet1'!BK152")</f>
        <v>0</v>
      </c>
      <c r="F986" t="b">
        <f t="shared" ca="1" si="140"/>
        <v>1</v>
      </c>
    </row>
    <row r="987" spans="1:6" x14ac:dyDescent="0.25">
      <c r="A987" t="s">
        <v>1525</v>
      </c>
      <c r="B987" t="s">
        <v>1423</v>
      </c>
      <c r="C987" t="s">
        <v>70</v>
      </c>
      <c r="D987" t="s">
        <v>482</v>
      </c>
      <c r="E987">
        <f ca="1">INDIRECT("'Sheet1'!BL152")</f>
        <v>0</v>
      </c>
      <c r="F987" t="b">
        <f t="shared" ca="1" si="140"/>
        <v>0</v>
      </c>
    </row>
    <row r="988" spans="1:6" x14ac:dyDescent="0.25">
      <c r="A988" t="s">
        <v>1526</v>
      </c>
      <c r="B988" t="s">
        <v>1429</v>
      </c>
      <c r="C988" t="s">
        <v>71</v>
      </c>
      <c r="D988" t="s">
        <v>680</v>
      </c>
      <c r="E988">
        <f ca="1">INDIRECT("'Sheet1'!BM152")</f>
        <v>0</v>
      </c>
      <c r="F988" t="b">
        <f t="shared" ca="1" si="140"/>
        <v>0</v>
      </c>
    </row>
    <row r="990" spans="1:6" x14ac:dyDescent="0.25">
      <c r="A990" t="s">
        <v>1527</v>
      </c>
      <c r="B990" t="s">
        <v>1430</v>
      </c>
      <c r="C990" t="s">
        <v>66</v>
      </c>
      <c r="E990">
        <f ca="1">INDIRECT("'Sheet1'!BH153")</f>
        <v>0</v>
      </c>
      <c r="F990" t="b">
        <f t="shared" ref="F990:F995" ca="1" si="141">E990=D990</f>
        <v>1</v>
      </c>
    </row>
    <row r="991" spans="1:6" x14ac:dyDescent="0.25">
      <c r="A991" t="s">
        <v>1528</v>
      </c>
      <c r="B991" t="s">
        <v>1418</v>
      </c>
      <c r="C991" t="s">
        <v>67</v>
      </c>
      <c r="D991" t="s">
        <v>1669</v>
      </c>
      <c r="E991">
        <f ca="1">INDIRECT("'Sheet1'!BI153")</f>
        <v>0</v>
      </c>
      <c r="F991" t="b">
        <f t="shared" ca="1" si="141"/>
        <v>0</v>
      </c>
    </row>
    <row r="992" spans="1:6" x14ac:dyDescent="0.25">
      <c r="A992" t="s">
        <v>1529</v>
      </c>
      <c r="B992" t="s">
        <v>1431</v>
      </c>
      <c r="C992" t="s">
        <v>68</v>
      </c>
      <c r="D992" t="s">
        <v>680</v>
      </c>
      <c r="E992">
        <f ca="1">INDIRECT("'Sheet1'!BJ153")</f>
        <v>0</v>
      </c>
      <c r="F992" t="b">
        <f t="shared" ca="1" si="141"/>
        <v>0</v>
      </c>
    </row>
    <row r="993" spans="1:6" x14ac:dyDescent="0.25">
      <c r="A993" t="s">
        <v>1530</v>
      </c>
      <c r="B993" t="s">
        <v>1422</v>
      </c>
      <c r="C993" t="s">
        <v>69</v>
      </c>
      <c r="D993">
        <v>182.2</v>
      </c>
      <c r="E993">
        <f ca="1">INDIRECT("'Sheet1'!BK153")</f>
        <v>0</v>
      </c>
      <c r="F993" t="b">
        <f t="shared" ca="1" si="141"/>
        <v>0</v>
      </c>
    </row>
    <row r="994" spans="1:6" x14ac:dyDescent="0.25">
      <c r="A994" t="s">
        <v>1531</v>
      </c>
      <c r="B994" t="s">
        <v>1423</v>
      </c>
      <c r="C994" t="s">
        <v>70</v>
      </c>
      <c r="D994" t="s">
        <v>482</v>
      </c>
      <c r="E994">
        <f ca="1">INDIRECT("'Sheet1'!BL153")</f>
        <v>0</v>
      </c>
      <c r="F994" t="b">
        <f t="shared" ca="1" si="141"/>
        <v>0</v>
      </c>
    </row>
    <row r="995" spans="1:6" x14ac:dyDescent="0.25">
      <c r="A995" t="s">
        <v>1532</v>
      </c>
      <c r="B995" t="s">
        <v>1432</v>
      </c>
      <c r="C995" t="s">
        <v>71</v>
      </c>
      <c r="D995" t="s">
        <v>679</v>
      </c>
      <c r="E995">
        <f ca="1">INDIRECT("'Sheet1'!BM153")</f>
        <v>0</v>
      </c>
      <c r="F995" t="b">
        <f t="shared" ca="1" si="141"/>
        <v>0</v>
      </c>
    </row>
    <row r="997" spans="1:6" x14ac:dyDescent="0.25">
      <c r="A997" t="s">
        <v>1533</v>
      </c>
      <c r="B997" t="s">
        <v>1417</v>
      </c>
      <c r="C997" t="s">
        <v>66</v>
      </c>
      <c r="D997">
        <v>183</v>
      </c>
      <c r="E997">
        <f ca="1">INDIRECT("'Sheet1'!BH154")</f>
        <v>0</v>
      </c>
      <c r="F997" t="b">
        <f t="shared" ref="F997:F1002" ca="1" si="142">E997=D997</f>
        <v>0</v>
      </c>
    </row>
    <row r="998" spans="1:6" x14ac:dyDescent="0.25">
      <c r="A998" t="s">
        <v>1534</v>
      </c>
      <c r="B998" t="s">
        <v>1418</v>
      </c>
      <c r="C998" t="s">
        <v>67</v>
      </c>
      <c r="D998" t="s">
        <v>1669</v>
      </c>
      <c r="E998">
        <f ca="1">INDIRECT("'Sheet1'!BI154")</f>
        <v>0</v>
      </c>
      <c r="F998" t="b">
        <f t="shared" ca="1" si="142"/>
        <v>0</v>
      </c>
    </row>
    <row r="999" spans="1:6" x14ac:dyDescent="0.25">
      <c r="A999" t="s">
        <v>1535</v>
      </c>
      <c r="B999" t="s">
        <v>1433</v>
      </c>
      <c r="C999" t="s">
        <v>68</v>
      </c>
      <c r="D999" t="s">
        <v>676</v>
      </c>
      <c r="E999">
        <f ca="1">INDIRECT("'Sheet1'!BJ154")</f>
        <v>0</v>
      </c>
      <c r="F999" t="b">
        <f t="shared" ca="1" si="142"/>
        <v>0</v>
      </c>
    </row>
    <row r="1000" spans="1:6" x14ac:dyDescent="0.25">
      <c r="A1000" t="s">
        <v>1536</v>
      </c>
      <c r="B1000" t="s">
        <v>1422</v>
      </c>
      <c r="C1000" t="s">
        <v>69</v>
      </c>
      <c r="E1000">
        <f ca="1">INDIRECT("'Sheet1'!BK154")</f>
        <v>0</v>
      </c>
      <c r="F1000" t="b">
        <f t="shared" ca="1" si="142"/>
        <v>1</v>
      </c>
    </row>
    <row r="1001" spans="1:6" x14ac:dyDescent="0.25">
      <c r="A1001" t="s">
        <v>1537</v>
      </c>
      <c r="B1001" t="s">
        <v>1423</v>
      </c>
      <c r="C1001" t="s">
        <v>70</v>
      </c>
      <c r="D1001" t="s">
        <v>482</v>
      </c>
      <c r="E1001">
        <f ca="1">INDIRECT("'Sheet1'!BL154")</f>
        <v>0</v>
      </c>
      <c r="F1001" t="b">
        <f t="shared" ca="1" si="142"/>
        <v>0</v>
      </c>
    </row>
    <row r="1002" spans="1:6" x14ac:dyDescent="0.25">
      <c r="A1002" t="s">
        <v>1538</v>
      </c>
      <c r="B1002" t="s">
        <v>1434</v>
      </c>
      <c r="C1002" t="s">
        <v>71</v>
      </c>
      <c r="D1002" t="s">
        <v>676</v>
      </c>
      <c r="E1002">
        <f ca="1">INDIRECT("'Sheet1'!BM154")</f>
        <v>0</v>
      </c>
      <c r="F1002" t="b">
        <f t="shared" ca="1" si="142"/>
        <v>0</v>
      </c>
    </row>
    <row r="1004" spans="1:6" x14ac:dyDescent="0.25">
      <c r="A1004" t="s">
        <v>1539</v>
      </c>
      <c r="B1004" t="s">
        <v>1435</v>
      </c>
      <c r="C1004" t="s">
        <v>72</v>
      </c>
      <c r="D1004">
        <v>181</v>
      </c>
      <c r="E1004">
        <f ca="1">INDIRECT("'Sheet1'!BN155")</f>
        <v>0</v>
      </c>
      <c r="F1004" t="b">
        <f t="shared" ref="F1004:F1006" ca="1" si="143">E1004=D1004</f>
        <v>0</v>
      </c>
    </row>
    <row r="1005" spans="1:6" x14ac:dyDescent="0.25">
      <c r="A1005" t="s">
        <v>1540</v>
      </c>
      <c r="B1005" t="s">
        <v>1436</v>
      </c>
      <c r="C1005" t="s">
        <v>73</v>
      </c>
      <c r="D1005" t="s">
        <v>482</v>
      </c>
      <c r="E1005">
        <f ca="1">INDIRECT("'Sheet1'!BO155")</f>
        <v>0</v>
      </c>
      <c r="F1005" t="b">
        <f t="shared" ca="1" si="143"/>
        <v>0</v>
      </c>
    </row>
    <row r="1006" spans="1:6" x14ac:dyDescent="0.25">
      <c r="A1006" t="s">
        <v>1541</v>
      </c>
      <c r="B1006" t="s">
        <v>1437</v>
      </c>
      <c r="C1006" t="s">
        <v>74</v>
      </c>
      <c r="D1006" t="s">
        <v>673</v>
      </c>
      <c r="E1006">
        <f ca="1">INDIRECT("'Sheet1'!BP155")</f>
        <v>0</v>
      </c>
      <c r="F1006" t="b">
        <f t="shared" ca="1" si="143"/>
        <v>0</v>
      </c>
    </row>
    <row r="1008" spans="1:6" x14ac:dyDescent="0.25">
      <c r="A1008" t="s">
        <v>1542</v>
      </c>
      <c r="B1008" t="s">
        <v>1435</v>
      </c>
      <c r="C1008" t="s">
        <v>72</v>
      </c>
      <c r="D1008">
        <v>181</v>
      </c>
      <c r="E1008">
        <f ca="1">INDIRECT("'Sheet1'!BN156")</f>
        <v>0</v>
      </c>
      <c r="F1008" t="b">
        <f t="shared" ref="F1008:F1010" ca="1" si="144">E1008=D1008</f>
        <v>0</v>
      </c>
    </row>
    <row r="1009" spans="1:6" x14ac:dyDescent="0.25">
      <c r="A1009" t="s">
        <v>1543</v>
      </c>
      <c r="B1009" t="s">
        <v>1436</v>
      </c>
      <c r="C1009" t="s">
        <v>73</v>
      </c>
      <c r="D1009" t="s">
        <v>1669</v>
      </c>
      <c r="E1009">
        <f ca="1">INDIRECT("'Sheet1'!BO156")</f>
        <v>0</v>
      </c>
      <c r="F1009" t="b">
        <f t="shared" ca="1" si="144"/>
        <v>0</v>
      </c>
    </row>
    <row r="1010" spans="1:6" x14ac:dyDescent="0.25">
      <c r="A1010" t="s">
        <v>1544</v>
      </c>
      <c r="B1010" t="s">
        <v>1438</v>
      </c>
      <c r="C1010" t="s">
        <v>74</v>
      </c>
      <c r="D1010" t="s">
        <v>871</v>
      </c>
      <c r="E1010">
        <f ca="1">INDIRECT("'Sheet1'!BP156")</f>
        <v>0</v>
      </c>
      <c r="F1010" t="b">
        <f t="shared" ca="1" si="144"/>
        <v>0</v>
      </c>
    </row>
    <row r="1012" spans="1:6" x14ac:dyDescent="0.25">
      <c r="A1012" t="s">
        <v>1545</v>
      </c>
      <c r="B1012" t="s">
        <v>1435</v>
      </c>
      <c r="C1012" t="s">
        <v>72</v>
      </c>
      <c r="D1012">
        <v>181.2</v>
      </c>
      <c r="E1012">
        <f ca="1">INDIRECT("'Sheet1'!BN157")</f>
        <v>0</v>
      </c>
      <c r="F1012" t="b">
        <f t="shared" ref="F1012:F1014" ca="1" si="145">E1012=D1012</f>
        <v>0</v>
      </c>
    </row>
    <row r="1013" spans="1:6" x14ac:dyDescent="0.25">
      <c r="A1013" t="s">
        <v>1546</v>
      </c>
      <c r="B1013" t="s">
        <v>1436</v>
      </c>
      <c r="C1013" t="s">
        <v>73</v>
      </c>
      <c r="D1013" t="s">
        <v>482</v>
      </c>
      <c r="E1013">
        <f ca="1">INDIRECT("'Sheet1'!BO157")</f>
        <v>0</v>
      </c>
      <c r="F1013" t="b">
        <f t="shared" ca="1" si="145"/>
        <v>0</v>
      </c>
    </row>
    <row r="1014" spans="1:6" x14ac:dyDescent="0.25">
      <c r="A1014" t="s">
        <v>1547</v>
      </c>
      <c r="B1014" t="s">
        <v>1437</v>
      </c>
      <c r="C1014" t="s">
        <v>74</v>
      </c>
      <c r="D1014" t="s">
        <v>673</v>
      </c>
      <c r="E1014">
        <f ca="1">INDIRECT("'Sheet1'!BP157")</f>
        <v>0</v>
      </c>
      <c r="F1014" t="b">
        <f t="shared" ca="1" si="145"/>
        <v>0</v>
      </c>
    </row>
    <row r="1016" spans="1:6" x14ac:dyDescent="0.25">
      <c r="A1016" t="s">
        <v>1548</v>
      </c>
      <c r="B1016" t="s">
        <v>1435</v>
      </c>
      <c r="C1016" t="s">
        <v>72</v>
      </c>
      <c r="D1016">
        <v>181.25</v>
      </c>
      <c r="E1016">
        <f ca="1">INDIRECT("'Sheet1'!BN158")</f>
        <v>0</v>
      </c>
      <c r="F1016" t="b">
        <f t="shared" ref="F1016:F1018" ca="1" si="146">E1016=D1016</f>
        <v>0</v>
      </c>
    </row>
    <row r="1017" spans="1:6" x14ac:dyDescent="0.25">
      <c r="A1017" t="s">
        <v>1549</v>
      </c>
      <c r="B1017" t="s">
        <v>1436</v>
      </c>
      <c r="C1017" t="s">
        <v>73</v>
      </c>
      <c r="D1017" t="s">
        <v>482</v>
      </c>
      <c r="E1017">
        <f ca="1">INDIRECT("'Sheet1'!BO158")</f>
        <v>0</v>
      </c>
      <c r="F1017" t="b">
        <f t="shared" ca="1" si="146"/>
        <v>0</v>
      </c>
    </row>
    <row r="1018" spans="1:6" x14ac:dyDescent="0.25">
      <c r="A1018" t="s">
        <v>1550</v>
      </c>
      <c r="B1018" t="s">
        <v>1439</v>
      </c>
      <c r="C1018" t="s">
        <v>74</v>
      </c>
      <c r="D1018" t="s">
        <v>872</v>
      </c>
      <c r="E1018">
        <f ca="1">INDIRECT("'Sheet1'!BP158")</f>
        <v>0</v>
      </c>
      <c r="F1018" t="b">
        <f t="shared" ca="1" si="146"/>
        <v>0</v>
      </c>
    </row>
    <row r="1020" spans="1:6" x14ac:dyDescent="0.25">
      <c r="A1020" t="s">
        <v>1551</v>
      </c>
      <c r="B1020" t="s">
        <v>1440</v>
      </c>
      <c r="C1020" t="s">
        <v>75</v>
      </c>
      <c r="D1020">
        <v>180</v>
      </c>
      <c r="E1020">
        <f ca="1">INDIRECT("'Sheet1'!BQ159")</f>
        <v>0</v>
      </c>
      <c r="F1020" t="b">
        <f t="shared" ref="F1020:F1022" ca="1" si="147">E1020=D1020</f>
        <v>0</v>
      </c>
    </row>
    <row r="1021" spans="1:6" x14ac:dyDescent="0.25">
      <c r="A1021" t="s">
        <v>1552</v>
      </c>
      <c r="B1021" t="s">
        <v>1441</v>
      </c>
      <c r="C1021" t="s">
        <v>76</v>
      </c>
      <c r="D1021" t="s">
        <v>482</v>
      </c>
      <c r="E1021">
        <f ca="1">INDIRECT("'Sheet1'!BR159")</f>
        <v>0</v>
      </c>
      <c r="F1021" t="b">
        <f t="shared" ca="1" si="147"/>
        <v>0</v>
      </c>
    </row>
    <row r="1022" spans="1:6" x14ac:dyDescent="0.25">
      <c r="A1022" t="s">
        <v>1553</v>
      </c>
      <c r="B1022" t="s">
        <v>1442</v>
      </c>
      <c r="C1022" t="s">
        <v>77</v>
      </c>
      <c r="D1022" t="s">
        <v>677</v>
      </c>
      <c r="E1022">
        <f ca="1">INDIRECT("'Sheet1'!BS159")</f>
        <v>0</v>
      </c>
      <c r="F1022" t="b">
        <f t="shared" ca="1" si="147"/>
        <v>0</v>
      </c>
    </row>
    <row r="1024" spans="1:6" x14ac:dyDescent="0.25">
      <c r="A1024" t="s">
        <v>1554</v>
      </c>
      <c r="B1024" t="s">
        <v>1440</v>
      </c>
      <c r="C1024" t="s">
        <v>75</v>
      </c>
      <c r="D1024">
        <v>180</v>
      </c>
      <c r="E1024">
        <f ca="1">INDIRECT("'Sheet1'!BQ160")</f>
        <v>0</v>
      </c>
      <c r="F1024" t="b">
        <f t="shared" ref="F1024:F1026" ca="1" si="148">E1024=D1024</f>
        <v>0</v>
      </c>
    </row>
    <row r="1025" spans="1:6" x14ac:dyDescent="0.25">
      <c r="A1025" t="s">
        <v>1555</v>
      </c>
      <c r="B1025" t="s">
        <v>1441</v>
      </c>
      <c r="C1025" t="s">
        <v>76</v>
      </c>
      <c r="D1025" t="s">
        <v>1669</v>
      </c>
      <c r="E1025">
        <f ca="1">INDIRECT("'Sheet1'!BR160")</f>
        <v>0</v>
      </c>
      <c r="F1025" t="b">
        <f t="shared" ca="1" si="148"/>
        <v>0</v>
      </c>
    </row>
    <row r="1026" spans="1:6" x14ac:dyDescent="0.25">
      <c r="A1026" t="s">
        <v>1556</v>
      </c>
      <c r="B1026" t="s">
        <v>1443</v>
      </c>
      <c r="C1026" t="s">
        <v>77</v>
      </c>
      <c r="D1026" t="s">
        <v>871</v>
      </c>
      <c r="E1026">
        <f ca="1">INDIRECT("'Sheet1'!BS160")</f>
        <v>0</v>
      </c>
      <c r="F1026" t="b">
        <f t="shared" ca="1" si="148"/>
        <v>0</v>
      </c>
    </row>
    <row r="1028" spans="1:6" x14ac:dyDescent="0.25">
      <c r="A1028" t="s">
        <v>1557</v>
      </c>
      <c r="B1028" t="s">
        <v>1440</v>
      </c>
      <c r="C1028" t="s">
        <v>75</v>
      </c>
      <c r="D1028">
        <v>180.2</v>
      </c>
      <c r="E1028">
        <f ca="1">INDIRECT("'Sheet1'!BQ161")</f>
        <v>0</v>
      </c>
      <c r="F1028" t="b">
        <f t="shared" ref="F1028:F1030" ca="1" si="149">E1028=D1028</f>
        <v>0</v>
      </c>
    </row>
    <row r="1029" spans="1:6" x14ac:dyDescent="0.25">
      <c r="A1029" t="s">
        <v>1558</v>
      </c>
      <c r="B1029" t="s">
        <v>1441</v>
      </c>
      <c r="C1029" t="s">
        <v>76</v>
      </c>
      <c r="D1029" t="s">
        <v>482</v>
      </c>
      <c r="E1029">
        <f ca="1">INDIRECT("'Sheet1'!BR161")</f>
        <v>0</v>
      </c>
      <c r="F1029" t="b">
        <f t="shared" ca="1" si="149"/>
        <v>0</v>
      </c>
    </row>
    <row r="1030" spans="1:6" x14ac:dyDescent="0.25">
      <c r="A1030" t="s">
        <v>1559</v>
      </c>
      <c r="B1030" t="s">
        <v>1444</v>
      </c>
      <c r="C1030" t="s">
        <v>77</v>
      </c>
      <c r="D1030" t="s">
        <v>674</v>
      </c>
      <c r="E1030">
        <f ca="1">INDIRECT("'Sheet1'!BS161")</f>
        <v>0</v>
      </c>
      <c r="F1030" t="b">
        <f t="shared" ca="1" si="149"/>
        <v>0</v>
      </c>
    </row>
    <row r="1032" spans="1:6" x14ac:dyDescent="0.25">
      <c r="A1032" t="s">
        <v>1560</v>
      </c>
      <c r="B1032" t="s">
        <v>1440</v>
      </c>
      <c r="C1032" t="s">
        <v>75</v>
      </c>
      <c r="D1032">
        <v>180.25</v>
      </c>
      <c r="E1032">
        <f ca="1">INDIRECT("'Sheet1'!BQ162")</f>
        <v>0</v>
      </c>
      <c r="F1032" t="b">
        <f t="shared" ref="F1032:F1034" ca="1" si="150">E1032=D1032</f>
        <v>0</v>
      </c>
    </row>
    <row r="1033" spans="1:6" x14ac:dyDescent="0.25">
      <c r="A1033" t="s">
        <v>1561</v>
      </c>
      <c r="B1033" t="s">
        <v>1441</v>
      </c>
      <c r="C1033" t="s">
        <v>76</v>
      </c>
      <c r="D1033" t="s">
        <v>482</v>
      </c>
      <c r="E1033">
        <f ca="1">INDIRECT("'Sheet1'!BR162")</f>
        <v>0</v>
      </c>
      <c r="F1033" t="b">
        <f t="shared" ca="1" si="150"/>
        <v>0</v>
      </c>
    </row>
    <row r="1034" spans="1:6" x14ac:dyDescent="0.25">
      <c r="A1034" t="s">
        <v>1562</v>
      </c>
      <c r="B1034" t="s">
        <v>1445</v>
      </c>
      <c r="C1034" t="s">
        <v>77</v>
      </c>
      <c r="D1034" t="s">
        <v>872</v>
      </c>
      <c r="E1034">
        <f ca="1">INDIRECT("'Sheet1'!BS162")</f>
        <v>0</v>
      </c>
      <c r="F1034" t="b">
        <f t="shared" ca="1" si="150"/>
        <v>0</v>
      </c>
    </row>
    <row r="1036" spans="1:6" x14ac:dyDescent="0.25">
      <c r="A1036" t="s">
        <v>1563</v>
      </c>
      <c r="B1036" t="s">
        <v>1446</v>
      </c>
      <c r="C1036" t="s">
        <v>78</v>
      </c>
      <c r="D1036">
        <v>179</v>
      </c>
      <c r="E1036">
        <f ca="1">INDIRECT("'Sheet1'!BT163")</f>
        <v>0</v>
      </c>
      <c r="F1036" t="b">
        <f t="shared" ref="F1036:F1038" ca="1" si="151">E1036=D1036</f>
        <v>0</v>
      </c>
    </row>
    <row r="1037" spans="1:6" x14ac:dyDescent="0.25">
      <c r="A1037" t="s">
        <v>1564</v>
      </c>
      <c r="B1037" t="s">
        <v>1447</v>
      </c>
      <c r="C1037" t="s">
        <v>79</v>
      </c>
      <c r="D1037" t="s">
        <v>482</v>
      </c>
      <c r="E1037">
        <f ca="1">INDIRECT("'Sheet1'!BU163")</f>
        <v>0</v>
      </c>
      <c r="F1037" t="b">
        <f t="shared" ca="1" si="151"/>
        <v>0</v>
      </c>
    </row>
    <row r="1038" spans="1:6" x14ac:dyDescent="0.25">
      <c r="A1038" t="s">
        <v>1565</v>
      </c>
      <c r="B1038" t="s">
        <v>1448</v>
      </c>
      <c r="C1038" t="s">
        <v>80</v>
      </c>
      <c r="D1038" t="s">
        <v>675</v>
      </c>
      <c r="E1038">
        <f ca="1">INDIRECT("'Sheet1'!BV163")</f>
        <v>0</v>
      </c>
      <c r="F1038" t="b">
        <f t="shared" ca="1" si="151"/>
        <v>0</v>
      </c>
    </row>
    <row r="1040" spans="1:6" x14ac:dyDescent="0.25">
      <c r="A1040" t="s">
        <v>1566</v>
      </c>
      <c r="B1040" t="s">
        <v>1446</v>
      </c>
      <c r="C1040" t="s">
        <v>78</v>
      </c>
      <c r="D1040">
        <v>179</v>
      </c>
      <c r="E1040">
        <f ca="1">INDIRECT("'Sheet1'!BT164")</f>
        <v>0</v>
      </c>
      <c r="F1040" t="b">
        <f t="shared" ref="F1040:F1042" ca="1" si="152">E1040=D1040</f>
        <v>0</v>
      </c>
    </row>
    <row r="1041" spans="1:6" x14ac:dyDescent="0.25">
      <c r="A1041" t="s">
        <v>1567</v>
      </c>
      <c r="B1041" t="s">
        <v>1447</v>
      </c>
      <c r="C1041" t="s">
        <v>79</v>
      </c>
      <c r="D1041" t="s">
        <v>1669</v>
      </c>
      <c r="E1041">
        <f ca="1">INDIRECT("'Sheet1'!BU164")</f>
        <v>0</v>
      </c>
      <c r="F1041" t="b">
        <f t="shared" ca="1" si="152"/>
        <v>0</v>
      </c>
    </row>
    <row r="1042" spans="1:6" x14ac:dyDescent="0.25">
      <c r="A1042" t="s">
        <v>1568</v>
      </c>
      <c r="B1042" t="s">
        <v>1449</v>
      </c>
      <c r="C1042" t="s">
        <v>80</v>
      </c>
      <c r="D1042" t="s">
        <v>871</v>
      </c>
      <c r="E1042">
        <f ca="1">INDIRECT("'Sheet1'!BV164")</f>
        <v>0</v>
      </c>
      <c r="F1042" t="b">
        <f t="shared" ca="1" si="152"/>
        <v>0</v>
      </c>
    </row>
    <row r="1044" spans="1:6" x14ac:dyDescent="0.25">
      <c r="A1044" t="s">
        <v>1569</v>
      </c>
      <c r="B1044" t="s">
        <v>1446</v>
      </c>
      <c r="C1044" t="s">
        <v>78</v>
      </c>
      <c r="D1044">
        <v>179.2</v>
      </c>
      <c r="E1044">
        <f ca="1">INDIRECT("'Sheet1'!BT165")</f>
        <v>0</v>
      </c>
      <c r="F1044" t="b">
        <f t="shared" ref="F1044:F1046" ca="1" si="153">E1044=D1044</f>
        <v>0</v>
      </c>
    </row>
    <row r="1045" spans="1:6" x14ac:dyDescent="0.25">
      <c r="A1045" t="s">
        <v>1570</v>
      </c>
      <c r="B1045" t="s">
        <v>1447</v>
      </c>
      <c r="C1045" t="s">
        <v>79</v>
      </c>
      <c r="D1045" t="s">
        <v>482</v>
      </c>
      <c r="E1045">
        <f ca="1">INDIRECT("'Sheet1'!BU165")</f>
        <v>0</v>
      </c>
      <c r="F1045" t="b">
        <f t="shared" ca="1" si="153"/>
        <v>0</v>
      </c>
    </row>
    <row r="1046" spans="1:6" x14ac:dyDescent="0.25">
      <c r="A1046" t="s">
        <v>1571</v>
      </c>
      <c r="B1046" t="s">
        <v>1450</v>
      </c>
      <c r="C1046" t="s">
        <v>80</v>
      </c>
      <c r="D1046" t="s">
        <v>678</v>
      </c>
      <c r="E1046">
        <f ca="1">INDIRECT("'Sheet1'!BV165")</f>
        <v>0</v>
      </c>
      <c r="F1046" t="b">
        <f t="shared" ca="1" si="153"/>
        <v>0</v>
      </c>
    </row>
    <row r="1048" spans="1:6" x14ac:dyDescent="0.25">
      <c r="A1048" t="s">
        <v>1572</v>
      </c>
      <c r="B1048" t="s">
        <v>1446</v>
      </c>
      <c r="C1048" t="s">
        <v>78</v>
      </c>
      <c r="D1048">
        <v>179.25</v>
      </c>
      <c r="E1048">
        <f ca="1">INDIRECT("'Sheet1'!BT166")</f>
        <v>0</v>
      </c>
      <c r="F1048" t="b">
        <f t="shared" ref="F1048:F1050" ca="1" si="154">E1048=D1048</f>
        <v>0</v>
      </c>
    </row>
    <row r="1049" spans="1:6" x14ac:dyDescent="0.25">
      <c r="A1049" t="s">
        <v>1573</v>
      </c>
      <c r="B1049" t="s">
        <v>1447</v>
      </c>
      <c r="C1049" t="s">
        <v>79</v>
      </c>
      <c r="D1049" t="s">
        <v>482</v>
      </c>
      <c r="E1049">
        <f ca="1">INDIRECT("'Sheet1'!BU166")</f>
        <v>0</v>
      </c>
      <c r="F1049" t="b">
        <f t="shared" ca="1" si="154"/>
        <v>0</v>
      </c>
    </row>
    <row r="1050" spans="1:6" x14ac:dyDescent="0.25">
      <c r="A1050" t="s">
        <v>1574</v>
      </c>
      <c r="B1050" t="s">
        <v>1451</v>
      </c>
      <c r="C1050" t="s">
        <v>80</v>
      </c>
      <c r="D1050" t="s">
        <v>872</v>
      </c>
      <c r="E1050">
        <f ca="1">INDIRECT("'Sheet1'!BV166")</f>
        <v>0</v>
      </c>
      <c r="F1050" t="b">
        <f t="shared" ca="1" si="154"/>
        <v>0</v>
      </c>
    </row>
    <row r="1052" spans="1:6" x14ac:dyDescent="0.25">
      <c r="A1052" t="s">
        <v>1575</v>
      </c>
      <c r="B1052" t="s">
        <v>1417</v>
      </c>
      <c r="C1052" t="s">
        <v>66</v>
      </c>
      <c r="D1052">
        <v>1.83</v>
      </c>
      <c r="E1052">
        <f ca="1">INDIRECT("'Sheet1'!BH167")</f>
        <v>0</v>
      </c>
      <c r="F1052" t="b">
        <f t="shared" ref="F1052:F1066" ca="1" si="155">E1052=D1052</f>
        <v>0</v>
      </c>
    </row>
    <row r="1053" spans="1:6" x14ac:dyDescent="0.25">
      <c r="A1053" t="s">
        <v>1576</v>
      </c>
      <c r="B1053" t="s">
        <v>1418</v>
      </c>
      <c r="C1053" t="s">
        <v>67</v>
      </c>
      <c r="D1053" t="s">
        <v>95</v>
      </c>
      <c r="E1053">
        <f ca="1">INDIRECT("'Sheet1'!BI167")</f>
        <v>0</v>
      </c>
      <c r="F1053" t="b">
        <f t="shared" ca="1" si="155"/>
        <v>0</v>
      </c>
    </row>
    <row r="1054" spans="1:6" x14ac:dyDescent="0.25">
      <c r="A1054" t="s">
        <v>1577</v>
      </c>
      <c r="B1054" t="s">
        <v>1427</v>
      </c>
      <c r="C1054" t="s">
        <v>68</v>
      </c>
      <c r="D1054" t="s">
        <v>679</v>
      </c>
      <c r="E1054">
        <f ca="1">INDIRECT("'Sheet1'!BJ167")</f>
        <v>0</v>
      </c>
      <c r="F1054" t="b">
        <f t="shared" ca="1" si="155"/>
        <v>0</v>
      </c>
    </row>
    <row r="1055" spans="1:6" x14ac:dyDescent="0.25">
      <c r="A1055" t="s">
        <v>1578</v>
      </c>
      <c r="B1055" t="s">
        <v>1428</v>
      </c>
      <c r="C1055" t="s">
        <v>69</v>
      </c>
      <c r="E1055">
        <f ca="1">INDIRECT("'Sheet1'!BK167")</f>
        <v>0</v>
      </c>
      <c r="F1055" t="b">
        <f t="shared" ca="1" si="155"/>
        <v>1</v>
      </c>
    </row>
    <row r="1056" spans="1:6" x14ac:dyDescent="0.25">
      <c r="A1056" t="s">
        <v>1579</v>
      </c>
      <c r="B1056" t="s">
        <v>1423</v>
      </c>
      <c r="C1056" t="s">
        <v>70</v>
      </c>
      <c r="D1056" t="s">
        <v>482</v>
      </c>
      <c r="E1056">
        <f ca="1">INDIRECT("'Sheet1'!BL167")</f>
        <v>0</v>
      </c>
      <c r="F1056" t="b">
        <f t="shared" ca="1" si="155"/>
        <v>0</v>
      </c>
    </row>
    <row r="1057" spans="1:6" x14ac:dyDescent="0.25">
      <c r="A1057" t="s">
        <v>1580</v>
      </c>
      <c r="B1057" t="s">
        <v>1429</v>
      </c>
      <c r="C1057" t="s">
        <v>71</v>
      </c>
      <c r="D1057" t="s">
        <v>680</v>
      </c>
      <c r="E1057">
        <f ca="1">INDIRECT("'Sheet1'!BM167")</f>
        <v>0</v>
      </c>
      <c r="F1057" t="b">
        <f t="shared" ca="1" si="155"/>
        <v>0</v>
      </c>
    </row>
    <row r="1058" spans="1:6" x14ac:dyDescent="0.25">
      <c r="A1058" t="s">
        <v>1581</v>
      </c>
      <c r="B1058" t="s">
        <v>1452</v>
      </c>
      <c r="C1058" t="s">
        <v>72</v>
      </c>
      <c r="E1058">
        <f ca="1">INDIRECT("'Sheet1'!BN167")</f>
        <v>0</v>
      </c>
      <c r="F1058" t="b">
        <f t="shared" ca="1" si="155"/>
        <v>1</v>
      </c>
    </row>
    <row r="1059" spans="1:6" x14ac:dyDescent="0.25">
      <c r="A1059" t="s">
        <v>1582</v>
      </c>
      <c r="B1059" t="s">
        <v>1436</v>
      </c>
      <c r="C1059" t="s">
        <v>73</v>
      </c>
      <c r="D1059" t="s">
        <v>482</v>
      </c>
      <c r="E1059">
        <f ca="1">INDIRECT("'Sheet1'!BO167")</f>
        <v>0</v>
      </c>
      <c r="F1059" t="b">
        <f t="shared" ca="1" si="155"/>
        <v>0</v>
      </c>
    </row>
    <row r="1060" spans="1:6" x14ac:dyDescent="0.25">
      <c r="A1060" t="s">
        <v>1583</v>
      </c>
      <c r="B1060" t="s">
        <v>1437</v>
      </c>
      <c r="C1060" t="s">
        <v>74</v>
      </c>
      <c r="D1060" t="s">
        <v>673</v>
      </c>
      <c r="E1060">
        <f ca="1">INDIRECT("'Sheet1'!BP167")</f>
        <v>0</v>
      </c>
      <c r="F1060" t="b">
        <f t="shared" ca="1" si="155"/>
        <v>0</v>
      </c>
    </row>
    <row r="1061" spans="1:6" x14ac:dyDescent="0.25">
      <c r="A1061" t="s">
        <v>1584</v>
      </c>
      <c r="B1061" t="s">
        <v>1453</v>
      </c>
      <c r="C1061" t="s">
        <v>75</v>
      </c>
      <c r="E1061">
        <f ca="1">INDIRECT("'Sheet1'!BQ167")</f>
        <v>0</v>
      </c>
      <c r="F1061" t="b">
        <f t="shared" ca="1" si="155"/>
        <v>1</v>
      </c>
    </row>
    <row r="1062" spans="1:6" x14ac:dyDescent="0.25">
      <c r="A1062" t="s">
        <v>1585</v>
      </c>
      <c r="B1062" t="s">
        <v>1441</v>
      </c>
      <c r="C1062" t="s">
        <v>76</v>
      </c>
      <c r="D1062" t="s">
        <v>482</v>
      </c>
      <c r="E1062">
        <f ca="1">INDIRECT("'Sheet1'!BR167")</f>
        <v>0</v>
      </c>
      <c r="F1062" t="b">
        <f t="shared" ca="1" si="155"/>
        <v>0</v>
      </c>
    </row>
    <row r="1063" spans="1:6" x14ac:dyDescent="0.25">
      <c r="A1063" t="s">
        <v>1586</v>
      </c>
      <c r="B1063" t="s">
        <v>1442</v>
      </c>
      <c r="C1063" t="s">
        <v>77</v>
      </c>
      <c r="D1063" t="s">
        <v>677</v>
      </c>
      <c r="E1063">
        <f ca="1">INDIRECT("'Sheet1'!BS167")</f>
        <v>0</v>
      </c>
      <c r="F1063" t="b">
        <f t="shared" ca="1" si="155"/>
        <v>0</v>
      </c>
    </row>
    <row r="1064" spans="1:6" x14ac:dyDescent="0.25">
      <c r="A1064" t="s">
        <v>1587</v>
      </c>
      <c r="B1064" t="s">
        <v>1454</v>
      </c>
      <c r="C1064" t="s">
        <v>78</v>
      </c>
      <c r="E1064">
        <f ca="1">INDIRECT("'Sheet1'!BT167")</f>
        <v>0</v>
      </c>
      <c r="F1064" t="b">
        <f t="shared" ca="1" si="155"/>
        <v>1</v>
      </c>
    </row>
    <row r="1065" spans="1:6" x14ac:dyDescent="0.25">
      <c r="A1065" t="s">
        <v>1588</v>
      </c>
      <c r="B1065" t="s">
        <v>1447</v>
      </c>
      <c r="C1065" t="s">
        <v>79</v>
      </c>
      <c r="D1065" t="s">
        <v>482</v>
      </c>
      <c r="E1065">
        <f ca="1">INDIRECT("'Sheet1'!BU167")</f>
        <v>0</v>
      </c>
      <c r="F1065" t="b">
        <f t="shared" ca="1" si="155"/>
        <v>0</v>
      </c>
    </row>
    <row r="1066" spans="1:6" x14ac:dyDescent="0.25">
      <c r="A1066" t="s">
        <v>1589</v>
      </c>
      <c r="B1066" t="s">
        <v>1448</v>
      </c>
      <c r="C1066" t="s">
        <v>80</v>
      </c>
      <c r="D1066" t="s">
        <v>675</v>
      </c>
      <c r="E1066">
        <f ca="1">INDIRECT("'Sheet1'!BV167")</f>
        <v>0</v>
      </c>
      <c r="F1066" t="b">
        <f t="shared" ca="1" si="155"/>
        <v>0</v>
      </c>
    </row>
    <row r="1068" spans="1:6" x14ac:dyDescent="0.25">
      <c r="A1068" t="s">
        <v>1590</v>
      </c>
      <c r="B1068" t="s">
        <v>1422</v>
      </c>
      <c r="C1068" t="s">
        <v>69</v>
      </c>
      <c r="D1068">
        <v>182</v>
      </c>
      <c r="E1068">
        <f ca="1">INDIRECT("'Sheet1'!BK168")</f>
        <v>0</v>
      </c>
      <c r="F1068" t="b">
        <f t="shared" ref="F1068:F1079" ca="1" si="156">E1068=D1068</f>
        <v>0</v>
      </c>
    </row>
    <row r="1069" spans="1:6" x14ac:dyDescent="0.25">
      <c r="A1069" t="s">
        <v>1591</v>
      </c>
      <c r="B1069" t="s">
        <v>1423</v>
      </c>
      <c r="C1069" t="s">
        <v>70</v>
      </c>
      <c r="D1069" t="s">
        <v>482</v>
      </c>
      <c r="E1069">
        <f ca="1">INDIRECT("'Sheet1'!BL168")</f>
        <v>0</v>
      </c>
      <c r="F1069" t="b">
        <f t="shared" ca="1" si="156"/>
        <v>0</v>
      </c>
    </row>
    <row r="1070" spans="1:6" x14ac:dyDescent="0.25">
      <c r="A1070" t="s">
        <v>1592</v>
      </c>
      <c r="B1070" t="s">
        <v>1424</v>
      </c>
      <c r="C1070" t="s">
        <v>71</v>
      </c>
      <c r="D1070" t="s">
        <v>673</v>
      </c>
      <c r="E1070">
        <f ca="1">INDIRECT("'Sheet1'!BM168")</f>
        <v>0</v>
      </c>
      <c r="F1070" t="b">
        <f t="shared" ca="1" si="156"/>
        <v>0</v>
      </c>
    </row>
    <row r="1071" spans="1:6" x14ac:dyDescent="0.25">
      <c r="A1071" t="s">
        <v>1593</v>
      </c>
      <c r="B1071" t="s">
        <v>1452</v>
      </c>
      <c r="C1071" t="s">
        <v>72</v>
      </c>
      <c r="E1071">
        <f ca="1">INDIRECT("'Sheet1'!BN168")</f>
        <v>0</v>
      </c>
      <c r="F1071" t="b">
        <f t="shared" ca="1" si="156"/>
        <v>1</v>
      </c>
    </row>
    <row r="1072" spans="1:6" x14ac:dyDescent="0.25">
      <c r="A1072" t="s">
        <v>1594</v>
      </c>
      <c r="B1072" t="s">
        <v>1436</v>
      </c>
      <c r="C1072" t="s">
        <v>73</v>
      </c>
      <c r="D1072" t="s">
        <v>482</v>
      </c>
      <c r="E1072">
        <f ca="1">INDIRECT("'Sheet1'!BO168")</f>
        <v>0</v>
      </c>
      <c r="F1072" t="b">
        <f t="shared" ca="1" si="156"/>
        <v>0</v>
      </c>
    </row>
    <row r="1073" spans="1:6" x14ac:dyDescent="0.25">
      <c r="A1073" t="s">
        <v>1595</v>
      </c>
      <c r="B1073" t="s">
        <v>1437</v>
      </c>
      <c r="C1073" t="s">
        <v>74</v>
      </c>
      <c r="D1073" t="s">
        <v>673</v>
      </c>
      <c r="E1073">
        <f ca="1">INDIRECT("'Sheet1'!BP168")</f>
        <v>0</v>
      </c>
      <c r="F1073" t="b">
        <f t="shared" ca="1" si="156"/>
        <v>0</v>
      </c>
    </row>
    <row r="1074" spans="1:6" x14ac:dyDescent="0.25">
      <c r="A1074" t="s">
        <v>1596</v>
      </c>
      <c r="B1074" t="s">
        <v>1453</v>
      </c>
      <c r="C1074" t="s">
        <v>75</v>
      </c>
      <c r="E1074">
        <f ca="1">INDIRECT("'Sheet1'!BQ168")</f>
        <v>0</v>
      </c>
      <c r="F1074" t="b">
        <f t="shared" ca="1" si="156"/>
        <v>1</v>
      </c>
    </row>
    <row r="1075" spans="1:6" x14ac:dyDescent="0.25">
      <c r="A1075" t="s">
        <v>1597</v>
      </c>
      <c r="B1075" t="s">
        <v>1441</v>
      </c>
      <c r="C1075" t="s">
        <v>76</v>
      </c>
      <c r="D1075" t="s">
        <v>482</v>
      </c>
      <c r="E1075">
        <f ca="1">INDIRECT("'Sheet1'!BR168")</f>
        <v>0</v>
      </c>
      <c r="F1075" t="b">
        <f t="shared" ca="1" si="156"/>
        <v>0</v>
      </c>
    </row>
    <row r="1076" spans="1:6" x14ac:dyDescent="0.25">
      <c r="A1076" t="s">
        <v>1598</v>
      </c>
      <c r="B1076" t="s">
        <v>1442</v>
      </c>
      <c r="C1076" t="s">
        <v>77</v>
      </c>
      <c r="D1076" t="s">
        <v>677</v>
      </c>
      <c r="E1076">
        <f ca="1">INDIRECT("'Sheet1'!BS168")</f>
        <v>0</v>
      </c>
      <c r="F1076" t="b">
        <f t="shared" ca="1" si="156"/>
        <v>0</v>
      </c>
    </row>
    <row r="1077" spans="1:6" x14ac:dyDescent="0.25">
      <c r="A1077" t="s">
        <v>1599</v>
      </c>
      <c r="B1077" t="s">
        <v>1454</v>
      </c>
      <c r="C1077" t="s">
        <v>78</v>
      </c>
      <c r="E1077">
        <f ca="1">INDIRECT("'Sheet1'!BT168")</f>
        <v>0</v>
      </c>
      <c r="F1077" t="b">
        <f t="shared" ca="1" si="156"/>
        <v>1</v>
      </c>
    </row>
    <row r="1078" spans="1:6" x14ac:dyDescent="0.25">
      <c r="A1078" t="s">
        <v>1600</v>
      </c>
      <c r="B1078" t="s">
        <v>1447</v>
      </c>
      <c r="C1078" t="s">
        <v>79</v>
      </c>
      <c r="D1078" t="s">
        <v>482</v>
      </c>
      <c r="E1078">
        <f ca="1">INDIRECT("'Sheet1'!BU168")</f>
        <v>0</v>
      </c>
      <c r="F1078" t="b">
        <f t="shared" ca="1" si="156"/>
        <v>0</v>
      </c>
    </row>
    <row r="1079" spans="1:6" x14ac:dyDescent="0.25">
      <c r="A1079" t="s">
        <v>1601</v>
      </c>
      <c r="B1079" t="s">
        <v>1448</v>
      </c>
      <c r="C1079" t="s">
        <v>80</v>
      </c>
      <c r="D1079" t="s">
        <v>675</v>
      </c>
      <c r="E1079">
        <f ca="1">INDIRECT("'Sheet1'!BV168")</f>
        <v>0</v>
      </c>
      <c r="F1079" t="b">
        <f t="shared" ca="1" si="156"/>
        <v>0</v>
      </c>
    </row>
    <row r="1081" spans="1:6" x14ac:dyDescent="0.25">
      <c r="A1081" t="s">
        <v>1602</v>
      </c>
      <c r="B1081" t="s">
        <v>1435</v>
      </c>
      <c r="C1081" t="s">
        <v>72</v>
      </c>
      <c r="D1081">
        <v>181</v>
      </c>
      <c r="E1081">
        <f ca="1">INDIRECT("'Sheet1'!BN169")</f>
        <v>0</v>
      </c>
      <c r="F1081" t="b">
        <f t="shared" ref="F1081:F1089" ca="1" si="157">E1081=D1081</f>
        <v>0</v>
      </c>
    </row>
    <row r="1082" spans="1:6" x14ac:dyDescent="0.25">
      <c r="A1082" t="s">
        <v>1603</v>
      </c>
      <c r="B1082" t="s">
        <v>1436</v>
      </c>
      <c r="C1082" t="s">
        <v>73</v>
      </c>
      <c r="D1082" t="s">
        <v>482</v>
      </c>
      <c r="E1082">
        <f ca="1">INDIRECT("'Sheet1'!BO169")</f>
        <v>0</v>
      </c>
      <c r="F1082" t="b">
        <f t="shared" ca="1" si="157"/>
        <v>0</v>
      </c>
    </row>
    <row r="1083" spans="1:6" x14ac:dyDescent="0.25">
      <c r="A1083" t="s">
        <v>1604</v>
      </c>
      <c r="B1083" t="s">
        <v>1437</v>
      </c>
      <c r="C1083" t="s">
        <v>74</v>
      </c>
      <c r="D1083" t="s">
        <v>673</v>
      </c>
      <c r="E1083">
        <f ca="1">INDIRECT("'Sheet1'!BP169")</f>
        <v>0</v>
      </c>
      <c r="F1083" t="b">
        <f t="shared" ca="1" si="157"/>
        <v>0</v>
      </c>
    </row>
    <row r="1084" spans="1:6" x14ac:dyDescent="0.25">
      <c r="A1084" t="s">
        <v>1605</v>
      </c>
      <c r="B1084" t="s">
        <v>1453</v>
      </c>
      <c r="C1084" t="s">
        <v>75</v>
      </c>
      <c r="E1084">
        <f ca="1">INDIRECT("'Sheet1'!BQ169")</f>
        <v>0</v>
      </c>
      <c r="F1084" t="b">
        <f t="shared" ca="1" si="157"/>
        <v>1</v>
      </c>
    </row>
    <row r="1085" spans="1:6" x14ac:dyDescent="0.25">
      <c r="A1085" t="s">
        <v>1606</v>
      </c>
      <c r="B1085" t="s">
        <v>1441</v>
      </c>
      <c r="C1085" t="s">
        <v>76</v>
      </c>
      <c r="D1085" t="s">
        <v>482</v>
      </c>
      <c r="E1085">
        <f ca="1">INDIRECT("'Sheet1'!BR169")</f>
        <v>0</v>
      </c>
      <c r="F1085" t="b">
        <f t="shared" ca="1" si="157"/>
        <v>0</v>
      </c>
    </row>
    <row r="1086" spans="1:6" x14ac:dyDescent="0.25">
      <c r="A1086" t="s">
        <v>1607</v>
      </c>
      <c r="B1086" t="s">
        <v>1442</v>
      </c>
      <c r="C1086" t="s">
        <v>77</v>
      </c>
      <c r="D1086" t="s">
        <v>677</v>
      </c>
      <c r="E1086">
        <f ca="1">INDIRECT("'Sheet1'!BS169")</f>
        <v>0</v>
      </c>
      <c r="F1086" t="b">
        <f t="shared" ca="1" si="157"/>
        <v>0</v>
      </c>
    </row>
    <row r="1087" spans="1:6" x14ac:dyDescent="0.25">
      <c r="A1087" t="s">
        <v>1608</v>
      </c>
      <c r="B1087" t="s">
        <v>1454</v>
      </c>
      <c r="C1087" t="s">
        <v>78</v>
      </c>
      <c r="E1087">
        <f ca="1">INDIRECT("'Sheet1'!BT169")</f>
        <v>0</v>
      </c>
      <c r="F1087" t="b">
        <f t="shared" ca="1" si="157"/>
        <v>1</v>
      </c>
    </row>
    <row r="1088" spans="1:6" x14ac:dyDescent="0.25">
      <c r="A1088" t="s">
        <v>1609</v>
      </c>
      <c r="B1088" t="s">
        <v>1447</v>
      </c>
      <c r="C1088" t="s">
        <v>79</v>
      </c>
      <c r="D1088" t="s">
        <v>482</v>
      </c>
      <c r="E1088">
        <f ca="1">INDIRECT("'Sheet1'!BU169")</f>
        <v>0</v>
      </c>
      <c r="F1088" t="b">
        <f t="shared" ca="1" si="157"/>
        <v>0</v>
      </c>
    </row>
    <row r="1089" spans="1:6" x14ac:dyDescent="0.25">
      <c r="A1089" t="s">
        <v>1610</v>
      </c>
      <c r="B1089" t="s">
        <v>1448</v>
      </c>
      <c r="C1089" t="s">
        <v>80</v>
      </c>
      <c r="D1089" t="s">
        <v>675</v>
      </c>
      <c r="E1089">
        <f ca="1">INDIRECT("'Sheet1'!BV169")</f>
        <v>0</v>
      </c>
      <c r="F1089" t="b">
        <f t="shared" ca="1" si="157"/>
        <v>0</v>
      </c>
    </row>
    <row r="1091" spans="1:6" x14ac:dyDescent="0.25">
      <c r="A1091" t="s">
        <v>1611</v>
      </c>
      <c r="B1091" t="s">
        <v>1440</v>
      </c>
      <c r="C1091" t="s">
        <v>75</v>
      </c>
      <c r="D1091">
        <v>180</v>
      </c>
      <c r="E1091">
        <f ca="1">INDIRECT("'Sheet1'!BQ170")</f>
        <v>0</v>
      </c>
      <c r="F1091" t="b">
        <f t="shared" ref="F1091:F1096" ca="1" si="158">E1091=D1091</f>
        <v>0</v>
      </c>
    </row>
    <row r="1092" spans="1:6" x14ac:dyDescent="0.25">
      <c r="A1092" t="s">
        <v>1612</v>
      </c>
      <c r="B1092" t="s">
        <v>1441</v>
      </c>
      <c r="C1092" t="s">
        <v>76</v>
      </c>
      <c r="D1092" t="s">
        <v>482</v>
      </c>
      <c r="E1092">
        <f ca="1">INDIRECT("'Sheet1'!BR170")</f>
        <v>0</v>
      </c>
      <c r="F1092" t="b">
        <f t="shared" ca="1" si="158"/>
        <v>0</v>
      </c>
    </row>
    <row r="1093" spans="1:6" x14ac:dyDescent="0.25">
      <c r="A1093" t="s">
        <v>1613</v>
      </c>
      <c r="B1093" t="s">
        <v>1442</v>
      </c>
      <c r="C1093" t="s">
        <v>77</v>
      </c>
      <c r="D1093" t="s">
        <v>677</v>
      </c>
      <c r="E1093">
        <f ca="1">INDIRECT("'Sheet1'!BS170")</f>
        <v>0</v>
      </c>
      <c r="F1093" t="b">
        <f t="shared" ca="1" si="158"/>
        <v>0</v>
      </c>
    </row>
    <row r="1094" spans="1:6" x14ac:dyDescent="0.25">
      <c r="A1094" t="s">
        <v>1614</v>
      </c>
      <c r="B1094" t="s">
        <v>1454</v>
      </c>
      <c r="C1094" t="s">
        <v>78</v>
      </c>
      <c r="E1094">
        <f ca="1">INDIRECT("'Sheet1'!BT170")</f>
        <v>0</v>
      </c>
      <c r="F1094" t="b">
        <f t="shared" ca="1" si="158"/>
        <v>1</v>
      </c>
    </row>
    <row r="1095" spans="1:6" x14ac:dyDescent="0.25">
      <c r="A1095" t="s">
        <v>1615</v>
      </c>
      <c r="B1095" t="s">
        <v>1447</v>
      </c>
      <c r="C1095" t="s">
        <v>79</v>
      </c>
      <c r="D1095" t="s">
        <v>482</v>
      </c>
      <c r="E1095">
        <f ca="1">INDIRECT("'Sheet1'!BU170")</f>
        <v>0</v>
      </c>
      <c r="F1095" t="b">
        <f t="shared" ca="1" si="158"/>
        <v>0</v>
      </c>
    </row>
    <row r="1096" spans="1:6" x14ac:dyDescent="0.25">
      <c r="A1096" t="s">
        <v>1616</v>
      </c>
      <c r="B1096" t="s">
        <v>1448</v>
      </c>
      <c r="C1096" t="s">
        <v>80</v>
      </c>
      <c r="D1096" t="s">
        <v>675</v>
      </c>
      <c r="E1096">
        <f ca="1">INDIRECT("'Sheet1'!BV170")</f>
        <v>0</v>
      </c>
      <c r="F1096" t="b">
        <f t="shared" ca="1" si="158"/>
        <v>0</v>
      </c>
    </row>
    <row r="1098" spans="1:6" x14ac:dyDescent="0.25">
      <c r="A1098" t="s">
        <v>1617</v>
      </c>
      <c r="B1098" t="s">
        <v>1430</v>
      </c>
      <c r="C1098" t="s">
        <v>66</v>
      </c>
      <c r="E1098">
        <f ca="1">INDIRECT("'Sheet1'!BH171")</f>
        <v>0</v>
      </c>
      <c r="F1098" t="b">
        <f t="shared" ref="F1098:F1112" ca="1" si="159">E1098=D1098</f>
        <v>1</v>
      </c>
    </row>
    <row r="1099" spans="1:6" x14ac:dyDescent="0.25">
      <c r="A1099" t="s">
        <v>1618</v>
      </c>
      <c r="B1099" t="s">
        <v>1418</v>
      </c>
      <c r="C1099" t="s">
        <v>67</v>
      </c>
      <c r="D1099" t="s">
        <v>95</v>
      </c>
      <c r="E1099">
        <f ca="1">INDIRECT("'Sheet1'!BI171")</f>
        <v>0</v>
      </c>
      <c r="F1099" t="b">
        <f t="shared" ca="1" si="159"/>
        <v>0</v>
      </c>
    </row>
    <row r="1100" spans="1:6" x14ac:dyDescent="0.25">
      <c r="A1100" t="s">
        <v>1619</v>
      </c>
      <c r="B1100" t="s">
        <v>1455</v>
      </c>
      <c r="C1100" t="s">
        <v>68</v>
      </c>
      <c r="D1100" t="s">
        <v>871</v>
      </c>
      <c r="E1100">
        <f ca="1">INDIRECT("'Sheet1'!BJ171")</f>
        <v>0</v>
      </c>
      <c r="F1100" t="b">
        <f t="shared" ca="1" si="159"/>
        <v>0</v>
      </c>
    </row>
    <row r="1101" spans="1:6" x14ac:dyDescent="0.25">
      <c r="A1101" t="s">
        <v>1620</v>
      </c>
      <c r="B1101" t="s">
        <v>1422</v>
      </c>
      <c r="C1101" t="s">
        <v>69</v>
      </c>
      <c r="D1101">
        <v>182</v>
      </c>
      <c r="E1101">
        <f ca="1">INDIRECT("'Sheet1'!BK171")</f>
        <v>0</v>
      </c>
      <c r="F1101" t="b">
        <f t="shared" ca="1" si="159"/>
        <v>0</v>
      </c>
    </row>
    <row r="1102" spans="1:6" x14ac:dyDescent="0.25">
      <c r="A1102" t="s">
        <v>1621</v>
      </c>
      <c r="B1102" t="s">
        <v>1423</v>
      </c>
      <c r="C1102" t="s">
        <v>70</v>
      </c>
      <c r="D1102" t="s">
        <v>482</v>
      </c>
      <c r="E1102">
        <f ca="1">INDIRECT("'Sheet1'!BL171")</f>
        <v>0</v>
      </c>
      <c r="F1102" t="b">
        <f t="shared" ca="1" si="159"/>
        <v>0</v>
      </c>
    </row>
    <row r="1103" spans="1:6" x14ac:dyDescent="0.25">
      <c r="A1103" t="s">
        <v>1622</v>
      </c>
      <c r="B1103" t="s">
        <v>1424</v>
      </c>
      <c r="C1103" t="s">
        <v>71</v>
      </c>
      <c r="D1103" t="s">
        <v>673</v>
      </c>
      <c r="E1103">
        <f ca="1">INDIRECT("'Sheet1'!BM171")</f>
        <v>0</v>
      </c>
      <c r="F1103" t="b">
        <f t="shared" ca="1" si="159"/>
        <v>0</v>
      </c>
    </row>
    <row r="1104" spans="1:6" x14ac:dyDescent="0.25">
      <c r="A1104" t="s">
        <v>1623</v>
      </c>
      <c r="B1104" t="s">
        <v>1452</v>
      </c>
      <c r="C1104" t="s">
        <v>72</v>
      </c>
      <c r="E1104">
        <f ca="1">INDIRECT("'Sheet1'!BN171")</f>
        <v>0</v>
      </c>
      <c r="F1104" t="b">
        <f t="shared" ca="1" si="159"/>
        <v>1</v>
      </c>
    </row>
    <row r="1105" spans="1:6" x14ac:dyDescent="0.25">
      <c r="A1105" t="s">
        <v>1624</v>
      </c>
      <c r="B1105" t="s">
        <v>1436</v>
      </c>
      <c r="C1105" t="s">
        <v>73</v>
      </c>
      <c r="D1105" t="s">
        <v>482</v>
      </c>
      <c r="E1105">
        <f ca="1">INDIRECT("'Sheet1'!BO171")</f>
        <v>0</v>
      </c>
      <c r="F1105" t="b">
        <f t="shared" ca="1" si="159"/>
        <v>0</v>
      </c>
    </row>
    <row r="1106" spans="1:6" x14ac:dyDescent="0.25">
      <c r="A1106" t="s">
        <v>1625</v>
      </c>
      <c r="B1106" t="s">
        <v>1437</v>
      </c>
      <c r="C1106" t="s">
        <v>74</v>
      </c>
      <c r="D1106" t="s">
        <v>673</v>
      </c>
      <c r="E1106">
        <f ca="1">INDIRECT("'Sheet1'!BP171")</f>
        <v>0</v>
      </c>
      <c r="F1106" t="b">
        <f t="shared" ca="1" si="159"/>
        <v>0</v>
      </c>
    </row>
    <row r="1107" spans="1:6" x14ac:dyDescent="0.25">
      <c r="A1107" t="s">
        <v>1626</v>
      </c>
      <c r="B1107" t="s">
        <v>1453</v>
      </c>
      <c r="C1107" t="s">
        <v>75</v>
      </c>
      <c r="E1107">
        <f ca="1">INDIRECT("'Sheet1'!BQ171")</f>
        <v>0</v>
      </c>
      <c r="F1107" t="b">
        <f t="shared" ca="1" si="159"/>
        <v>1</v>
      </c>
    </row>
    <row r="1108" spans="1:6" x14ac:dyDescent="0.25">
      <c r="A1108" t="s">
        <v>1627</v>
      </c>
      <c r="B1108" t="s">
        <v>1441</v>
      </c>
      <c r="C1108" t="s">
        <v>76</v>
      </c>
      <c r="D1108" t="s">
        <v>482</v>
      </c>
      <c r="E1108">
        <f ca="1">INDIRECT("'Sheet1'!BR171")</f>
        <v>0</v>
      </c>
      <c r="F1108" t="b">
        <f t="shared" ca="1" si="159"/>
        <v>0</v>
      </c>
    </row>
    <row r="1109" spans="1:6" x14ac:dyDescent="0.25">
      <c r="A1109" t="s">
        <v>1628</v>
      </c>
      <c r="B1109" t="s">
        <v>1442</v>
      </c>
      <c r="C1109" t="s">
        <v>77</v>
      </c>
      <c r="D1109" t="s">
        <v>677</v>
      </c>
      <c r="E1109">
        <f ca="1">INDIRECT("'Sheet1'!BS171")</f>
        <v>0</v>
      </c>
      <c r="F1109" t="b">
        <f t="shared" ca="1" si="159"/>
        <v>0</v>
      </c>
    </row>
    <row r="1110" spans="1:6" x14ac:dyDescent="0.25">
      <c r="A1110" t="s">
        <v>1629</v>
      </c>
      <c r="B1110" t="s">
        <v>1454</v>
      </c>
      <c r="C1110" t="s">
        <v>78</v>
      </c>
      <c r="E1110">
        <f ca="1">INDIRECT("'Sheet1'!BT171")</f>
        <v>0</v>
      </c>
      <c r="F1110" t="b">
        <f t="shared" ca="1" si="159"/>
        <v>1</v>
      </c>
    </row>
    <row r="1111" spans="1:6" x14ac:dyDescent="0.25">
      <c r="A1111" t="s">
        <v>1630</v>
      </c>
      <c r="B1111" t="s">
        <v>1447</v>
      </c>
      <c r="C1111" t="s">
        <v>79</v>
      </c>
      <c r="D1111" t="s">
        <v>482</v>
      </c>
      <c r="E1111">
        <f ca="1">INDIRECT("'Sheet1'!BU171")</f>
        <v>0</v>
      </c>
      <c r="F1111" t="b">
        <f t="shared" ca="1" si="159"/>
        <v>0</v>
      </c>
    </row>
    <row r="1112" spans="1:6" x14ac:dyDescent="0.25">
      <c r="A1112" t="s">
        <v>1631</v>
      </c>
      <c r="B1112" t="s">
        <v>1448</v>
      </c>
      <c r="C1112" t="s">
        <v>80</v>
      </c>
      <c r="D1112" t="s">
        <v>675</v>
      </c>
      <c r="E1112">
        <f ca="1">INDIRECT("'Sheet1'!BV171")</f>
        <v>0</v>
      </c>
      <c r="F1112" t="b">
        <f t="shared" ca="1" si="159"/>
        <v>0</v>
      </c>
    </row>
    <row r="1114" spans="1:6" x14ac:dyDescent="0.25">
      <c r="A1114" t="s">
        <v>1632</v>
      </c>
      <c r="B1114" t="s">
        <v>1417</v>
      </c>
      <c r="C1114" t="s">
        <v>66</v>
      </c>
      <c r="D1114">
        <v>183</v>
      </c>
      <c r="E1114">
        <f ca="1">INDIRECT("'Sheet1'!BH172")</f>
        <v>0</v>
      </c>
      <c r="F1114" t="b">
        <f t="shared" ref="F1114:F1128" ca="1" si="160">E1114=D1114</f>
        <v>0</v>
      </c>
    </row>
    <row r="1115" spans="1:6" x14ac:dyDescent="0.25">
      <c r="A1115" t="s">
        <v>1633</v>
      </c>
      <c r="B1115" t="s">
        <v>1418</v>
      </c>
      <c r="C1115" t="s">
        <v>67</v>
      </c>
      <c r="D1115" t="s">
        <v>482</v>
      </c>
      <c r="E1115">
        <f ca="1">INDIRECT("'Sheet1'!BI172")</f>
        <v>0</v>
      </c>
      <c r="F1115" t="b">
        <f t="shared" ca="1" si="160"/>
        <v>0</v>
      </c>
    </row>
    <row r="1116" spans="1:6" x14ac:dyDescent="0.25">
      <c r="A1116" t="s">
        <v>1634</v>
      </c>
      <c r="B1116" t="s">
        <v>1419</v>
      </c>
      <c r="C1116" t="s">
        <v>68</v>
      </c>
      <c r="D1116" t="s">
        <v>673</v>
      </c>
      <c r="E1116">
        <f ca="1">INDIRECT("'Sheet1'!BJ172")</f>
        <v>0</v>
      </c>
      <c r="F1116" t="b">
        <f t="shared" ca="1" si="160"/>
        <v>0</v>
      </c>
    </row>
    <row r="1117" spans="1:6" x14ac:dyDescent="0.25">
      <c r="A1117" t="s">
        <v>1635</v>
      </c>
      <c r="B1117" t="s">
        <v>1428</v>
      </c>
      <c r="C1117" t="s">
        <v>69</v>
      </c>
      <c r="E1117">
        <f ca="1">INDIRECT("'Sheet1'!BK172")</f>
        <v>0</v>
      </c>
      <c r="F1117" t="b">
        <f t="shared" ca="1" si="160"/>
        <v>1</v>
      </c>
    </row>
    <row r="1118" spans="1:6" x14ac:dyDescent="0.25">
      <c r="A1118" t="s">
        <v>1636</v>
      </c>
      <c r="B1118" t="s">
        <v>1423</v>
      </c>
      <c r="C1118" t="s">
        <v>70</v>
      </c>
      <c r="D1118" t="s">
        <v>482</v>
      </c>
      <c r="E1118">
        <f ca="1">INDIRECT("'Sheet1'!BL172")</f>
        <v>0</v>
      </c>
      <c r="F1118" t="b">
        <f t="shared" ca="1" si="160"/>
        <v>0</v>
      </c>
    </row>
    <row r="1119" spans="1:6" x14ac:dyDescent="0.25">
      <c r="A1119" t="s">
        <v>1637</v>
      </c>
      <c r="B1119" t="s">
        <v>1456</v>
      </c>
      <c r="C1119" t="s">
        <v>71</v>
      </c>
      <c r="D1119" t="s">
        <v>871</v>
      </c>
      <c r="E1119">
        <f ca="1">INDIRECT("'Sheet1'!BM172")</f>
        <v>0</v>
      </c>
      <c r="F1119" t="b">
        <f t="shared" ca="1" si="160"/>
        <v>0</v>
      </c>
    </row>
    <row r="1120" spans="1:6" x14ac:dyDescent="0.25">
      <c r="A1120" t="s">
        <v>1638</v>
      </c>
      <c r="B1120" t="s">
        <v>1452</v>
      </c>
      <c r="C1120" t="s">
        <v>72</v>
      </c>
      <c r="E1120">
        <f ca="1">INDIRECT("'Sheet1'!BN172")</f>
        <v>0</v>
      </c>
      <c r="F1120" t="b">
        <f t="shared" ca="1" si="160"/>
        <v>1</v>
      </c>
    </row>
    <row r="1121" spans="1:6" x14ac:dyDescent="0.25">
      <c r="A1121" t="s">
        <v>1639</v>
      </c>
      <c r="B1121" t="s">
        <v>1436</v>
      </c>
      <c r="C1121" t="s">
        <v>73</v>
      </c>
      <c r="D1121" t="s">
        <v>482</v>
      </c>
      <c r="E1121">
        <f ca="1">INDIRECT("'Sheet1'!BO172")</f>
        <v>0</v>
      </c>
      <c r="F1121" t="b">
        <f t="shared" ca="1" si="160"/>
        <v>0</v>
      </c>
    </row>
    <row r="1122" spans="1:6" x14ac:dyDescent="0.25">
      <c r="A1122" t="s">
        <v>1640</v>
      </c>
      <c r="B1122" t="s">
        <v>1437</v>
      </c>
      <c r="C1122" t="s">
        <v>74</v>
      </c>
      <c r="D1122" t="s">
        <v>673</v>
      </c>
      <c r="E1122">
        <f ca="1">INDIRECT("'Sheet1'!BP172")</f>
        <v>0</v>
      </c>
      <c r="F1122" t="b">
        <f t="shared" ca="1" si="160"/>
        <v>0</v>
      </c>
    </row>
    <row r="1123" spans="1:6" x14ac:dyDescent="0.25">
      <c r="A1123" t="s">
        <v>1641</v>
      </c>
      <c r="B1123" t="s">
        <v>1453</v>
      </c>
      <c r="C1123" t="s">
        <v>75</v>
      </c>
      <c r="E1123">
        <f ca="1">INDIRECT("'Sheet1'!BQ172")</f>
        <v>0</v>
      </c>
      <c r="F1123" t="b">
        <f t="shared" ca="1" si="160"/>
        <v>1</v>
      </c>
    </row>
    <row r="1124" spans="1:6" x14ac:dyDescent="0.25">
      <c r="A1124" t="s">
        <v>1642</v>
      </c>
      <c r="B1124" t="s">
        <v>1441</v>
      </c>
      <c r="C1124" t="s">
        <v>76</v>
      </c>
      <c r="D1124" t="s">
        <v>482</v>
      </c>
      <c r="E1124">
        <f ca="1">INDIRECT("'Sheet1'!BR172")</f>
        <v>0</v>
      </c>
      <c r="F1124" t="b">
        <f t="shared" ca="1" si="160"/>
        <v>0</v>
      </c>
    </row>
    <row r="1125" spans="1:6" x14ac:dyDescent="0.25">
      <c r="A1125" t="s">
        <v>1643</v>
      </c>
      <c r="B1125" t="s">
        <v>1442</v>
      </c>
      <c r="C1125" t="s">
        <v>77</v>
      </c>
      <c r="D1125" t="s">
        <v>677</v>
      </c>
      <c r="E1125">
        <f ca="1">INDIRECT("'Sheet1'!BS172")</f>
        <v>0</v>
      </c>
      <c r="F1125" t="b">
        <f t="shared" ca="1" si="160"/>
        <v>0</v>
      </c>
    </row>
    <row r="1126" spans="1:6" x14ac:dyDescent="0.25">
      <c r="A1126" t="s">
        <v>1644</v>
      </c>
      <c r="B1126" t="s">
        <v>1454</v>
      </c>
      <c r="C1126" t="s">
        <v>78</v>
      </c>
      <c r="E1126">
        <f ca="1">INDIRECT("'Sheet1'!BT172")</f>
        <v>0</v>
      </c>
      <c r="F1126" t="b">
        <f t="shared" ca="1" si="160"/>
        <v>1</v>
      </c>
    </row>
    <row r="1127" spans="1:6" x14ac:dyDescent="0.25">
      <c r="A1127" t="s">
        <v>1645</v>
      </c>
      <c r="B1127" t="s">
        <v>1447</v>
      </c>
      <c r="C1127" t="s">
        <v>79</v>
      </c>
      <c r="D1127" t="s">
        <v>482</v>
      </c>
      <c r="E1127">
        <f ca="1">INDIRECT("'Sheet1'!BU172")</f>
        <v>0</v>
      </c>
      <c r="F1127" t="b">
        <f t="shared" ca="1" si="160"/>
        <v>0</v>
      </c>
    </row>
    <row r="1128" spans="1:6" x14ac:dyDescent="0.25">
      <c r="A1128" t="s">
        <v>1646</v>
      </c>
      <c r="B1128" t="s">
        <v>1448</v>
      </c>
      <c r="C1128" t="s">
        <v>80</v>
      </c>
      <c r="D1128" t="s">
        <v>675</v>
      </c>
      <c r="E1128">
        <f ca="1">INDIRECT("'Sheet1'!BV172")</f>
        <v>0</v>
      </c>
      <c r="F1128" t="b">
        <f t="shared" ca="1" si="160"/>
        <v>0</v>
      </c>
    </row>
    <row r="1130" spans="1:6" x14ac:dyDescent="0.25">
      <c r="A1130" t="s">
        <v>1647</v>
      </c>
      <c r="B1130" t="s">
        <v>1417</v>
      </c>
      <c r="C1130" t="s">
        <v>66</v>
      </c>
      <c r="D1130">
        <v>183</v>
      </c>
      <c r="E1130">
        <f ca="1">INDIRECT("'Sheet1'!BH173")</f>
        <v>0</v>
      </c>
      <c r="F1130" t="b">
        <f t="shared" ref="F1130:F1144" ca="1" si="161">E1130=D1130</f>
        <v>0</v>
      </c>
    </row>
    <row r="1131" spans="1:6" x14ac:dyDescent="0.25">
      <c r="A1131" t="s">
        <v>1648</v>
      </c>
      <c r="B1131" t="s">
        <v>1418</v>
      </c>
      <c r="C1131" t="s">
        <v>67</v>
      </c>
      <c r="D1131" t="s">
        <v>482</v>
      </c>
      <c r="E1131">
        <f ca="1">INDIRECT("'Sheet1'!BI173")</f>
        <v>0</v>
      </c>
      <c r="F1131" t="b">
        <f t="shared" ca="1" si="161"/>
        <v>0</v>
      </c>
    </row>
    <row r="1132" spans="1:6" x14ac:dyDescent="0.25">
      <c r="A1132" t="s">
        <v>1649</v>
      </c>
      <c r="B1132" t="s">
        <v>1427</v>
      </c>
      <c r="C1132" t="s">
        <v>68</v>
      </c>
      <c r="D1132" t="s">
        <v>679</v>
      </c>
      <c r="E1132">
        <f ca="1">INDIRECT("'Sheet1'!BJ173")</f>
        <v>0</v>
      </c>
      <c r="F1132" t="b">
        <f t="shared" ca="1" si="161"/>
        <v>0</v>
      </c>
    </row>
    <row r="1133" spans="1:6" x14ac:dyDescent="0.25">
      <c r="A1133" t="s">
        <v>1650</v>
      </c>
      <c r="B1133" t="s">
        <v>1428</v>
      </c>
      <c r="C1133" t="s">
        <v>69</v>
      </c>
      <c r="E1133">
        <f ca="1">INDIRECT("'Sheet1'!BK173")</f>
        <v>0</v>
      </c>
      <c r="F1133" t="b">
        <f t="shared" ca="1" si="161"/>
        <v>1</v>
      </c>
    </row>
    <row r="1134" spans="1:6" x14ac:dyDescent="0.25">
      <c r="A1134" t="s">
        <v>1651</v>
      </c>
      <c r="B1134" t="s">
        <v>1423</v>
      </c>
      <c r="C1134" t="s">
        <v>70</v>
      </c>
      <c r="D1134" t="s">
        <v>482</v>
      </c>
      <c r="E1134">
        <f ca="1">INDIRECT("'Sheet1'!BL173")</f>
        <v>0</v>
      </c>
      <c r="F1134" t="b">
        <f t="shared" ca="1" si="161"/>
        <v>0</v>
      </c>
    </row>
    <row r="1135" spans="1:6" x14ac:dyDescent="0.25">
      <c r="A1135" t="s">
        <v>1652</v>
      </c>
      <c r="B1135" t="s">
        <v>1429</v>
      </c>
      <c r="C1135" t="s">
        <v>71</v>
      </c>
      <c r="D1135" t="s">
        <v>680</v>
      </c>
      <c r="E1135">
        <f ca="1">INDIRECT("'Sheet1'!BM173")</f>
        <v>0</v>
      </c>
      <c r="F1135" t="b">
        <f t="shared" ca="1" si="161"/>
        <v>0</v>
      </c>
    </row>
    <row r="1136" spans="1:6" x14ac:dyDescent="0.25">
      <c r="A1136" t="s">
        <v>1653</v>
      </c>
      <c r="B1136" t="s">
        <v>1452</v>
      </c>
      <c r="C1136" t="s">
        <v>72</v>
      </c>
      <c r="E1136">
        <f ca="1">INDIRECT("'Sheet1'!BN173")</f>
        <v>0</v>
      </c>
      <c r="F1136" t="b">
        <f t="shared" ca="1" si="161"/>
        <v>1</v>
      </c>
    </row>
    <row r="1137" spans="1:6" x14ac:dyDescent="0.25">
      <c r="A1137" t="s">
        <v>1654</v>
      </c>
      <c r="B1137" t="s">
        <v>1436</v>
      </c>
      <c r="C1137" t="s">
        <v>73</v>
      </c>
      <c r="D1137" t="s">
        <v>482</v>
      </c>
      <c r="E1137">
        <f ca="1">INDIRECT("'Sheet1'!BO173")</f>
        <v>0</v>
      </c>
      <c r="F1137" t="b">
        <f t="shared" ca="1" si="161"/>
        <v>0</v>
      </c>
    </row>
    <row r="1138" spans="1:6" x14ac:dyDescent="0.25">
      <c r="A1138" t="s">
        <v>1655</v>
      </c>
      <c r="B1138" t="s">
        <v>1457</v>
      </c>
      <c r="C1138" t="s">
        <v>74</v>
      </c>
      <c r="D1138" t="s">
        <v>871</v>
      </c>
      <c r="E1138">
        <f ca="1">INDIRECT("'Sheet1'!BP173")</f>
        <v>0</v>
      </c>
      <c r="F1138" t="b">
        <f t="shared" ca="1" si="161"/>
        <v>0</v>
      </c>
    </row>
    <row r="1139" spans="1:6" x14ac:dyDescent="0.25">
      <c r="A1139" t="s">
        <v>1656</v>
      </c>
      <c r="B1139" t="s">
        <v>1453</v>
      </c>
      <c r="C1139" t="s">
        <v>75</v>
      </c>
      <c r="E1139">
        <f ca="1">INDIRECT("'Sheet1'!BQ173")</f>
        <v>0</v>
      </c>
      <c r="F1139" t="b">
        <f t="shared" ca="1" si="161"/>
        <v>1</v>
      </c>
    </row>
    <row r="1140" spans="1:6" x14ac:dyDescent="0.25">
      <c r="A1140" t="s">
        <v>1657</v>
      </c>
      <c r="B1140" t="s">
        <v>1441</v>
      </c>
      <c r="C1140" t="s">
        <v>76</v>
      </c>
      <c r="D1140" t="s">
        <v>482</v>
      </c>
      <c r="E1140">
        <f ca="1">INDIRECT("'Sheet1'!BR173")</f>
        <v>0</v>
      </c>
      <c r="F1140" t="b">
        <f t="shared" ca="1" si="161"/>
        <v>0</v>
      </c>
    </row>
    <row r="1141" spans="1:6" x14ac:dyDescent="0.25">
      <c r="A1141" t="s">
        <v>1658</v>
      </c>
      <c r="B1141" t="s">
        <v>1442</v>
      </c>
      <c r="C1141" t="s">
        <v>77</v>
      </c>
      <c r="D1141" t="s">
        <v>677</v>
      </c>
      <c r="E1141">
        <f ca="1">INDIRECT("'Sheet1'!BS173")</f>
        <v>0</v>
      </c>
      <c r="F1141" t="b">
        <f t="shared" ca="1" si="161"/>
        <v>0</v>
      </c>
    </row>
    <row r="1142" spans="1:6" x14ac:dyDescent="0.25">
      <c r="A1142" t="s">
        <v>1659</v>
      </c>
      <c r="B1142" t="s">
        <v>1454</v>
      </c>
      <c r="C1142" t="s">
        <v>78</v>
      </c>
      <c r="E1142">
        <f ca="1">INDIRECT("'Sheet1'!BT173")</f>
        <v>0</v>
      </c>
      <c r="F1142" t="b">
        <f t="shared" ca="1" si="161"/>
        <v>1</v>
      </c>
    </row>
    <row r="1143" spans="1:6" x14ac:dyDescent="0.25">
      <c r="A1143" t="s">
        <v>1660</v>
      </c>
      <c r="B1143" t="s">
        <v>1447</v>
      </c>
      <c r="C1143" t="s">
        <v>79</v>
      </c>
      <c r="D1143" t="s">
        <v>482</v>
      </c>
      <c r="E1143">
        <f ca="1">INDIRECT("'Sheet1'!BU173")</f>
        <v>0</v>
      </c>
      <c r="F1143" t="b">
        <f t="shared" ca="1" si="161"/>
        <v>0</v>
      </c>
    </row>
    <row r="1144" spans="1:6" x14ac:dyDescent="0.25">
      <c r="A1144" t="s">
        <v>1661</v>
      </c>
      <c r="B1144" t="s">
        <v>1448</v>
      </c>
      <c r="C1144" t="s">
        <v>80</v>
      </c>
      <c r="D1144" t="s">
        <v>675</v>
      </c>
      <c r="E1144">
        <f ca="1">INDIRECT("'Sheet1'!BV173")</f>
        <v>0</v>
      </c>
      <c r="F1144" t="b">
        <f t="shared" ca="1" si="161"/>
        <v>0</v>
      </c>
    </row>
    <row r="1146" spans="1:6" x14ac:dyDescent="0.25">
      <c r="A1146" t="s">
        <v>1670</v>
      </c>
      <c r="B1146" t="s">
        <v>1417</v>
      </c>
      <c r="C1146" t="s">
        <v>66</v>
      </c>
      <c r="D1146">
        <v>183</v>
      </c>
      <c r="E1146">
        <f ca="1">INDIRECT("'Sheet1'!BH174")</f>
        <v>0</v>
      </c>
      <c r="F1146" s="11" t="b">
        <f t="shared" ref="F1146:F1160" ca="1" si="162">E1146=D1146</f>
        <v>0</v>
      </c>
    </row>
    <row r="1147" spans="1:6" x14ac:dyDescent="0.25">
      <c r="A1147" t="s">
        <v>1671</v>
      </c>
      <c r="B1147" t="s">
        <v>1418</v>
      </c>
      <c r="C1147" t="s">
        <v>67</v>
      </c>
      <c r="D1147" t="s">
        <v>482</v>
      </c>
      <c r="E1147">
        <f ca="1">INDIRECT("'Sheet1'!BI174")</f>
        <v>0</v>
      </c>
      <c r="F1147" t="b">
        <f t="shared" ca="1" si="162"/>
        <v>0</v>
      </c>
    </row>
    <row r="1148" spans="1:6" x14ac:dyDescent="0.25">
      <c r="A1148" t="s">
        <v>1672</v>
      </c>
      <c r="B1148" t="s">
        <v>1427</v>
      </c>
      <c r="C1148" t="s">
        <v>68</v>
      </c>
      <c r="D1148" t="s">
        <v>679</v>
      </c>
      <c r="E1148">
        <f ca="1">INDIRECT("'Sheet1'!BJ174")</f>
        <v>0</v>
      </c>
      <c r="F1148" t="b">
        <f t="shared" ca="1" si="162"/>
        <v>0</v>
      </c>
    </row>
    <row r="1149" spans="1:6" x14ac:dyDescent="0.25">
      <c r="A1149" t="s">
        <v>1673</v>
      </c>
      <c r="B1149" t="s">
        <v>1428</v>
      </c>
      <c r="C1149" t="s">
        <v>69</v>
      </c>
      <c r="E1149">
        <f ca="1">INDIRECT("'Sheet1'!BK174")</f>
        <v>0</v>
      </c>
      <c r="F1149" t="b">
        <f t="shared" ca="1" si="162"/>
        <v>1</v>
      </c>
    </row>
    <row r="1150" spans="1:6" x14ac:dyDescent="0.25">
      <c r="A1150" t="s">
        <v>1674</v>
      </c>
      <c r="B1150" t="s">
        <v>1423</v>
      </c>
      <c r="C1150" t="s">
        <v>70</v>
      </c>
      <c r="D1150" t="s">
        <v>482</v>
      </c>
      <c r="E1150">
        <f ca="1">INDIRECT("'Sheet1'!BL174")</f>
        <v>0</v>
      </c>
      <c r="F1150" t="b">
        <f t="shared" ca="1" si="162"/>
        <v>0</v>
      </c>
    </row>
    <row r="1151" spans="1:6" x14ac:dyDescent="0.25">
      <c r="A1151" t="s">
        <v>1675</v>
      </c>
      <c r="B1151" t="s">
        <v>1429</v>
      </c>
      <c r="C1151" t="s">
        <v>71</v>
      </c>
      <c r="D1151" t="s">
        <v>680</v>
      </c>
      <c r="E1151">
        <f ca="1">INDIRECT("'Sheet1'!BM174")</f>
        <v>0</v>
      </c>
      <c r="F1151" t="b">
        <f t="shared" ca="1" si="162"/>
        <v>0</v>
      </c>
    </row>
    <row r="1152" spans="1:6" x14ac:dyDescent="0.25">
      <c r="A1152" t="s">
        <v>1676</v>
      </c>
      <c r="B1152" t="s">
        <v>1452</v>
      </c>
      <c r="C1152" t="s">
        <v>72</v>
      </c>
      <c r="E1152">
        <f ca="1">INDIRECT("'Sheet1'!BN174")</f>
        <v>0</v>
      </c>
      <c r="F1152" t="b">
        <f t="shared" ca="1" si="162"/>
        <v>1</v>
      </c>
    </row>
    <row r="1153" spans="1:6" x14ac:dyDescent="0.25">
      <c r="A1153" t="s">
        <v>1677</v>
      </c>
      <c r="B1153" t="s">
        <v>1436</v>
      </c>
      <c r="C1153" t="s">
        <v>73</v>
      </c>
      <c r="D1153" t="s">
        <v>482</v>
      </c>
      <c r="E1153">
        <f ca="1">INDIRECT("'Sheet1'!BO174")</f>
        <v>0</v>
      </c>
      <c r="F1153" t="b">
        <f t="shared" ca="1" si="162"/>
        <v>0</v>
      </c>
    </row>
    <row r="1154" spans="1:6" x14ac:dyDescent="0.25">
      <c r="A1154" t="s">
        <v>1678</v>
      </c>
      <c r="B1154" t="s">
        <v>1437</v>
      </c>
      <c r="C1154" t="s">
        <v>74</v>
      </c>
      <c r="D1154" t="s">
        <v>673</v>
      </c>
      <c r="E1154">
        <f ca="1">INDIRECT("'Sheet1'!BP174")</f>
        <v>0</v>
      </c>
      <c r="F1154" t="b">
        <f t="shared" ca="1" si="162"/>
        <v>0</v>
      </c>
    </row>
    <row r="1155" spans="1:6" x14ac:dyDescent="0.25">
      <c r="A1155" t="s">
        <v>1679</v>
      </c>
      <c r="B1155" t="s">
        <v>1453</v>
      </c>
      <c r="C1155" t="s">
        <v>75</v>
      </c>
      <c r="E1155">
        <f ca="1">INDIRECT("'Sheet1'!BQ174")</f>
        <v>0</v>
      </c>
      <c r="F1155" t="b">
        <f t="shared" ca="1" si="162"/>
        <v>1</v>
      </c>
    </row>
    <row r="1156" spans="1:6" x14ac:dyDescent="0.25">
      <c r="A1156" t="s">
        <v>1680</v>
      </c>
      <c r="B1156" t="s">
        <v>1441</v>
      </c>
      <c r="C1156" t="s">
        <v>76</v>
      </c>
      <c r="D1156" t="s">
        <v>482</v>
      </c>
      <c r="E1156">
        <f ca="1">INDIRECT("'Sheet1'!BR174")</f>
        <v>0</v>
      </c>
      <c r="F1156" t="b">
        <f t="shared" ca="1" si="162"/>
        <v>0</v>
      </c>
    </row>
    <row r="1157" spans="1:6" x14ac:dyDescent="0.25">
      <c r="A1157" t="s">
        <v>1681</v>
      </c>
      <c r="B1157" t="s">
        <v>1663</v>
      </c>
      <c r="C1157" t="s">
        <v>77</v>
      </c>
      <c r="D1157" t="s">
        <v>871</v>
      </c>
      <c r="E1157">
        <f ca="1">INDIRECT("'Sheet1'!BS174")</f>
        <v>0</v>
      </c>
      <c r="F1157" t="b">
        <f t="shared" ca="1" si="162"/>
        <v>0</v>
      </c>
    </row>
    <row r="1158" spans="1:6" x14ac:dyDescent="0.25">
      <c r="A1158" t="s">
        <v>1682</v>
      </c>
      <c r="B1158" t="s">
        <v>1454</v>
      </c>
      <c r="C1158" t="s">
        <v>78</v>
      </c>
      <c r="E1158">
        <f ca="1">INDIRECT("'Sheet1'!BT174")</f>
        <v>0</v>
      </c>
      <c r="F1158" t="b">
        <f t="shared" ca="1" si="162"/>
        <v>1</v>
      </c>
    </row>
    <row r="1159" spans="1:6" x14ac:dyDescent="0.25">
      <c r="A1159" t="s">
        <v>1683</v>
      </c>
      <c r="B1159" t="s">
        <v>1447</v>
      </c>
      <c r="C1159" t="s">
        <v>79</v>
      </c>
      <c r="D1159" t="s">
        <v>482</v>
      </c>
      <c r="E1159">
        <f ca="1">INDIRECT("'Sheet1'!BU174")</f>
        <v>0</v>
      </c>
      <c r="F1159" t="b">
        <f t="shared" ca="1" si="162"/>
        <v>0</v>
      </c>
    </row>
    <row r="1160" spans="1:6" x14ac:dyDescent="0.25">
      <c r="A1160" t="s">
        <v>1684</v>
      </c>
      <c r="B1160" t="s">
        <v>1448</v>
      </c>
      <c r="C1160" t="s">
        <v>80</v>
      </c>
      <c r="D1160" t="s">
        <v>675</v>
      </c>
      <c r="E1160">
        <f ca="1">INDIRECT("'Sheet1'!BV174")</f>
        <v>0</v>
      </c>
      <c r="F1160" t="b">
        <f t="shared" ca="1" si="162"/>
        <v>0</v>
      </c>
    </row>
    <row r="1162" spans="1:6" x14ac:dyDescent="0.25">
      <c r="A1162" t="s">
        <v>1685</v>
      </c>
      <c r="B1162" t="s">
        <v>1417</v>
      </c>
      <c r="C1162" t="s">
        <v>66</v>
      </c>
      <c r="D1162">
        <v>183</v>
      </c>
      <c r="E1162">
        <f ca="1">INDIRECT("'Sheet1'!BH175")</f>
        <v>0</v>
      </c>
      <c r="F1162" t="b">
        <f t="shared" ref="F1162:F1176" ca="1" si="163">E1162=D1162</f>
        <v>0</v>
      </c>
    </row>
    <row r="1163" spans="1:6" x14ac:dyDescent="0.25">
      <c r="A1163" t="s">
        <v>1686</v>
      </c>
      <c r="B1163" t="s">
        <v>1418</v>
      </c>
      <c r="C1163" t="s">
        <v>67</v>
      </c>
      <c r="D1163" t="s">
        <v>482</v>
      </c>
      <c r="E1163">
        <f ca="1">INDIRECT("'Sheet1'!BI175")</f>
        <v>0</v>
      </c>
      <c r="F1163" t="b">
        <f t="shared" ca="1" si="163"/>
        <v>0</v>
      </c>
    </row>
    <row r="1164" spans="1:6" x14ac:dyDescent="0.25">
      <c r="A1164" t="s">
        <v>1687</v>
      </c>
      <c r="B1164" t="s">
        <v>1427</v>
      </c>
      <c r="C1164" t="s">
        <v>68</v>
      </c>
      <c r="D1164" t="s">
        <v>679</v>
      </c>
      <c r="E1164">
        <f ca="1">INDIRECT("'Sheet1'!BJ175")</f>
        <v>0</v>
      </c>
      <c r="F1164" t="b">
        <f t="shared" ca="1" si="163"/>
        <v>0</v>
      </c>
    </row>
    <row r="1165" spans="1:6" x14ac:dyDescent="0.25">
      <c r="A1165" t="s">
        <v>1688</v>
      </c>
      <c r="B1165" t="s">
        <v>1428</v>
      </c>
      <c r="C1165" t="s">
        <v>69</v>
      </c>
      <c r="E1165">
        <f ca="1">INDIRECT("'Sheet1'!BK175")</f>
        <v>0</v>
      </c>
      <c r="F1165" t="b">
        <f t="shared" ca="1" si="163"/>
        <v>1</v>
      </c>
    </row>
    <row r="1166" spans="1:6" x14ac:dyDescent="0.25">
      <c r="A1166" t="s">
        <v>1689</v>
      </c>
      <c r="B1166" t="s">
        <v>1423</v>
      </c>
      <c r="C1166" t="s">
        <v>70</v>
      </c>
      <c r="D1166" t="s">
        <v>482</v>
      </c>
      <c r="E1166">
        <f ca="1">INDIRECT("'Sheet1'!BL175")</f>
        <v>0</v>
      </c>
      <c r="F1166" t="b">
        <f t="shared" ca="1" si="163"/>
        <v>0</v>
      </c>
    </row>
    <row r="1167" spans="1:6" x14ac:dyDescent="0.25">
      <c r="A1167" t="s">
        <v>1690</v>
      </c>
      <c r="B1167" t="s">
        <v>1429</v>
      </c>
      <c r="C1167" t="s">
        <v>71</v>
      </c>
      <c r="D1167" t="s">
        <v>680</v>
      </c>
      <c r="E1167">
        <f ca="1">INDIRECT("'Sheet1'!BM175")</f>
        <v>0</v>
      </c>
      <c r="F1167" t="b">
        <f t="shared" ca="1" si="163"/>
        <v>0</v>
      </c>
    </row>
    <row r="1168" spans="1:6" x14ac:dyDescent="0.25">
      <c r="A1168" t="s">
        <v>1691</v>
      </c>
      <c r="B1168" t="s">
        <v>1452</v>
      </c>
      <c r="C1168" t="s">
        <v>72</v>
      </c>
      <c r="E1168">
        <f ca="1">INDIRECT("'Sheet1'!BN175")</f>
        <v>0</v>
      </c>
      <c r="F1168" t="b">
        <f t="shared" ca="1" si="163"/>
        <v>1</v>
      </c>
    </row>
    <row r="1169" spans="1:6" x14ac:dyDescent="0.25">
      <c r="A1169" t="s">
        <v>1692</v>
      </c>
      <c r="B1169" t="s">
        <v>1436</v>
      </c>
      <c r="C1169" t="s">
        <v>73</v>
      </c>
      <c r="D1169" t="s">
        <v>482</v>
      </c>
      <c r="E1169">
        <f ca="1">INDIRECT("'Sheet1'!BO175")</f>
        <v>0</v>
      </c>
      <c r="F1169" t="b">
        <f t="shared" ca="1" si="163"/>
        <v>0</v>
      </c>
    </row>
    <row r="1170" spans="1:6" x14ac:dyDescent="0.25">
      <c r="A1170" t="s">
        <v>1693</v>
      </c>
      <c r="B1170" t="s">
        <v>1437</v>
      </c>
      <c r="C1170" t="s">
        <v>74</v>
      </c>
      <c r="D1170" t="s">
        <v>673</v>
      </c>
      <c r="E1170">
        <f ca="1">INDIRECT("'Sheet1'!BP175")</f>
        <v>0</v>
      </c>
      <c r="F1170" t="b">
        <f t="shared" ca="1" si="163"/>
        <v>0</v>
      </c>
    </row>
    <row r="1171" spans="1:6" x14ac:dyDescent="0.25">
      <c r="A1171" t="s">
        <v>1694</v>
      </c>
      <c r="B1171" t="s">
        <v>1453</v>
      </c>
      <c r="C1171" t="s">
        <v>75</v>
      </c>
      <c r="E1171">
        <f ca="1">INDIRECT("'Sheet1'!BQ175")</f>
        <v>0</v>
      </c>
      <c r="F1171" t="b">
        <f t="shared" ca="1" si="163"/>
        <v>1</v>
      </c>
    </row>
    <row r="1172" spans="1:6" x14ac:dyDescent="0.25">
      <c r="A1172" t="s">
        <v>1695</v>
      </c>
      <c r="B1172" t="s">
        <v>1441</v>
      </c>
      <c r="C1172" t="s">
        <v>76</v>
      </c>
      <c r="D1172" t="s">
        <v>482</v>
      </c>
      <c r="E1172">
        <f ca="1">INDIRECT("'Sheet1'!BR175")</f>
        <v>0</v>
      </c>
      <c r="F1172" t="b">
        <f t="shared" ca="1" si="163"/>
        <v>0</v>
      </c>
    </row>
    <row r="1173" spans="1:6" x14ac:dyDescent="0.25">
      <c r="A1173" t="s">
        <v>1696</v>
      </c>
      <c r="B1173" t="s">
        <v>1442</v>
      </c>
      <c r="C1173" t="s">
        <v>77</v>
      </c>
      <c r="D1173" t="s">
        <v>677</v>
      </c>
      <c r="E1173">
        <f ca="1">INDIRECT("'Sheet1'!BS175")</f>
        <v>0</v>
      </c>
      <c r="F1173" t="b">
        <f t="shared" ca="1" si="163"/>
        <v>0</v>
      </c>
    </row>
    <row r="1174" spans="1:6" x14ac:dyDescent="0.25">
      <c r="A1174" t="s">
        <v>1697</v>
      </c>
      <c r="B1174" t="s">
        <v>1454</v>
      </c>
      <c r="C1174" t="s">
        <v>78</v>
      </c>
      <c r="E1174">
        <f ca="1">INDIRECT("'Sheet1'!BT175")</f>
        <v>0</v>
      </c>
      <c r="F1174" t="b">
        <f t="shared" ca="1" si="163"/>
        <v>1</v>
      </c>
    </row>
    <row r="1175" spans="1:6" x14ac:dyDescent="0.25">
      <c r="A1175" t="s">
        <v>1698</v>
      </c>
      <c r="B1175" t="s">
        <v>1447</v>
      </c>
      <c r="C1175" t="s">
        <v>79</v>
      </c>
      <c r="D1175" t="s">
        <v>482</v>
      </c>
      <c r="E1175">
        <f ca="1">INDIRECT("'Sheet1'!BU175")</f>
        <v>0</v>
      </c>
      <c r="F1175" t="b">
        <f t="shared" ca="1" si="163"/>
        <v>0</v>
      </c>
    </row>
    <row r="1176" spans="1:6" x14ac:dyDescent="0.25">
      <c r="A1176" t="s">
        <v>1699</v>
      </c>
      <c r="B1176" t="s">
        <v>1458</v>
      </c>
      <c r="C1176" t="s">
        <v>80</v>
      </c>
      <c r="D1176" t="s">
        <v>871</v>
      </c>
      <c r="E1176">
        <f ca="1">INDIRECT("'Sheet1'!BV175")</f>
        <v>0</v>
      </c>
      <c r="F1176" t="b">
        <f t="shared" ca="1" si="163"/>
        <v>0</v>
      </c>
    </row>
    <row r="1178" spans="1:6" x14ac:dyDescent="0.25">
      <c r="A1178" t="s">
        <v>1700</v>
      </c>
      <c r="B1178" t="s">
        <v>1417</v>
      </c>
      <c r="C1178" t="s">
        <v>66</v>
      </c>
      <c r="D1178">
        <v>183</v>
      </c>
      <c r="E1178">
        <f ca="1">INDIRECT("'Sheet1'!BH176")</f>
        <v>0</v>
      </c>
      <c r="F1178" t="b">
        <f t="shared" ref="F1178:F1192" ca="1" si="164">E1178=D1178</f>
        <v>0</v>
      </c>
    </row>
    <row r="1179" spans="1:6" x14ac:dyDescent="0.25">
      <c r="A1179" t="s">
        <v>1701</v>
      </c>
      <c r="B1179" t="s">
        <v>1418</v>
      </c>
      <c r="C1179" t="s">
        <v>67</v>
      </c>
      <c r="D1179" t="s">
        <v>482</v>
      </c>
      <c r="E1179">
        <f ca="1">INDIRECT("'Sheet1'!BI176")</f>
        <v>0</v>
      </c>
      <c r="F1179" t="b">
        <f t="shared" ca="1" si="164"/>
        <v>0</v>
      </c>
    </row>
    <row r="1180" spans="1:6" x14ac:dyDescent="0.25">
      <c r="A1180" t="s">
        <v>1702</v>
      </c>
      <c r="B1180" t="s">
        <v>1455</v>
      </c>
      <c r="C1180" t="s">
        <v>68</v>
      </c>
      <c r="D1180" t="s">
        <v>871</v>
      </c>
      <c r="E1180">
        <f ca="1">INDIRECT("'Sheet1'!BJ176")</f>
        <v>0</v>
      </c>
      <c r="F1180" t="b">
        <f t="shared" ca="1" si="164"/>
        <v>0</v>
      </c>
    </row>
    <row r="1181" spans="1:6" x14ac:dyDescent="0.25">
      <c r="A1181" t="s">
        <v>1703</v>
      </c>
      <c r="B1181" t="s">
        <v>1422</v>
      </c>
      <c r="C1181" t="s">
        <v>69</v>
      </c>
      <c r="D1181">
        <v>182</v>
      </c>
      <c r="E1181">
        <f ca="1">INDIRECT("'Sheet1'!BK176")</f>
        <v>0</v>
      </c>
      <c r="F1181" t="b">
        <f t="shared" ca="1" si="164"/>
        <v>0</v>
      </c>
    </row>
    <row r="1182" spans="1:6" x14ac:dyDescent="0.25">
      <c r="A1182" t="s">
        <v>1704</v>
      </c>
      <c r="B1182" t="s">
        <v>1423</v>
      </c>
      <c r="C1182" t="s">
        <v>70</v>
      </c>
      <c r="D1182" t="s">
        <v>482</v>
      </c>
      <c r="E1182">
        <f ca="1">INDIRECT("'Sheet1'!BL176")</f>
        <v>0</v>
      </c>
      <c r="F1182" t="b">
        <f t="shared" ca="1" si="164"/>
        <v>0</v>
      </c>
    </row>
    <row r="1183" spans="1:6" x14ac:dyDescent="0.25">
      <c r="A1183" t="s">
        <v>1705</v>
      </c>
      <c r="B1183" t="s">
        <v>1456</v>
      </c>
      <c r="C1183" t="s">
        <v>71</v>
      </c>
      <c r="D1183" t="s">
        <v>871</v>
      </c>
      <c r="E1183">
        <f ca="1">INDIRECT("'Sheet1'!BM176")</f>
        <v>0</v>
      </c>
      <c r="F1183" t="b">
        <f t="shared" ca="1" si="164"/>
        <v>0</v>
      </c>
    </row>
    <row r="1184" spans="1:6" x14ac:dyDescent="0.25">
      <c r="A1184" t="s">
        <v>1706</v>
      </c>
      <c r="B1184" t="s">
        <v>1435</v>
      </c>
      <c r="C1184" t="s">
        <v>72</v>
      </c>
      <c r="D1184">
        <v>181</v>
      </c>
      <c r="E1184">
        <f ca="1">INDIRECT("'Sheet1'!BN176")</f>
        <v>0</v>
      </c>
      <c r="F1184" t="b">
        <f t="shared" ca="1" si="164"/>
        <v>0</v>
      </c>
    </row>
    <row r="1185" spans="1:6" x14ac:dyDescent="0.25">
      <c r="A1185" t="s">
        <v>1707</v>
      </c>
      <c r="B1185" t="s">
        <v>1436</v>
      </c>
      <c r="C1185" t="s">
        <v>73</v>
      </c>
      <c r="D1185" t="s">
        <v>482</v>
      </c>
      <c r="E1185">
        <f ca="1">INDIRECT("'Sheet1'!BO176")</f>
        <v>0</v>
      </c>
      <c r="F1185" t="b">
        <f t="shared" ca="1" si="164"/>
        <v>0</v>
      </c>
    </row>
    <row r="1186" spans="1:6" x14ac:dyDescent="0.25">
      <c r="A1186" t="s">
        <v>1708</v>
      </c>
      <c r="B1186" t="s">
        <v>1457</v>
      </c>
      <c r="C1186" t="s">
        <v>74</v>
      </c>
      <c r="D1186" t="s">
        <v>871</v>
      </c>
      <c r="E1186">
        <f ca="1">INDIRECT("'Sheet1'!BP176")</f>
        <v>0</v>
      </c>
      <c r="F1186" t="b">
        <f t="shared" ca="1" si="164"/>
        <v>0</v>
      </c>
    </row>
    <row r="1187" spans="1:6" x14ac:dyDescent="0.25">
      <c r="A1187" t="s">
        <v>1709</v>
      </c>
      <c r="B1187" t="s">
        <v>1440</v>
      </c>
      <c r="C1187" t="s">
        <v>75</v>
      </c>
      <c r="D1187">
        <v>180</v>
      </c>
      <c r="E1187">
        <f ca="1">INDIRECT("'Sheet1'!BQ176")</f>
        <v>0</v>
      </c>
      <c r="F1187" t="b">
        <f t="shared" ca="1" si="164"/>
        <v>0</v>
      </c>
    </row>
    <row r="1188" spans="1:6" x14ac:dyDescent="0.25">
      <c r="A1188" t="s">
        <v>1710</v>
      </c>
      <c r="B1188" t="s">
        <v>1441</v>
      </c>
      <c r="C1188" t="s">
        <v>76</v>
      </c>
      <c r="D1188" t="s">
        <v>482</v>
      </c>
      <c r="E1188">
        <f ca="1">INDIRECT("'Sheet1'!BR176")</f>
        <v>0</v>
      </c>
      <c r="F1188" t="b">
        <f t="shared" ca="1" si="164"/>
        <v>0</v>
      </c>
    </row>
    <row r="1189" spans="1:6" x14ac:dyDescent="0.25">
      <c r="A1189" t="s">
        <v>1711</v>
      </c>
      <c r="B1189" t="s">
        <v>1663</v>
      </c>
      <c r="C1189" t="s">
        <v>77</v>
      </c>
      <c r="D1189" t="s">
        <v>871</v>
      </c>
      <c r="E1189">
        <f ca="1">INDIRECT("'Sheet1'!BS176")</f>
        <v>0</v>
      </c>
      <c r="F1189" t="b">
        <f t="shared" ca="1" si="164"/>
        <v>0</v>
      </c>
    </row>
    <row r="1190" spans="1:6" x14ac:dyDescent="0.25">
      <c r="A1190" t="s">
        <v>1712</v>
      </c>
      <c r="B1190" t="s">
        <v>1446</v>
      </c>
      <c r="C1190" t="s">
        <v>78</v>
      </c>
      <c r="D1190">
        <v>179</v>
      </c>
      <c r="E1190">
        <f ca="1">INDIRECT("'Sheet1'!BT176")</f>
        <v>0</v>
      </c>
      <c r="F1190" t="b">
        <f t="shared" ca="1" si="164"/>
        <v>0</v>
      </c>
    </row>
    <row r="1191" spans="1:6" x14ac:dyDescent="0.25">
      <c r="A1191" t="s">
        <v>1713</v>
      </c>
      <c r="B1191" t="s">
        <v>1447</v>
      </c>
      <c r="C1191" t="s">
        <v>79</v>
      </c>
      <c r="D1191" t="s">
        <v>482</v>
      </c>
      <c r="E1191">
        <f ca="1">INDIRECT("'Sheet1'!BU176")</f>
        <v>0</v>
      </c>
      <c r="F1191" t="b">
        <f t="shared" ca="1" si="164"/>
        <v>0</v>
      </c>
    </row>
    <row r="1192" spans="1:6" x14ac:dyDescent="0.25">
      <c r="A1192" t="s">
        <v>1714</v>
      </c>
      <c r="B1192" t="s">
        <v>1458</v>
      </c>
      <c r="C1192" t="s">
        <v>80</v>
      </c>
      <c r="D1192" t="s">
        <v>871</v>
      </c>
      <c r="E1192">
        <f ca="1">INDIRECT("'Sheet1'!BV176")</f>
        <v>0</v>
      </c>
      <c r="F1192" t="b">
        <f t="shared" ca="1" si="164"/>
        <v>0</v>
      </c>
    </row>
    <row r="1194" spans="1:6" x14ac:dyDescent="0.25">
      <c r="A1194" t="s">
        <v>1715</v>
      </c>
      <c r="B1194" t="s">
        <v>1430</v>
      </c>
      <c r="C1194" t="s">
        <v>66</v>
      </c>
      <c r="E1194">
        <f ca="1">INDIRECT("'Sheet1'!BH177")</f>
        <v>0</v>
      </c>
      <c r="F1194" t="b">
        <f t="shared" ref="F1194:F1208" ca="1" si="165">E1194=D1194</f>
        <v>1</v>
      </c>
    </row>
    <row r="1195" spans="1:6" x14ac:dyDescent="0.25">
      <c r="A1195" t="s">
        <v>1716</v>
      </c>
      <c r="B1195" t="s">
        <v>1418</v>
      </c>
      <c r="C1195" t="s">
        <v>67</v>
      </c>
      <c r="D1195" t="s">
        <v>482</v>
      </c>
      <c r="E1195">
        <f ca="1">INDIRECT("'Sheet1'!BI177")</f>
        <v>0</v>
      </c>
      <c r="F1195" t="b">
        <f t="shared" ca="1" si="165"/>
        <v>0</v>
      </c>
    </row>
    <row r="1196" spans="1:6" x14ac:dyDescent="0.25">
      <c r="A1196" t="s">
        <v>1717</v>
      </c>
      <c r="B1196" t="s">
        <v>1455</v>
      </c>
      <c r="C1196" t="s">
        <v>68</v>
      </c>
      <c r="D1196" t="s">
        <v>871</v>
      </c>
      <c r="E1196">
        <f ca="1">INDIRECT("'Sheet1'!BJ177")</f>
        <v>0</v>
      </c>
      <c r="F1196" t="b">
        <f t="shared" ca="1" si="165"/>
        <v>0</v>
      </c>
    </row>
    <row r="1197" spans="1:6" x14ac:dyDescent="0.25">
      <c r="A1197" t="s">
        <v>1718</v>
      </c>
      <c r="B1197" t="s">
        <v>1428</v>
      </c>
      <c r="C1197" t="s">
        <v>69</v>
      </c>
      <c r="E1197">
        <f ca="1">INDIRECT("'Sheet1'!BK177")</f>
        <v>0</v>
      </c>
      <c r="F1197" t="b">
        <f t="shared" ca="1" si="165"/>
        <v>1</v>
      </c>
    </row>
    <row r="1198" spans="1:6" x14ac:dyDescent="0.25">
      <c r="A1198" t="s">
        <v>1719</v>
      </c>
      <c r="B1198" t="s">
        <v>1423</v>
      </c>
      <c r="C1198" t="s">
        <v>70</v>
      </c>
      <c r="D1198" t="s">
        <v>482</v>
      </c>
      <c r="E1198">
        <f ca="1">INDIRECT("'Sheet1'!BL177")</f>
        <v>0</v>
      </c>
      <c r="F1198" t="b">
        <f t="shared" ca="1" si="165"/>
        <v>0</v>
      </c>
    </row>
    <row r="1199" spans="1:6" x14ac:dyDescent="0.25">
      <c r="A1199" t="s">
        <v>1720</v>
      </c>
      <c r="B1199" t="s">
        <v>1459</v>
      </c>
      <c r="C1199" t="s">
        <v>71</v>
      </c>
      <c r="D1199" t="s">
        <v>1020</v>
      </c>
      <c r="E1199">
        <f ca="1">INDIRECT("'Sheet1'!BM177")</f>
        <v>0</v>
      </c>
      <c r="F1199" t="b">
        <f t="shared" ca="1" si="165"/>
        <v>0</v>
      </c>
    </row>
    <row r="1200" spans="1:6" x14ac:dyDescent="0.25">
      <c r="A1200" t="s">
        <v>1721</v>
      </c>
      <c r="B1200" t="s">
        <v>1452</v>
      </c>
      <c r="C1200" t="s">
        <v>72</v>
      </c>
      <c r="E1200">
        <f ca="1">INDIRECT("'Sheet1'!BN177")</f>
        <v>0</v>
      </c>
      <c r="F1200" t="b">
        <f t="shared" ca="1" si="165"/>
        <v>1</v>
      </c>
    </row>
    <row r="1201" spans="1:6" x14ac:dyDescent="0.25">
      <c r="A1201" t="s">
        <v>1722</v>
      </c>
      <c r="B1201" t="s">
        <v>1436</v>
      </c>
      <c r="C1201" t="s">
        <v>73</v>
      </c>
      <c r="D1201" t="s">
        <v>482</v>
      </c>
      <c r="E1201">
        <f ca="1">INDIRECT("'Sheet1'!BO177")</f>
        <v>0</v>
      </c>
      <c r="F1201" t="b">
        <f t="shared" ca="1" si="165"/>
        <v>0</v>
      </c>
    </row>
    <row r="1202" spans="1:6" x14ac:dyDescent="0.25">
      <c r="A1202" t="s">
        <v>1723</v>
      </c>
      <c r="B1202" t="s">
        <v>1460</v>
      </c>
      <c r="C1202" t="s">
        <v>74</v>
      </c>
      <c r="D1202" t="s">
        <v>1021</v>
      </c>
      <c r="E1202">
        <f ca="1">INDIRECT("'Sheet1'!BP177")</f>
        <v>0</v>
      </c>
      <c r="F1202" t="b">
        <f t="shared" ca="1" si="165"/>
        <v>0</v>
      </c>
    </row>
    <row r="1203" spans="1:6" x14ac:dyDescent="0.25">
      <c r="A1203" t="s">
        <v>1724</v>
      </c>
      <c r="B1203" t="s">
        <v>1453</v>
      </c>
      <c r="C1203" t="s">
        <v>75</v>
      </c>
      <c r="E1203">
        <f ca="1">INDIRECT("'Sheet1'!BQ177")</f>
        <v>0</v>
      </c>
      <c r="F1203" t="b">
        <f t="shared" ca="1" si="165"/>
        <v>1</v>
      </c>
    </row>
    <row r="1204" spans="1:6" x14ac:dyDescent="0.25">
      <c r="A1204" t="s">
        <v>1725</v>
      </c>
      <c r="B1204" t="s">
        <v>1441</v>
      </c>
      <c r="C1204" t="s">
        <v>76</v>
      </c>
      <c r="D1204" t="s">
        <v>482</v>
      </c>
      <c r="E1204">
        <f ca="1">INDIRECT("'Sheet1'!BR177")</f>
        <v>0</v>
      </c>
      <c r="F1204" t="b">
        <f t="shared" ca="1" si="165"/>
        <v>0</v>
      </c>
    </row>
    <row r="1205" spans="1:6" x14ac:dyDescent="0.25">
      <c r="A1205" t="s">
        <v>1726</v>
      </c>
      <c r="B1205" t="s">
        <v>1662</v>
      </c>
      <c r="C1205" t="s">
        <v>77</v>
      </c>
      <c r="D1205" t="s">
        <v>1022</v>
      </c>
      <c r="E1205">
        <f ca="1">INDIRECT("'Sheet1'!BS177")</f>
        <v>0</v>
      </c>
      <c r="F1205" t="b">
        <f t="shared" ca="1" si="165"/>
        <v>0</v>
      </c>
    </row>
    <row r="1206" spans="1:6" x14ac:dyDescent="0.25">
      <c r="A1206" t="s">
        <v>1727</v>
      </c>
      <c r="B1206" t="s">
        <v>1446</v>
      </c>
      <c r="C1206" t="s">
        <v>78</v>
      </c>
      <c r="D1206">
        <v>179</v>
      </c>
      <c r="E1206">
        <f ca="1">INDIRECT("'Sheet1'!BT177")</f>
        <v>0</v>
      </c>
      <c r="F1206" t="b">
        <f t="shared" ca="1" si="165"/>
        <v>0</v>
      </c>
    </row>
    <row r="1207" spans="1:6" x14ac:dyDescent="0.25">
      <c r="A1207" t="s">
        <v>1728</v>
      </c>
      <c r="B1207" t="s">
        <v>1447</v>
      </c>
      <c r="C1207" t="s">
        <v>79</v>
      </c>
      <c r="D1207" t="s">
        <v>482</v>
      </c>
      <c r="E1207">
        <f ca="1">INDIRECT("'Sheet1'!BU177")</f>
        <v>0</v>
      </c>
      <c r="F1207" t="b">
        <f t="shared" ca="1" si="165"/>
        <v>0</v>
      </c>
    </row>
    <row r="1208" spans="1:6" x14ac:dyDescent="0.25">
      <c r="A1208" t="s">
        <v>1729</v>
      </c>
      <c r="B1208" t="s">
        <v>1461</v>
      </c>
      <c r="C1208" t="s">
        <v>80</v>
      </c>
      <c r="D1208" t="s">
        <v>675</v>
      </c>
      <c r="E1208">
        <f ca="1">INDIRECT("'Sheet1'!BV177")</f>
        <v>0</v>
      </c>
      <c r="F1208" t="b">
        <f t="shared" ca="1" si="165"/>
        <v>0</v>
      </c>
    </row>
    <row r="1210" spans="1:6" x14ac:dyDescent="0.25">
      <c r="A1210" t="s">
        <v>1730</v>
      </c>
      <c r="B1210" t="s">
        <v>1430</v>
      </c>
      <c r="C1210" t="s">
        <v>66</v>
      </c>
      <c r="E1210">
        <f ca="1">INDIRECT("'Sheet1'!BH178")</f>
        <v>0</v>
      </c>
      <c r="F1210" t="b">
        <f t="shared" ref="F1210:F1224" ca="1" si="166">E1210=D1210</f>
        <v>1</v>
      </c>
    </row>
    <row r="1211" spans="1:6" x14ac:dyDescent="0.25">
      <c r="A1211" t="s">
        <v>1731</v>
      </c>
      <c r="B1211" t="s">
        <v>1418</v>
      </c>
      <c r="C1211" t="s">
        <v>67</v>
      </c>
      <c r="D1211" t="s">
        <v>482</v>
      </c>
      <c r="E1211">
        <f ca="1">INDIRECT("'Sheet1'!BI178")</f>
        <v>0</v>
      </c>
      <c r="F1211" t="b">
        <f t="shared" ca="1" si="166"/>
        <v>0</v>
      </c>
    </row>
    <row r="1212" spans="1:6" x14ac:dyDescent="0.25">
      <c r="A1212" t="s">
        <v>1732</v>
      </c>
      <c r="B1212" t="s">
        <v>1455</v>
      </c>
      <c r="C1212" t="s">
        <v>68</v>
      </c>
      <c r="D1212" t="s">
        <v>871</v>
      </c>
      <c r="E1212">
        <f ca="1">INDIRECT("'Sheet1'!BJ178")</f>
        <v>0</v>
      </c>
      <c r="F1212" t="b">
        <f t="shared" ca="1" si="166"/>
        <v>0</v>
      </c>
    </row>
    <row r="1213" spans="1:6" x14ac:dyDescent="0.25">
      <c r="A1213" t="s">
        <v>1733</v>
      </c>
      <c r="B1213" t="s">
        <v>1428</v>
      </c>
      <c r="C1213" t="s">
        <v>69</v>
      </c>
      <c r="E1213">
        <f ca="1">INDIRECT("'Sheet1'!BK178")</f>
        <v>0</v>
      </c>
      <c r="F1213" t="b">
        <f t="shared" ca="1" si="166"/>
        <v>1</v>
      </c>
    </row>
    <row r="1214" spans="1:6" x14ac:dyDescent="0.25">
      <c r="A1214" t="s">
        <v>1734</v>
      </c>
      <c r="B1214" t="s">
        <v>1423</v>
      </c>
      <c r="C1214" t="s">
        <v>70</v>
      </c>
      <c r="D1214" t="s">
        <v>482</v>
      </c>
      <c r="E1214">
        <f ca="1">INDIRECT("'Sheet1'!BL178")</f>
        <v>0</v>
      </c>
      <c r="F1214" t="b">
        <f t="shared" ca="1" si="166"/>
        <v>0</v>
      </c>
    </row>
    <row r="1215" spans="1:6" x14ac:dyDescent="0.25">
      <c r="A1215" t="s">
        <v>1735</v>
      </c>
      <c r="B1215" t="s">
        <v>1459</v>
      </c>
      <c r="C1215" t="s">
        <v>71</v>
      </c>
      <c r="D1215" t="s">
        <v>1020</v>
      </c>
      <c r="E1215">
        <f ca="1">INDIRECT("'Sheet1'!BM178")</f>
        <v>0</v>
      </c>
      <c r="F1215" t="b">
        <f t="shared" ca="1" si="166"/>
        <v>0</v>
      </c>
    </row>
    <row r="1216" spans="1:6" x14ac:dyDescent="0.25">
      <c r="A1216" t="s">
        <v>1736</v>
      </c>
      <c r="B1216" t="s">
        <v>1452</v>
      </c>
      <c r="C1216" t="s">
        <v>72</v>
      </c>
      <c r="E1216">
        <f ca="1">INDIRECT("'Sheet1'!BN178")</f>
        <v>0</v>
      </c>
      <c r="F1216" t="b">
        <f t="shared" ca="1" si="166"/>
        <v>1</v>
      </c>
    </row>
    <row r="1217" spans="1:6" x14ac:dyDescent="0.25">
      <c r="A1217" t="s">
        <v>1737</v>
      </c>
      <c r="B1217" t="s">
        <v>1436</v>
      </c>
      <c r="C1217" t="s">
        <v>73</v>
      </c>
      <c r="D1217" t="s">
        <v>482</v>
      </c>
      <c r="E1217">
        <f ca="1">INDIRECT("'Sheet1'!BO178")</f>
        <v>0</v>
      </c>
      <c r="F1217" t="b">
        <f t="shared" ca="1" si="166"/>
        <v>0</v>
      </c>
    </row>
    <row r="1218" spans="1:6" x14ac:dyDescent="0.25">
      <c r="A1218" t="s">
        <v>1738</v>
      </c>
      <c r="B1218" t="s">
        <v>1460</v>
      </c>
      <c r="C1218" t="s">
        <v>74</v>
      </c>
      <c r="D1218" t="s">
        <v>1021</v>
      </c>
      <c r="E1218">
        <f ca="1">INDIRECT("'Sheet1'!BP178")</f>
        <v>0</v>
      </c>
      <c r="F1218" t="b">
        <f t="shared" ca="1" si="166"/>
        <v>0</v>
      </c>
    </row>
    <row r="1219" spans="1:6" x14ac:dyDescent="0.25">
      <c r="A1219" t="s">
        <v>1739</v>
      </c>
      <c r="B1219" t="s">
        <v>1453</v>
      </c>
      <c r="C1219" t="s">
        <v>75</v>
      </c>
      <c r="E1219">
        <f ca="1">INDIRECT("'Sheet1'!BQ178")</f>
        <v>0</v>
      </c>
      <c r="F1219" t="b">
        <f t="shared" ca="1" si="166"/>
        <v>1</v>
      </c>
    </row>
    <row r="1220" spans="1:6" x14ac:dyDescent="0.25">
      <c r="A1220" t="s">
        <v>1740</v>
      </c>
      <c r="B1220" t="s">
        <v>1441</v>
      </c>
      <c r="C1220" t="s">
        <v>76</v>
      </c>
      <c r="D1220" t="s">
        <v>482</v>
      </c>
      <c r="E1220">
        <f ca="1">INDIRECT("'Sheet1'!BR178")</f>
        <v>0</v>
      </c>
      <c r="F1220" t="b">
        <f t="shared" ca="1" si="166"/>
        <v>0</v>
      </c>
    </row>
    <row r="1221" spans="1:6" x14ac:dyDescent="0.25">
      <c r="A1221" t="s">
        <v>1741</v>
      </c>
      <c r="B1221" t="s">
        <v>1662</v>
      </c>
      <c r="C1221" t="s">
        <v>77</v>
      </c>
      <c r="D1221" t="s">
        <v>1022</v>
      </c>
      <c r="E1221">
        <f ca="1">INDIRECT("'Sheet1'!BS178")</f>
        <v>0</v>
      </c>
      <c r="F1221" t="b">
        <f t="shared" ca="1" si="166"/>
        <v>0</v>
      </c>
    </row>
    <row r="1222" spans="1:6" x14ac:dyDescent="0.25">
      <c r="A1222" t="s">
        <v>1742</v>
      </c>
      <c r="B1222" t="s">
        <v>1446</v>
      </c>
      <c r="C1222" t="s">
        <v>78</v>
      </c>
      <c r="D1222">
        <v>179</v>
      </c>
      <c r="E1222">
        <f ca="1">INDIRECT("'Sheet1'!BT178")</f>
        <v>0</v>
      </c>
      <c r="F1222" t="b">
        <f t="shared" ca="1" si="166"/>
        <v>0</v>
      </c>
    </row>
    <row r="1223" spans="1:6" x14ac:dyDescent="0.25">
      <c r="A1223" t="s">
        <v>1743</v>
      </c>
      <c r="B1223" t="s">
        <v>1447</v>
      </c>
      <c r="C1223" t="s">
        <v>79</v>
      </c>
      <c r="D1223" t="s">
        <v>482</v>
      </c>
      <c r="E1223">
        <f ca="1">INDIRECT("'Sheet1'!BU178")</f>
        <v>0</v>
      </c>
      <c r="F1223" t="b">
        <f t="shared" ca="1" si="166"/>
        <v>0</v>
      </c>
    </row>
    <row r="1224" spans="1:6" x14ac:dyDescent="0.25">
      <c r="A1224" t="s">
        <v>1744</v>
      </c>
      <c r="B1224" t="s">
        <v>1461</v>
      </c>
      <c r="C1224" t="s">
        <v>80</v>
      </c>
      <c r="D1224" t="s">
        <v>675</v>
      </c>
      <c r="E1224">
        <f ca="1">INDIRECT("'Sheet1'!BV178")</f>
        <v>0</v>
      </c>
      <c r="F1224" t="b">
        <f t="shared" ca="1" si="166"/>
        <v>0</v>
      </c>
    </row>
    <row r="1226" spans="1:6" x14ac:dyDescent="0.25">
      <c r="A1226" t="s">
        <v>1745</v>
      </c>
      <c r="B1226" t="s">
        <v>1417</v>
      </c>
      <c r="C1226" t="s">
        <v>66</v>
      </c>
      <c r="D1226">
        <v>183</v>
      </c>
      <c r="E1226">
        <f ca="1">INDIRECT("'Sheet1'!BH179")</f>
        <v>0</v>
      </c>
      <c r="F1226" t="b">
        <f t="shared" ref="F1226:F1273" ca="1" si="167">E1226=D1226</f>
        <v>0</v>
      </c>
    </row>
    <row r="1227" spans="1:6" x14ac:dyDescent="0.25">
      <c r="A1227" t="s">
        <v>1746</v>
      </c>
      <c r="B1227" t="s">
        <v>1418</v>
      </c>
      <c r="C1227" t="s">
        <v>67</v>
      </c>
      <c r="D1227" t="s">
        <v>482</v>
      </c>
      <c r="E1227">
        <f ca="1">INDIRECT("'Sheet1'!BI179")</f>
        <v>0</v>
      </c>
      <c r="F1227" t="b">
        <f t="shared" ca="1" si="167"/>
        <v>0</v>
      </c>
    </row>
    <row r="1228" spans="1:6" x14ac:dyDescent="0.25">
      <c r="A1228" t="s">
        <v>1747</v>
      </c>
      <c r="B1228" t="s">
        <v>1419</v>
      </c>
      <c r="C1228" t="s">
        <v>68</v>
      </c>
      <c r="D1228" t="s">
        <v>673</v>
      </c>
      <c r="E1228">
        <f ca="1">INDIRECT("'Sheet1'!BJ179")</f>
        <v>0</v>
      </c>
      <c r="F1228" t="b">
        <f t="shared" ca="1" si="167"/>
        <v>0</v>
      </c>
    </row>
    <row r="1229" spans="1:6" x14ac:dyDescent="0.25">
      <c r="A1229" t="s">
        <v>1748</v>
      </c>
      <c r="B1229" t="s">
        <v>1428</v>
      </c>
      <c r="C1229" t="s">
        <v>69</v>
      </c>
      <c r="E1229">
        <f ca="1">INDIRECT("'Sheet1'!BK179")</f>
        <v>0</v>
      </c>
      <c r="F1229" t="b">
        <f t="shared" ca="1" si="167"/>
        <v>1</v>
      </c>
    </row>
    <row r="1230" spans="1:6" x14ac:dyDescent="0.25">
      <c r="A1230" t="s">
        <v>1749</v>
      </c>
      <c r="B1230" t="s">
        <v>1423</v>
      </c>
      <c r="C1230" t="s">
        <v>70</v>
      </c>
      <c r="D1230" t="s">
        <v>482</v>
      </c>
      <c r="E1230">
        <f ca="1">INDIRECT("'Sheet1'!BL179")</f>
        <v>0</v>
      </c>
      <c r="F1230" t="b">
        <f t="shared" ca="1" si="167"/>
        <v>0</v>
      </c>
    </row>
    <row r="1231" spans="1:6" x14ac:dyDescent="0.25">
      <c r="A1231" t="s">
        <v>1750</v>
      </c>
      <c r="B1231" t="s">
        <v>1459</v>
      </c>
      <c r="C1231" t="s">
        <v>71</v>
      </c>
      <c r="D1231" t="s">
        <v>1020</v>
      </c>
      <c r="E1231">
        <f ca="1">INDIRECT("'Sheet1'!BM179")</f>
        <v>0</v>
      </c>
      <c r="F1231" t="b">
        <f t="shared" ca="1" si="167"/>
        <v>0</v>
      </c>
    </row>
    <row r="1232" spans="1:6" x14ac:dyDescent="0.25">
      <c r="A1232" t="s">
        <v>1751</v>
      </c>
      <c r="B1232" t="s">
        <v>1452</v>
      </c>
      <c r="C1232" t="s">
        <v>72</v>
      </c>
      <c r="E1232">
        <f ca="1">INDIRECT("'Sheet1'!BN179")</f>
        <v>0</v>
      </c>
      <c r="F1232" t="b">
        <f t="shared" ca="1" si="167"/>
        <v>1</v>
      </c>
    </row>
    <row r="1233" spans="1:6" x14ac:dyDescent="0.25">
      <c r="A1233" t="s">
        <v>1752</v>
      </c>
      <c r="B1233" t="s">
        <v>1436</v>
      </c>
      <c r="C1233" t="s">
        <v>73</v>
      </c>
      <c r="D1233" t="s">
        <v>482</v>
      </c>
      <c r="E1233">
        <f ca="1">INDIRECT("'Sheet1'!BO179")</f>
        <v>0</v>
      </c>
      <c r="F1233" t="b">
        <f t="shared" ca="1" si="167"/>
        <v>0</v>
      </c>
    </row>
    <row r="1234" spans="1:6" x14ac:dyDescent="0.25">
      <c r="A1234" t="s">
        <v>1753</v>
      </c>
      <c r="B1234" t="s">
        <v>1460</v>
      </c>
      <c r="C1234" t="s">
        <v>74</v>
      </c>
      <c r="D1234" t="s">
        <v>1021</v>
      </c>
      <c r="E1234">
        <f ca="1">INDIRECT("'Sheet1'!BP179")</f>
        <v>0</v>
      </c>
      <c r="F1234" t="b">
        <f t="shared" ca="1" si="167"/>
        <v>0</v>
      </c>
    </row>
    <row r="1235" spans="1:6" x14ac:dyDescent="0.25">
      <c r="A1235" t="s">
        <v>1754</v>
      </c>
      <c r="B1235" t="s">
        <v>1453</v>
      </c>
      <c r="C1235" t="s">
        <v>75</v>
      </c>
      <c r="E1235">
        <f ca="1">INDIRECT("'Sheet1'!BQ179")</f>
        <v>0</v>
      </c>
      <c r="F1235" t="b">
        <f t="shared" ca="1" si="167"/>
        <v>1</v>
      </c>
    </row>
    <row r="1236" spans="1:6" x14ac:dyDescent="0.25">
      <c r="A1236" t="s">
        <v>1755</v>
      </c>
      <c r="B1236" t="s">
        <v>1441</v>
      </c>
      <c r="C1236" t="s">
        <v>76</v>
      </c>
      <c r="D1236" t="s">
        <v>482</v>
      </c>
      <c r="E1236">
        <f ca="1">INDIRECT("'Sheet1'!BR179")</f>
        <v>0</v>
      </c>
      <c r="F1236" t="b">
        <f t="shared" ca="1" si="167"/>
        <v>0</v>
      </c>
    </row>
    <row r="1237" spans="1:6" x14ac:dyDescent="0.25">
      <c r="A1237" t="s">
        <v>1756</v>
      </c>
      <c r="B1237" t="s">
        <v>1662</v>
      </c>
      <c r="C1237" t="s">
        <v>77</v>
      </c>
      <c r="D1237" t="s">
        <v>1022</v>
      </c>
      <c r="E1237">
        <f ca="1">INDIRECT("'Sheet1'!BS179")</f>
        <v>0</v>
      </c>
      <c r="F1237" t="b">
        <f t="shared" ca="1" si="167"/>
        <v>0</v>
      </c>
    </row>
    <row r="1238" spans="1:6" x14ac:dyDescent="0.25">
      <c r="A1238" t="s">
        <v>1757</v>
      </c>
      <c r="B1238" t="s">
        <v>1454</v>
      </c>
      <c r="C1238" t="s">
        <v>78</v>
      </c>
      <c r="E1238">
        <f ca="1">INDIRECT("'Sheet1'!BT179")</f>
        <v>0</v>
      </c>
      <c r="F1238" t="b">
        <f t="shared" ca="1" si="167"/>
        <v>1</v>
      </c>
    </row>
    <row r="1239" spans="1:6" x14ac:dyDescent="0.25">
      <c r="A1239" t="s">
        <v>1758</v>
      </c>
      <c r="B1239" t="s">
        <v>1447</v>
      </c>
      <c r="C1239" t="s">
        <v>79</v>
      </c>
      <c r="D1239" t="s">
        <v>482</v>
      </c>
      <c r="E1239">
        <f ca="1">INDIRECT("'Sheet1'!BU179")</f>
        <v>0</v>
      </c>
      <c r="F1239" t="b">
        <f t="shared" ca="1" si="167"/>
        <v>0</v>
      </c>
    </row>
    <row r="1240" spans="1:6" x14ac:dyDescent="0.25">
      <c r="A1240" t="s">
        <v>1759</v>
      </c>
      <c r="B1240" t="s">
        <v>1462</v>
      </c>
      <c r="C1240" t="s">
        <v>80</v>
      </c>
      <c r="D1240" t="s">
        <v>1237</v>
      </c>
      <c r="E1240">
        <f ca="1">INDIRECT("'Sheet1'!BV179")</f>
        <v>0</v>
      </c>
      <c r="F1240" t="b">
        <f t="shared" ca="1" si="167"/>
        <v>0</v>
      </c>
    </row>
    <row r="1242" spans="1:6" x14ac:dyDescent="0.25">
      <c r="A1242" t="s">
        <v>1760</v>
      </c>
      <c r="B1242" t="s">
        <v>1767</v>
      </c>
      <c r="C1242" t="s">
        <v>81</v>
      </c>
      <c r="D1242" t="s">
        <v>681</v>
      </c>
      <c r="E1242">
        <f ca="1">INDIRECT("'Sheet1'!BW180")</f>
        <v>0</v>
      </c>
      <c r="F1242" t="b">
        <f t="shared" ca="1" si="167"/>
        <v>0</v>
      </c>
    </row>
    <row r="1243" spans="1:6" x14ac:dyDescent="0.25">
      <c r="A1243" t="s">
        <v>1761</v>
      </c>
      <c r="B1243" t="s">
        <v>1771</v>
      </c>
      <c r="C1243" t="s">
        <v>82</v>
      </c>
      <c r="D1243" t="s">
        <v>1766</v>
      </c>
      <c r="E1243">
        <f ca="1">INDIRECT("'Sheet1'!BX180")</f>
        <v>0</v>
      </c>
      <c r="F1243" t="b">
        <f t="shared" ca="1" si="167"/>
        <v>0</v>
      </c>
    </row>
    <row r="1245" spans="1:6" x14ac:dyDescent="0.25">
      <c r="A1245" t="s">
        <v>1762</v>
      </c>
      <c r="B1245" t="s">
        <v>1768</v>
      </c>
      <c r="C1245" t="s">
        <v>81</v>
      </c>
      <c r="D1245" t="s">
        <v>682</v>
      </c>
      <c r="E1245">
        <f ca="1">INDIRECT("'Sheet1'!BW181")</f>
        <v>0</v>
      </c>
      <c r="F1245" t="b">
        <f t="shared" ca="1" si="167"/>
        <v>0</v>
      </c>
    </row>
    <row r="1246" spans="1:6" x14ac:dyDescent="0.25">
      <c r="A1246" t="s">
        <v>1763</v>
      </c>
      <c r="B1246" t="s">
        <v>1771</v>
      </c>
      <c r="C1246" t="s">
        <v>82</v>
      </c>
      <c r="D1246" t="s">
        <v>671</v>
      </c>
      <c r="E1246">
        <f ca="1">INDIRECT("'Sheet1'!BX181")</f>
        <v>0</v>
      </c>
      <c r="F1246" t="b">
        <f t="shared" ca="1" si="167"/>
        <v>0</v>
      </c>
    </row>
    <row r="1248" spans="1:6" x14ac:dyDescent="0.25">
      <c r="A1248" t="s">
        <v>1764</v>
      </c>
      <c r="B1248" t="s">
        <v>1769</v>
      </c>
      <c r="C1248" t="s">
        <v>81</v>
      </c>
      <c r="D1248" t="s">
        <v>683</v>
      </c>
      <c r="E1248">
        <f ca="1">INDIRECT("'Sheet1'!BW182")</f>
        <v>0</v>
      </c>
      <c r="F1248" t="b">
        <f t="shared" ca="1" si="167"/>
        <v>0</v>
      </c>
    </row>
    <row r="1249" spans="1:6" x14ac:dyDescent="0.25">
      <c r="A1249" t="s">
        <v>1765</v>
      </c>
      <c r="B1249" t="s">
        <v>1771</v>
      </c>
      <c r="C1249" t="s">
        <v>82</v>
      </c>
      <c r="D1249" t="s">
        <v>1770</v>
      </c>
      <c r="E1249">
        <f ca="1">INDIRECT("'Sheet1'!BX182")</f>
        <v>0</v>
      </c>
      <c r="F1249" t="b">
        <f t="shared" ca="1" si="167"/>
        <v>0</v>
      </c>
    </row>
    <row r="1251" spans="1:6" x14ac:dyDescent="0.25">
      <c r="A1251" t="s">
        <v>1772</v>
      </c>
      <c r="B1251" t="s">
        <v>829</v>
      </c>
      <c r="C1251" t="s">
        <v>83</v>
      </c>
      <c r="D1251">
        <v>0.01</v>
      </c>
      <c r="E1251">
        <f ca="1">INDIRECT("'Sheet1'!BY183")</f>
        <v>0</v>
      </c>
      <c r="F1251" t="b">
        <f t="shared" ca="1" si="167"/>
        <v>0</v>
      </c>
    </row>
    <row r="1252" spans="1:6" x14ac:dyDescent="0.25">
      <c r="A1252" t="s">
        <v>1773</v>
      </c>
      <c r="B1252" t="s">
        <v>1784</v>
      </c>
      <c r="C1252" t="s">
        <v>84</v>
      </c>
      <c r="D1252" t="s">
        <v>494</v>
      </c>
      <c r="E1252">
        <f ca="1">INDIRECT("'Sheet1'!BZ183")</f>
        <v>0</v>
      </c>
      <c r="F1252" t="b">
        <f t="shared" ca="1" si="167"/>
        <v>0</v>
      </c>
    </row>
    <row r="1253" spans="1:6" x14ac:dyDescent="0.25">
      <c r="A1253" t="s">
        <v>1774</v>
      </c>
      <c r="B1253" t="s">
        <v>1782</v>
      </c>
      <c r="C1253" t="s">
        <v>85</v>
      </c>
      <c r="D1253" t="s">
        <v>681</v>
      </c>
      <c r="E1253">
        <f ca="1">INDIRECT("'Sheet1'!CA183")</f>
        <v>0</v>
      </c>
      <c r="F1253" t="b">
        <f t="shared" ca="1" si="167"/>
        <v>0</v>
      </c>
    </row>
    <row r="1255" spans="1:6" x14ac:dyDescent="0.25">
      <c r="A1255" t="s">
        <v>1775</v>
      </c>
      <c r="B1255" t="s">
        <v>829</v>
      </c>
      <c r="C1255" t="s">
        <v>83</v>
      </c>
      <c r="D1255" t="s">
        <v>520</v>
      </c>
      <c r="E1255">
        <f ca="1">INDIRECT("'Sheet1'!BY184")</f>
        <v>0</v>
      </c>
      <c r="F1255" t="b">
        <f t="shared" ca="1" si="167"/>
        <v>0</v>
      </c>
    </row>
    <row r="1256" spans="1:6" x14ac:dyDescent="0.25">
      <c r="A1256" t="s">
        <v>1776</v>
      </c>
      <c r="B1256" t="s">
        <v>1784</v>
      </c>
      <c r="C1256" t="s">
        <v>84</v>
      </c>
      <c r="D1256" t="s">
        <v>494</v>
      </c>
      <c r="E1256">
        <f ca="1">INDIRECT("'Sheet1'!BZ184")</f>
        <v>0</v>
      </c>
      <c r="F1256" t="b">
        <f t="shared" ca="1" si="167"/>
        <v>0</v>
      </c>
    </row>
    <row r="1257" spans="1:6" x14ac:dyDescent="0.25">
      <c r="A1257" t="s">
        <v>1777</v>
      </c>
      <c r="B1257" t="s">
        <v>1781</v>
      </c>
      <c r="C1257" t="s">
        <v>85</v>
      </c>
      <c r="D1257" t="s">
        <v>682</v>
      </c>
      <c r="E1257">
        <f ca="1">INDIRECT("'Sheet1'!CA184")</f>
        <v>0</v>
      </c>
      <c r="F1257" t="b">
        <f t="shared" ca="1" si="167"/>
        <v>0</v>
      </c>
    </row>
    <row r="1259" spans="1:6" x14ac:dyDescent="0.25">
      <c r="A1259" t="s">
        <v>1778</v>
      </c>
      <c r="B1259" t="s">
        <v>829</v>
      </c>
      <c r="C1259" t="s">
        <v>83</v>
      </c>
      <c r="D1259" t="s">
        <v>534</v>
      </c>
      <c r="E1259">
        <f ca="1">INDIRECT("'Sheet1'!BY185")</f>
        <v>0</v>
      </c>
      <c r="F1259" t="b">
        <f t="shared" ca="1" si="167"/>
        <v>0</v>
      </c>
    </row>
    <row r="1260" spans="1:6" x14ac:dyDescent="0.25">
      <c r="A1260" t="s">
        <v>1779</v>
      </c>
      <c r="B1260" t="s">
        <v>1784</v>
      </c>
      <c r="C1260" t="s">
        <v>84</v>
      </c>
      <c r="D1260" t="s">
        <v>494</v>
      </c>
      <c r="E1260">
        <f ca="1">INDIRECT("'Sheet1'!BZ185")</f>
        <v>0</v>
      </c>
      <c r="F1260" t="b">
        <f t="shared" ca="1" si="167"/>
        <v>0</v>
      </c>
    </row>
    <row r="1261" spans="1:6" x14ac:dyDescent="0.25">
      <c r="A1261" t="s">
        <v>1780</v>
      </c>
      <c r="B1261" t="s">
        <v>1783</v>
      </c>
      <c r="C1261" t="s">
        <v>85</v>
      </c>
      <c r="D1261" t="s">
        <v>683</v>
      </c>
      <c r="E1261">
        <f ca="1">INDIRECT("'Sheet1'!CA185")</f>
        <v>0</v>
      </c>
      <c r="F1261" t="b">
        <f t="shared" ca="1" si="167"/>
        <v>0</v>
      </c>
    </row>
    <row r="1263" spans="1:6" x14ac:dyDescent="0.25">
      <c r="A1263" t="s">
        <v>1785</v>
      </c>
      <c r="B1263" t="s">
        <v>828</v>
      </c>
      <c r="C1263" t="s">
        <v>86</v>
      </c>
      <c r="D1263">
        <v>0.01</v>
      </c>
      <c r="E1263">
        <f ca="1">INDIRECT("'Sheet1'!CB186")</f>
        <v>0</v>
      </c>
      <c r="F1263" t="b">
        <f t="shared" ca="1" si="167"/>
        <v>0</v>
      </c>
    </row>
    <row r="1264" spans="1:6" x14ac:dyDescent="0.25">
      <c r="A1264" t="s">
        <v>1786</v>
      </c>
      <c r="B1264" t="s">
        <v>1794</v>
      </c>
      <c r="C1264" t="s">
        <v>87</v>
      </c>
      <c r="D1264" t="s">
        <v>495</v>
      </c>
      <c r="E1264">
        <f ca="1">INDIRECT("'Sheet1'!CC186")</f>
        <v>0</v>
      </c>
      <c r="F1264" t="b">
        <f t="shared" ca="1" si="167"/>
        <v>0</v>
      </c>
    </row>
    <row r="1265" spans="1:6" x14ac:dyDescent="0.25">
      <c r="A1265" t="s">
        <v>1787</v>
      </c>
      <c r="B1265" t="s">
        <v>1795</v>
      </c>
      <c r="C1265" t="s">
        <v>88</v>
      </c>
      <c r="D1265" t="s">
        <v>681</v>
      </c>
      <c r="E1265">
        <f ca="1">INDIRECT("'Sheet1'!CD186")</f>
        <v>0</v>
      </c>
      <c r="F1265" t="b">
        <f t="shared" ca="1" si="167"/>
        <v>0</v>
      </c>
    </row>
    <row r="1267" spans="1:6" x14ac:dyDescent="0.25">
      <c r="A1267" t="s">
        <v>1788</v>
      </c>
      <c r="B1267" t="s">
        <v>828</v>
      </c>
      <c r="C1267" t="s">
        <v>86</v>
      </c>
      <c r="D1267" t="s">
        <v>521</v>
      </c>
      <c r="E1267">
        <f ca="1">INDIRECT("'Sheet1'!CB187")</f>
        <v>0</v>
      </c>
      <c r="F1267" t="b">
        <f t="shared" ca="1" si="167"/>
        <v>0</v>
      </c>
    </row>
    <row r="1268" spans="1:6" x14ac:dyDescent="0.25">
      <c r="A1268" t="s">
        <v>1789</v>
      </c>
      <c r="B1268" t="s">
        <v>1794</v>
      </c>
      <c r="C1268" t="s">
        <v>87</v>
      </c>
      <c r="D1268" t="s">
        <v>495</v>
      </c>
      <c r="E1268">
        <f ca="1">INDIRECT("'Sheet1'!CC187")</f>
        <v>0</v>
      </c>
      <c r="F1268" t="b">
        <f t="shared" ca="1" si="167"/>
        <v>0</v>
      </c>
    </row>
    <row r="1269" spans="1:6" x14ac:dyDescent="0.25">
      <c r="A1269" t="s">
        <v>1790</v>
      </c>
      <c r="B1269" t="s">
        <v>1796</v>
      </c>
      <c r="C1269" t="s">
        <v>88</v>
      </c>
      <c r="D1269" t="s">
        <v>682</v>
      </c>
      <c r="E1269">
        <f ca="1">INDIRECT("'Sheet1'!CD187")</f>
        <v>0</v>
      </c>
      <c r="F1269" t="b">
        <f t="shared" ca="1" si="167"/>
        <v>0</v>
      </c>
    </row>
    <row r="1271" spans="1:6" x14ac:dyDescent="0.25">
      <c r="A1271" t="s">
        <v>1791</v>
      </c>
      <c r="B1271" t="s">
        <v>828</v>
      </c>
      <c r="C1271" t="s">
        <v>86</v>
      </c>
      <c r="D1271" t="s">
        <v>533</v>
      </c>
      <c r="E1271">
        <f ca="1">INDIRECT("'Sheet1'!CB188")</f>
        <v>0</v>
      </c>
      <c r="F1271" t="b">
        <f t="shared" ca="1" si="167"/>
        <v>0</v>
      </c>
    </row>
    <row r="1272" spans="1:6" x14ac:dyDescent="0.25">
      <c r="A1272" t="s">
        <v>1792</v>
      </c>
      <c r="B1272" t="s">
        <v>1794</v>
      </c>
      <c r="C1272" t="s">
        <v>87</v>
      </c>
      <c r="D1272" t="s">
        <v>495</v>
      </c>
      <c r="E1272">
        <f ca="1">INDIRECT("'Sheet1'!CC188")</f>
        <v>0</v>
      </c>
      <c r="F1272" t="b">
        <f t="shared" ca="1" si="167"/>
        <v>0</v>
      </c>
    </row>
    <row r="1273" spans="1:6" x14ac:dyDescent="0.25">
      <c r="A1273" t="s">
        <v>1793</v>
      </c>
      <c r="B1273" t="s">
        <v>1797</v>
      </c>
      <c r="C1273" t="s">
        <v>88</v>
      </c>
      <c r="D1273" t="s">
        <v>683</v>
      </c>
      <c r="E1273">
        <f ca="1">INDIRECT("'Sheet1'!CD188")</f>
        <v>0</v>
      </c>
      <c r="F1273" t="b">
        <f t="shared" ca="1" si="167"/>
        <v>0</v>
      </c>
    </row>
    <row r="1275" spans="1:6" x14ac:dyDescent="0.25">
      <c r="A1275" t="s">
        <v>1799</v>
      </c>
      <c r="B1275" t="s">
        <v>1798</v>
      </c>
      <c r="C1275" t="s">
        <v>14</v>
      </c>
      <c r="D1275" t="s">
        <v>672</v>
      </c>
      <c r="E1275">
        <f ca="1">INDIRECT("'Sheet1'!G189")</f>
        <v>0</v>
      </c>
      <c r="F1275" t="b">
        <f ca="1">E1275=D1275</f>
        <v>0</v>
      </c>
    </row>
    <row r="1277" spans="1:6" x14ac:dyDescent="0.25">
      <c r="A1277" t="s">
        <v>1799</v>
      </c>
      <c r="B1277" t="s">
        <v>686</v>
      </c>
      <c r="C1277" t="s">
        <v>7</v>
      </c>
      <c r="D1277" t="s">
        <v>532</v>
      </c>
      <c r="E1277">
        <f ca="1">INDIRECT("'Sheet1'!A189")</f>
        <v>0</v>
      </c>
      <c r="F1277" t="b">
        <f t="shared" ref="F1277:F1340" ca="1" si="168">E1277=D1277</f>
        <v>0</v>
      </c>
    </row>
    <row r="1278" spans="1:6" x14ac:dyDescent="0.25">
      <c r="A1278" t="s">
        <v>1800</v>
      </c>
      <c r="B1278" t="s">
        <v>685</v>
      </c>
      <c r="C1278" t="s">
        <v>9</v>
      </c>
      <c r="D1278" t="s">
        <v>670</v>
      </c>
      <c r="E1278">
        <f ca="1">INDIRECT("'Sheet1'!B189")</f>
        <v>0</v>
      </c>
      <c r="F1278" t="b">
        <f t="shared" ca="1" si="168"/>
        <v>0</v>
      </c>
    </row>
    <row r="1279" spans="1:6" x14ac:dyDescent="0.25">
      <c r="A1279" t="s">
        <v>1801</v>
      </c>
      <c r="B1279" t="s">
        <v>801</v>
      </c>
      <c r="C1279" t="s">
        <v>10</v>
      </c>
      <c r="D1279">
        <v>1.78</v>
      </c>
      <c r="E1279">
        <f ca="1">INDIRECT("'Sheet1'!C189")</f>
        <v>0</v>
      </c>
      <c r="F1279" t="b">
        <f t="shared" ca="1" si="168"/>
        <v>0</v>
      </c>
    </row>
    <row r="1280" spans="1:6" x14ac:dyDescent="0.25">
      <c r="A1280" t="s">
        <v>1802</v>
      </c>
      <c r="B1280" t="s">
        <v>802</v>
      </c>
      <c r="C1280" t="s">
        <v>11</v>
      </c>
      <c r="D1280" t="s">
        <v>95</v>
      </c>
      <c r="E1280">
        <f ca="1">INDIRECT("'Sheet1'!D189")</f>
        <v>0</v>
      </c>
      <c r="F1280" t="b">
        <f t="shared" ca="1" si="168"/>
        <v>0</v>
      </c>
    </row>
    <row r="1281" spans="1:6" x14ac:dyDescent="0.25">
      <c r="A1281" t="s">
        <v>1803</v>
      </c>
      <c r="B1281" t="s">
        <v>689</v>
      </c>
      <c r="C1281" t="s">
        <v>12</v>
      </c>
      <c r="D1281">
        <v>101</v>
      </c>
      <c r="E1281">
        <f ca="1">INDIRECT("'Sheet1'!E189")</f>
        <v>0</v>
      </c>
      <c r="F1281" t="b">
        <f t="shared" ca="1" si="168"/>
        <v>0</v>
      </c>
    </row>
    <row r="1282" spans="1:6" x14ac:dyDescent="0.25">
      <c r="A1282" t="s">
        <v>1804</v>
      </c>
      <c r="B1282" t="s">
        <v>790</v>
      </c>
      <c r="C1282" t="s">
        <v>13</v>
      </c>
      <c r="D1282" t="s">
        <v>670</v>
      </c>
      <c r="E1282" s="4">
        <f ca="1">INDIRECT("'Sheet1'!F189")</f>
        <v>0</v>
      </c>
      <c r="F1282" t="b">
        <f t="shared" ca="1" si="168"/>
        <v>0</v>
      </c>
    </row>
    <row r="1283" spans="1:6" x14ac:dyDescent="0.25">
      <c r="A1283" t="s">
        <v>1805</v>
      </c>
      <c r="B1283" t="s">
        <v>688</v>
      </c>
      <c r="C1283" t="s">
        <v>14</v>
      </c>
      <c r="D1283" t="s">
        <v>672</v>
      </c>
      <c r="E1283">
        <f ca="1">INDIRECT("'Sheet1'!G189")</f>
        <v>0</v>
      </c>
      <c r="F1283" t="b">
        <f t="shared" ca="1" si="168"/>
        <v>0</v>
      </c>
    </row>
    <row r="1284" spans="1:6" x14ac:dyDescent="0.25">
      <c r="A1284" t="s">
        <v>1806</v>
      </c>
      <c r="B1284" t="s">
        <v>89</v>
      </c>
      <c r="C1284" t="s">
        <v>0</v>
      </c>
      <c r="D1284" t="s">
        <v>2</v>
      </c>
      <c r="E1284">
        <f ca="1">INDIRECT("'Sheet1'!H189")</f>
        <v>0</v>
      </c>
      <c r="F1284" t="b">
        <f t="shared" ca="1" si="168"/>
        <v>0</v>
      </c>
    </row>
    <row r="1285" spans="1:6" x14ac:dyDescent="0.25">
      <c r="A1285" t="s">
        <v>1807</v>
      </c>
      <c r="B1285" t="s">
        <v>803</v>
      </c>
      <c r="C1285" t="s">
        <v>15</v>
      </c>
      <c r="D1285">
        <v>45</v>
      </c>
      <c r="E1285">
        <f ca="1">INDIRECT("'Sheet1'!I189")</f>
        <v>0</v>
      </c>
      <c r="F1285" t="b">
        <f t="shared" ca="1" si="168"/>
        <v>0</v>
      </c>
    </row>
    <row r="1286" spans="1:6" x14ac:dyDescent="0.25">
      <c r="A1286" t="s">
        <v>1808</v>
      </c>
      <c r="B1286" t="s">
        <v>856</v>
      </c>
      <c r="C1286" t="s">
        <v>16</v>
      </c>
      <c r="D1286" s="4" t="s">
        <v>673</v>
      </c>
      <c r="E1286" s="4">
        <f ca="1">INDIRECT("'Sheet1'!J189")</f>
        <v>0</v>
      </c>
      <c r="F1286" t="b">
        <f t="shared" ca="1" si="168"/>
        <v>0</v>
      </c>
    </row>
    <row r="1287" spans="1:6" x14ac:dyDescent="0.25">
      <c r="A1287" t="s">
        <v>1809</v>
      </c>
      <c r="B1287" t="s">
        <v>804</v>
      </c>
      <c r="C1287" t="s">
        <v>17</v>
      </c>
      <c r="E1287">
        <f ca="1">INDIRECT("'Sheet1'!K189")</f>
        <v>0</v>
      </c>
      <c r="F1287" t="b">
        <f t="shared" ca="1" si="168"/>
        <v>1</v>
      </c>
    </row>
    <row r="1288" spans="1:6" x14ac:dyDescent="0.25">
      <c r="A1288" t="s">
        <v>1810</v>
      </c>
      <c r="B1288" t="s">
        <v>857</v>
      </c>
      <c r="C1288" t="s">
        <v>18</v>
      </c>
      <c r="D1288" s="4" t="s">
        <v>673</v>
      </c>
      <c r="E1288" s="4">
        <f ca="1">INDIRECT("'Sheet1'!L189")</f>
        <v>0</v>
      </c>
      <c r="F1288" t="b">
        <f t="shared" ca="1" si="168"/>
        <v>0</v>
      </c>
    </row>
    <row r="1289" spans="1:6" x14ac:dyDescent="0.25">
      <c r="A1289" t="s">
        <v>1811</v>
      </c>
      <c r="B1289" t="s">
        <v>805</v>
      </c>
      <c r="C1289" t="s">
        <v>19</v>
      </c>
      <c r="E1289">
        <f ca="1">INDIRECT("'Sheet1'!M189")</f>
        <v>0</v>
      </c>
      <c r="F1289" t="b">
        <f t="shared" ca="1" si="168"/>
        <v>1</v>
      </c>
    </row>
    <row r="1290" spans="1:6" x14ac:dyDescent="0.25">
      <c r="A1290" t="s">
        <v>1812</v>
      </c>
      <c r="B1290" t="s">
        <v>858</v>
      </c>
      <c r="C1290" t="s">
        <v>20</v>
      </c>
      <c r="D1290" s="4" t="s">
        <v>673</v>
      </c>
      <c r="E1290" s="4">
        <f ca="1">INDIRECT("'Sheet1'!N189")</f>
        <v>0</v>
      </c>
      <c r="F1290" t="b">
        <f t="shared" ca="1" si="168"/>
        <v>0</v>
      </c>
    </row>
    <row r="1291" spans="1:6" x14ac:dyDescent="0.25">
      <c r="A1291" t="s">
        <v>1813</v>
      </c>
      <c r="B1291" t="s">
        <v>806</v>
      </c>
      <c r="C1291" t="s">
        <v>21</v>
      </c>
      <c r="E1291">
        <f ca="1">INDIRECT("'Sheet1'!O189")</f>
        <v>0</v>
      </c>
      <c r="F1291" t="b">
        <f t="shared" ca="1" si="168"/>
        <v>1</v>
      </c>
    </row>
    <row r="1292" spans="1:6" x14ac:dyDescent="0.25">
      <c r="A1292" t="s">
        <v>1814</v>
      </c>
      <c r="B1292" t="s">
        <v>859</v>
      </c>
      <c r="C1292" t="s">
        <v>22</v>
      </c>
      <c r="D1292" s="4" t="s">
        <v>673</v>
      </c>
      <c r="E1292" s="4">
        <f ca="1">INDIRECT("'Sheet1'!P189")</f>
        <v>0</v>
      </c>
      <c r="F1292" t="b">
        <f t="shared" ca="1" si="168"/>
        <v>0</v>
      </c>
    </row>
    <row r="1293" spans="1:6" x14ac:dyDescent="0.25">
      <c r="A1293" t="s">
        <v>1815</v>
      </c>
      <c r="B1293" t="s">
        <v>807</v>
      </c>
      <c r="C1293" t="s">
        <v>23</v>
      </c>
      <c r="E1293">
        <f ca="1">INDIRECT("'Sheet1'!Q189")</f>
        <v>0</v>
      </c>
      <c r="F1293" t="b">
        <f t="shared" ca="1" si="168"/>
        <v>1</v>
      </c>
    </row>
    <row r="1294" spans="1:6" x14ac:dyDescent="0.25">
      <c r="A1294" t="s">
        <v>1816</v>
      </c>
      <c r="B1294" t="s">
        <v>860</v>
      </c>
      <c r="C1294" t="s">
        <v>24</v>
      </c>
      <c r="D1294" s="4" t="s">
        <v>673</v>
      </c>
      <c r="E1294" s="4">
        <f ca="1">INDIRECT("'Sheet1'!R189")</f>
        <v>0</v>
      </c>
      <c r="F1294" t="b">
        <f t="shared" ca="1" si="168"/>
        <v>0</v>
      </c>
    </row>
    <row r="1295" spans="1:6" x14ac:dyDescent="0.25">
      <c r="A1295" t="s">
        <v>1817</v>
      </c>
      <c r="B1295" t="s">
        <v>808</v>
      </c>
      <c r="C1295" t="s">
        <v>25</v>
      </c>
      <c r="D1295">
        <v>100</v>
      </c>
      <c r="E1295">
        <f ca="1">INDIRECT("'Sheet1'!S189")</f>
        <v>0</v>
      </c>
      <c r="F1295" t="b">
        <f t="shared" ca="1" si="168"/>
        <v>0</v>
      </c>
    </row>
    <row r="1296" spans="1:6" x14ac:dyDescent="0.25">
      <c r="A1296" t="s">
        <v>1818</v>
      </c>
      <c r="B1296" t="s">
        <v>809</v>
      </c>
      <c r="C1296" t="s">
        <v>26</v>
      </c>
      <c r="D1296" t="s">
        <v>96</v>
      </c>
      <c r="E1296">
        <f ca="1">INDIRECT("'Sheet1'!T189")</f>
        <v>0</v>
      </c>
      <c r="F1296" t="b">
        <f t="shared" ca="1" si="168"/>
        <v>0</v>
      </c>
    </row>
    <row r="1297" spans="1:6" x14ac:dyDescent="0.25">
      <c r="A1297" t="s">
        <v>1819</v>
      </c>
      <c r="B1297" t="s">
        <v>861</v>
      </c>
      <c r="C1297" t="s">
        <v>27</v>
      </c>
      <c r="D1297" s="4" t="s">
        <v>679</v>
      </c>
      <c r="E1297" s="4">
        <f ca="1">INDIRECT("'Sheet1'!U189")</f>
        <v>0</v>
      </c>
      <c r="F1297" t="b">
        <f t="shared" ca="1" si="168"/>
        <v>0</v>
      </c>
    </row>
    <row r="1298" spans="1:6" x14ac:dyDescent="0.25">
      <c r="A1298" t="s">
        <v>1820</v>
      </c>
      <c r="B1298" t="s">
        <v>810</v>
      </c>
      <c r="C1298" t="s">
        <v>28</v>
      </c>
      <c r="E1298">
        <f ca="1">INDIRECT("'Sheet1'!V189")</f>
        <v>0</v>
      </c>
      <c r="F1298" t="b">
        <f t="shared" ca="1" si="168"/>
        <v>1</v>
      </c>
    </row>
    <row r="1299" spans="1:6" x14ac:dyDescent="0.25">
      <c r="A1299" t="s">
        <v>1821</v>
      </c>
      <c r="B1299" t="s">
        <v>811</v>
      </c>
      <c r="C1299" t="s">
        <v>29</v>
      </c>
      <c r="D1299" t="s">
        <v>96</v>
      </c>
      <c r="E1299">
        <f ca="1">INDIRECT("'Sheet1'!W189")</f>
        <v>0</v>
      </c>
      <c r="F1299" t="b">
        <f t="shared" ca="1" si="168"/>
        <v>0</v>
      </c>
    </row>
    <row r="1300" spans="1:6" x14ac:dyDescent="0.25">
      <c r="A1300" t="s">
        <v>1822</v>
      </c>
      <c r="B1300" t="s">
        <v>862</v>
      </c>
      <c r="C1300" t="s">
        <v>30</v>
      </c>
      <c r="D1300" s="4" t="s">
        <v>680</v>
      </c>
      <c r="E1300" s="4">
        <f ca="1">INDIRECT("'Sheet1'!X189")</f>
        <v>0</v>
      </c>
      <c r="F1300" t="b">
        <f t="shared" ca="1" si="168"/>
        <v>0</v>
      </c>
    </row>
    <row r="1301" spans="1:6" x14ac:dyDescent="0.25">
      <c r="A1301" t="s">
        <v>1823</v>
      </c>
      <c r="B1301" t="s">
        <v>812</v>
      </c>
      <c r="C1301" t="s">
        <v>31</v>
      </c>
      <c r="E1301">
        <f ca="1">INDIRECT("'Sheet1'!Y189")</f>
        <v>0</v>
      </c>
      <c r="F1301" t="b">
        <f t="shared" ca="1" si="168"/>
        <v>1</v>
      </c>
    </row>
    <row r="1302" spans="1:6" x14ac:dyDescent="0.25">
      <c r="A1302" t="s">
        <v>1824</v>
      </c>
      <c r="B1302" t="s">
        <v>813</v>
      </c>
      <c r="C1302" t="s">
        <v>32</v>
      </c>
      <c r="D1302" t="s">
        <v>96</v>
      </c>
      <c r="E1302">
        <f ca="1">INDIRECT("'Sheet1'!Z189")</f>
        <v>0</v>
      </c>
      <c r="F1302" t="b">
        <f t="shared" ca="1" si="168"/>
        <v>0</v>
      </c>
    </row>
    <row r="1303" spans="1:6" x14ac:dyDescent="0.25">
      <c r="A1303" t="s">
        <v>1825</v>
      </c>
      <c r="B1303" t="s">
        <v>863</v>
      </c>
      <c r="C1303" t="s">
        <v>33</v>
      </c>
      <c r="D1303" s="4" t="s">
        <v>680</v>
      </c>
      <c r="E1303" s="4">
        <f ca="1">INDIRECT("'Sheet1'!AA189")</f>
        <v>0</v>
      </c>
      <c r="F1303" t="b">
        <f t="shared" ca="1" si="168"/>
        <v>0</v>
      </c>
    </row>
    <row r="1304" spans="1:6" x14ac:dyDescent="0.25">
      <c r="A1304" t="s">
        <v>1826</v>
      </c>
      <c r="B1304" t="s">
        <v>814</v>
      </c>
      <c r="C1304" t="s">
        <v>34</v>
      </c>
      <c r="D1304">
        <v>103</v>
      </c>
      <c r="E1304">
        <f ca="1">INDIRECT("'Sheet1'!AB189")</f>
        <v>0</v>
      </c>
      <c r="F1304" t="b">
        <f t="shared" ca="1" si="168"/>
        <v>0</v>
      </c>
    </row>
    <row r="1305" spans="1:6" x14ac:dyDescent="0.25">
      <c r="A1305" t="s">
        <v>1827</v>
      </c>
      <c r="B1305" t="s">
        <v>815</v>
      </c>
      <c r="C1305" t="s">
        <v>35</v>
      </c>
      <c r="D1305" t="s">
        <v>96</v>
      </c>
      <c r="E1305">
        <f ca="1">INDIRECT("'Sheet1'!AC189")</f>
        <v>0</v>
      </c>
      <c r="F1305" t="b">
        <f t="shared" ca="1" si="168"/>
        <v>0</v>
      </c>
    </row>
    <row r="1306" spans="1:6" x14ac:dyDescent="0.25">
      <c r="A1306" t="s">
        <v>1828</v>
      </c>
      <c r="B1306" t="s">
        <v>864</v>
      </c>
      <c r="C1306" t="s">
        <v>36</v>
      </c>
      <c r="D1306" s="4" t="s">
        <v>679</v>
      </c>
      <c r="E1306" s="4">
        <f ca="1">INDIRECT("'Sheet1'!AD189")</f>
        <v>0</v>
      </c>
      <c r="F1306" t="b">
        <f t="shared" ca="1" si="168"/>
        <v>0</v>
      </c>
    </row>
    <row r="1307" spans="1:6" x14ac:dyDescent="0.25">
      <c r="A1307" t="s">
        <v>1829</v>
      </c>
      <c r="B1307" t="s">
        <v>865</v>
      </c>
      <c r="C1307" t="s">
        <v>37</v>
      </c>
      <c r="E1307">
        <f ca="1">INDIRECT("'Sheet1'!AE189")</f>
        <v>0</v>
      </c>
      <c r="F1307" t="b">
        <f t="shared" ca="1" si="168"/>
        <v>1</v>
      </c>
    </row>
    <row r="1308" spans="1:6" x14ac:dyDescent="0.25">
      <c r="A1308" t="s">
        <v>1830</v>
      </c>
      <c r="B1308" t="s">
        <v>816</v>
      </c>
      <c r="C1308" t="s">
        <v>38</v>
      </c>
      <c r="D1308" t="s">
        <v>96</v>
      </c>
      <c r="E1308">
        <f ca="1">INDIRECT("'Sheet1'!AF189")</f>
        <v>0</v>
      </c>
      <c r="F1308" t="b">
        <f t="shared" ca="1" si="168"/>
        <v>0</v>
      </c>
    </row>
    <row r="1309" spans="1:6" x14ac:dyDescent="0.25">
      <c r="A1309" t="s">
        <v>1831</v>
      </c>
      <c r="B1309" t="s">
        <v>866</v>
      </c>
      <c r="C1309" t="s">
        <v>39</v>
      </c>
      <c r="D1309" s="4" t="s">
        <v>673</v>
      </c>
      <c r="E1309" s="4">
        <f ca="1">INDIRECT("'Sheet1'!AG189")</f>
        <v>0</v>
      </c>
      <c r="F1309" t="b">
        <f t="shared" ca="1" si="168"/>
        <v>0</v>
      </c>
    </row>
    <row r="1310" spans="1:6" x14ac:dyDescent="0.25">
      <c r="A1310" t="s">
        <v>1832</v>
      </c>
      <c r="B1310" t="s">
        <v>867</v>
      </c>
      <c r="C1310" t="s">
        <v>40</v>
      </c>
      <c r="E1310">
        <f ca="1">INDIRECT("'Sheet1'!AH189")</f>
        <v>0</v>
      </c>
      <c r="F1310" t="b">
        <f t="shared" ca="1" si="168"/>
        <v>1</v>
      </c>
    </row>
    <row r="1311" spans="1:6" x14ac:dyDescent="0.25">
      <c r="A1311" t="s">
        <v>1833</v>
      </c>
      <c r="B1311" t="s">
        <v>817</v>
      </c>
      <c r="C1311" t="s">
        <v>41</v>
      </c>
      <c r="D1311" t="s">
        <v>96</v>
      </c>
      <c r="E1311">
        <f ca="1">INDIRECT("'Sheet1'!AI189")</f>
        <v>0</v>
      </c>
      <c r="F1311" t="b">
        <f t="shared" ca="1" si="168"/>
        <v>0</v>
      </c>
    </row>
    <row r="1312" spans="1:6" x14ac:dyDescent="0.25">
      <c r="A1312" t="s">
        <v>1834</v>
      </c>
      <c r="B1312" t="s">
        <v>868</v>
      </c>
      <c r="C1312" t="s">
        <v>42</v>
      </c>
      <c r="D1312" s="4" t="s">
        <v>677</v>
      </c>
      <c r="E1312" s="4">
        <f ca="1">INDIRECT("'Sheet1'!AJ189")</f>
        <v>0</v>
      </c>
      <c r="F1312" t="b">
        <f t="shared" ca="1" si="168"/>
        <v>0</v>
      </c>
    </row>
    <row r="1313" spans="1:6" x14ac:dyDescent="0.25">
      <c r="A1313" t="s">
        <v>1835</v>
      </c>
      <c r="B1313" t="s">
        <v>869</v>
      </c>
      <c r="C1313" t="s">
        <v>43</v>
      </c>
      <c r="E1313">
        <f ca="1">INDIRECT("'Sheet1'!AK189")</f>
        <v>0</v>
      </c>
      <c r="F1313" t="b">
        <f t="shared" ca="1" si="168"/>
        <v>1</v>
      </c>
    </row>
    <row r="1314" spans="1:6" x14ac:dyDescent="0.25">
      <c r="A1314" t="s">
        <v>1836</v>
      </c>
      <c r="B1314" t="s">
        <v>818</v>
      </c>
      <c r="C1314" t="s">
        <v>44</v>
      </c>
      <c r="D1314" t="s">
        <v>96</v>
      </c>
      <c r="E1314">
        <f ca="1">INDIRECT("'Sheet1'!AL189")</f>
        <v>0</v>
      </c>
      <c r="F1314" t="b">
        <f t="shared" ca="1" si="168"/>
        <v>0</v>
      </c>
    </row>
    <row r="1315" spans="1:6" x14ac:dyDescent="0.25">
      <c r="A1315" t="s">
        <v>1837</v>
      </c>
      <c r="B1315" t="s">
        <v>870</v>
      </c>
      <c r="C1315" t="s">
        <v>45</v>
      </c>
      <c r="D1315" s="4" t="s">
        <v>675</v>
      </c>
      <c r="E1315" s="4">
        <f ca="1">INDIRECT("'Sheet1'!AM189")</f>
        <v>0</v>
      </c>
      <c r="F1315" t="b">
        <f t="shared" ca="1" si="168"/>
        <v>0</v>
      </c>
    </row>
    <row r="1316" spans="1:6" x14ac:dyDescent="0.25">
      <c r="A1316" t="s">
        <v>1838</v>
      </c>
      <c r="B1316" t="s">
        <v>844</v>
      </c>
      <c r="C1316" t="s">
        <v>46</v>
      </c>
      <c r="D1316">
        <v>30</v>
      </c>
      <c r="E1316">
        <f ca="1">INDIRECT("'Sheet1'!AN189")</f>
        <v>0</v>
      </c>
      <c r="F1316" t="b">
        <f t="shared" ca="1" si="168"/>
        <v>0</v>
      </c>
    </row>
    <row r="1317" spans="1:6" x14ac:dyDescent="0.25">
      <c r="A1317" t="s">
        <v>1839</v>
      </c>
      <c r="B1317" t="s">
        <v>845</v>
      </c>
      <c r="C1317" t="s">
        <v>47</v>
      </c>
      <c r="D1317" s="4" t="s">
        <v>679</v>
      </c>
      <c r="E1317" s="4">
        <f ca="1">INDIRECT("'Sheet1'!AO189")</f>
        <v>0</v>
      </c>
      <c r="F1317" t="b">
        <f t="shared" ca="1" si="168"/>
        <v>0</v>
      </c>
    </row>
    <row r="1318" spans="1:6" x14ac:dyDescent="0.25">
      <c r="A1318" t="s">
        <v>1840</v>
      </c>
      <c r="B1318" t="s">
        <v>846</v>
      </c>
      <c r="C1318" t="s">
        <v>48</v>
      </c>
      <c r="E1318">
        <f ca="1">INDIRECT("'Sheet1'!AP189")</f>
        <v>0</v>
      </c>
      <c r="F1318" t="b">
        <f t="shared" ca="1" si="168"/>
        <v>1</v>
      </c>
    </row>
    <row r="1319" spans="1:6" x14ac:dyDescent="0.25">
      <c r="A1319" t="s">
        <v>1841</v>
      </c>
      <c r="B1319" t="s">
        <v>847</v>
      </c>
      <c r="C1319" t="s">
        <v>49</v>
      </c>
      <c r="D1319" s="4" t="s">
        <v>680</v>
      </c>
      <c r="E1319" s="4">
        <f ca="1">INDIRECT("'Sheet1'!AQ189")</f>
        <v>0</v>
      </c>
      <c r="F1319" t="b">
        <f t="shared" ca="1" si="168"/>
        <v>0</v>
      </c>
    </row>
    <row r="1320" spans="1:6" x14ac:dyDescent="0.25">
      <c r="A1320" t="s">
        <v>1842</v>
      </c>
      <c r="B1320" t="s">
        <v>848</v>
      </c>
      <c r="C1320" t="s">
        <v>50</v>
      </c>
      <c r="D1320">
        <v>28</v>
      </c>
      <c r="E1320">
        <f ca="1">INDIRECT("'Sheet1'!AR189")</f>
        <v>0</v>
      </c>
      <c r="F1320" t="b">
        <f t="shared" ca="1" si="168"/>
        <v>0</v>
      </c>
    </row>
    <row r="1321" spans="1:6" x14ac:dyDescent="0.25">
      <c r="A1321" t="s">
        <v>1843</v>
      </c>
      <c r="B1321" t="s">
        <v>1886</v>
      </c>
      <c r="C1321" t="s">
        <v>51</v>
      </c>
      <c r="D1321" s="4" t="s">
        <v>679</v>
      </c>
      <c r="E1321" s="4">
        <f ca="1">INDIRECT("'Sheet1'!AS189")</f>
        <v>0</v>
      </c>
      <c r="F1321" t="b">
        <f t="shared" ca="1" si="168"/>
        <v>0</v>
      </c>
    </row>
    <row r="1322" spans="1:6" x14ac:dyDescent="0.25">
      <c r="A1322" t="s">
        <v>1844</v>
      </c>
      <c r="B1322" t="s">
        <v>849</v>
      </c>
      <c r="C1322" t="s">
        <v>52</v>
      </c>
      <c r="E1322">
        <f ca="1">INDIRECT("'Sheet1'!AT189")</f>
        <v>0</v>
      </c>
      <c r="F1322" t="b">
        <f t="shared" ca="1" si="168"/>
        <v>1</v>
      </c>
    </row>
    <row r="1323" spans="1:6" x14ac:dyDescent="0.25">
      <c r="A1323" t="s">
        <v>1845</v>
      </c>
      <c r="B1323" t="s">
        <v>1885</v>
      </c>
      <c r="C1323" t="s">
        <v>53</v>
      </c>
      <c r="D1323" s="4" t="s">
        <v>680</v>
      </c>
      <c r="E1323" s="4">
        <f ca="1">INDIRECT("'Sheet1'!AU189")</f>
        <v>0</v>
      </c>
      <c r="F1323" t="b">
        <f t="shared" ca="1" si="168"/>
        <v>0</v>
      </c>
    </row>
    <row r="1324" spans="1:6" x14ac:dyDescent="0.25">
      <c r="A1324" t="s">
        <v>1846</v>
      </c>
      <c r="B1324" t="s">
        <v>850</v>
      </c>
      <c r="C1324" t="s">
        <v>54</v>
      </c>
      <c r="E1324">
        <f ca="1">INDIRECT("'Sheet1'!AV189")</f>
        <v>0</v>
      </c>
      <c r="F1324" t="b">
        <f t="shared" ca="1" si="168"/>
        <v>1</v>
      </c>
    </row>
    <row r="1325" spans="1:6" x14ac:dyDescent="0.25">
      <c r="A1325" t="s">
        <v>1847</v>
      </c>
      <c r="B1325" t="s">
        <v>851</v>
      </c>
      <c r="C1325" t="s">
        <v>55</v>
      </c>
      <c r="D1325" s="4" t="s">
        <v>673</v>
      </c>
      <c r="E1325" s="4">
        <f ca="1">INDIRECT("'Sheet1'!AW189")</f>
        <v>0</v>
      </c>
      <c r="F1325" t="b">
        <f t="shared" ca="1" si="168"/>
        <v>0</v>
      </c>
    </row>
    <row r="1326" spans="1:6" x14ac:dyDescent="0.25">
      <c r="A1326" t="s">
        <v>1848</v>
      </c>
      <c r="B1326" t="s">
        <v>852</v>
      </c>
      <c r="C1326" t="s">
        <v>56</v>
      </c>
      <c r="E1326">
        <f ca="1">INDIRECT("'Sheet1'!AX189")</f>
        <v>0</v>
      </c>
      <c r="F1326" t="b">
        <f t="shared" ca="1" si="168"/>
        <v>1</v>
      </c>
    </row>
    <row r="1327" spans="1:6" x14ac:dyDescent="0.25">
      <c r="A1327" t="s">
        <v>1849</v>
      </c>
      <c r="B1327" t="s">
        <v>853</v>
      </c>
      <c r="C1327" t="s">
        <v>57</v>
      </c>
      <c r="D1327" s="4" t="s">
        <v>677</v>
      </c>
      <c r="E1327" s="4">
        <f ca="1">INDIRECT("'Sheet1'!AY189")</f>
        <v>0</v>
      </c>
      <c r="F1327" t="b">
        <f t="shared" ca="1" si="168"/>
        <v>0</v>
      </c>
    </row>
    <row r="1328" spans="1:6" x14ac:dyDescent="0.25">
      <c r="A1328" t="s">
        <v>1850</v>
      </c>
      <c r="B1328" t="s">
        <v>854</v>
      </c>
      <c r="C1328" t="s">
        <v>58</v>
      </c>
      <c r="E1328">
        <f ca="1">INDIRECT("'Sheet1'!AZ189")</f>
        <v>0</v>
      </c>
      <c r="F1328" t="b">
        <f t="shared" ca="1" si="168"/>
        <v>1</v>
      </c>
    </row>
    <row r="1329" spans="1:6" x14ac:dyDescent="0.25">
      <c r="A1329" t="s">
        <v>1851</v>
      </c>
      <c r="B1329" t="s">
        <v>855</v>
      </c>
      <c r="C1329" t="s">
        <v>59</v>
      </c>
      <c r="D1329" s="4" t="s">
        <v>675</v>
      </c>
      <c r="E1329" s="4">
        <f ca="1">INDIRECT("'Sheet1'!BA189")</f>
        <v>0</v>
      </c>
      <c r="F1329" t="b">
        <f t="shared" ca="1" si="168"/>
        <v>0</v>
      </c>
    </row>
    <row r="1330" spans="1:6" x14ac:dyDescent="0.25">
      <c r="A1330" t="s">
        <v>1852</v>
      </c>
      <c r="B1330" t="s">
        <v>843</v>
      </c>
      <c r="C1330" t="s">
        <v>60</v>
      </c>
      <c r="D1330">
        <v>185</v>
      </c>
      <c r="E1330">
        <f ca="1">INDIRECT("'Sheet1'!BB189")</f>
        <v>0</v>
      </c>
      <c r="F1330" t="b">
        <f t="shared" ca="1" si="168"/>
        <v>0</v>
      </c>
    </row>
    <row r="1331" spans="1:6" x14ac:dyDescent="0.25">
      <c r="A1331" t="s">
        <v>1853</v>
      </c>
      <c r="B1331" t="s">
        <v>819</v>
      </c>
      <c r="C1331" t="s">
        <v>61</v>
      </c>
      <c r="D1331" t="s">
        <v>482</v>
      </c>
      <c r="E1331">
        <f ca="1">INDIRECT("'Sheet1'!BC189")</f>
        <v>0</v>
      </c>
      <c r="F1331" t="b">
        <f t="shared" ca="1" si="168"/>
        <v>0</v>
      </c>
    </row>
    <row r="1332" spans="1:6" x14ac:dyDescent="0.25">
      <c r="A1332" t="s">
        <v>1854</v>
      </c>
      <c r="B1332" t="s">
        <v>842</v>
      </c>
      <c r="C1332" t="s">
        <v>62</v>
      </c>
      <c r="D1332" s="4" t="s">
        <v>679</v>
      </c>
      <c r="E1332" s="4">
        <f ca="1">INDIRECT("'Sheet1'!BD189")</f>
        <v>0</v>
      </c>
      <c r="F1332" t="b">
        <f t="shared" ca="1" si="168"/>
        <v>0</v>
      </c>
    </row>
    <row r="1333" spans="1:6" x14ac:dyDescent="0.25">
      <c r="A1333" t="s">
        <v>1855</v>
      </c>
      <c r="B1333" t="s">
        <v>841</v>
      </c>
      <c r="C1333" t="s">
        <v>63</v>
      </c>
      <c r="E1333">
        <f ca="1">INDIRECT("'Sheet1'!BE189")</f>
        <v>0</v>
      </c>
      <c r="F1333" t="b">
        <f t="shared" ca="1" si="168"/>
        <v>1</v>
      </c>
    </row>
    <row r="1334" spans="1:6" x14ac:dyDescent="0.25">
      <c r="A1334" t="s">
        <v>1856</v>
      </c>
      <c r="B1334" t="s">
        <v>820</v>
      </c>
      <c r="C1334" t="s">
        <v>64</v>
      </c>
      <c r="D1334" t="s">
        <v>482</v>
      </c>
      <c r="E1334">
        <f ca="1">INDIRECT("'Sheet1'!BF189")</f>
        <v>0</v>
      </c>
      <c r="F1334" t="b">
        <f t="shared" ca="1" si="168"/>
        <v>0</v>
      </c>
    </row>
    <row r="1335" spans="1:6" x14ac:dyDescent="0.25">
      <c r="A1335" t="s">
        <v>1857</v>
      </c>
      <c r="B1335" t="s">
        <v>840</v>
      </c>
      <c r="C1335" t="s">
        <v>65</v>
      </c>
      <c r="D1335" s="4" t="s">
        <v>680</v>
      </c>
      <c r="E1335" s="4">
        <f ca="1">INDIRECT("'Sheet1'!BG189")</f>
        <v>0</v>
      </c>
      <c r="F1335" t="b">
        <f t="shared" ca="1" si="168"/>
        <v>0</v>
      </c>
    </row>
    <row r="1336" spans="1:6" x14ac:dyDescent="0.25">
      <c r="A1336" t="s">
        <v>1858</v>
      </c>
      <c r="B1336" t="s">
        <v>839</v>
      </c>
      <c r="C1336" t="s">
        <v>66</v>
      </c>
      <c r="D1336">
        <v>1.83</v>
      </c>
      <c r="E1336">
        <f ca="1">INDIRECT("'Sheet1'!BH189")</f>
        <v>0</v>
      </c>
      <c r="F1336" t="b">
        <f t="shared" ca="1" si="168"/>
        <v>0</v>
      </c>
    </row>
    <row r="1337" spans="1:6" x14ac:dyDescent="0.25">
      <c r="A1337" t="s">
        <v>1859</v>
      </c>
      <c r="B1337" t="s">
        <v>821</v>
      </c>
      <c r="C1337" t="s">
        <v>67</v>
      </c>
      <c r="D1337" t="s">
        <v>95</v>
      </c>
      <c r="E1337">
        <f ca="1">INDIRECT("'Sheet1'!BI189")</f>
        <v>0</v>
      </c>
      <c r="F1337" t="b">
        <f t="shared" ca="1" si="168"/>
        <v>0</v>
      </c>
    </row>
    <row r="1338" spans="1:6" x14ac:dyDescent="0.25">
      <c r="A1338" t="s">
        <v>1860</v>
      </c>
      <c r="B1338" t="s">
        <v>1884</v>
      </c>
      <c r="C1338" t="s">
        <v>68</v>
      </c>
      <c r="D1338" s="4" t="s">
        <v>679</v>
      </c>
      <c r="E1338" s="4">
        <f ca="1">INDIRECT("'Sheet1'!BJ189")</f>
        <v>0</v>
      </c>
      <c r="F1338" t="b">
        <f t="shared" ca="1" si="168"/>
        <v>0</v>
      </c>
    </row>
    <row r="1339" spans="1:6" x14ac:dyDescent="0.25">
      <c r="A1339" t="s">
        <v>1861</v>
      </c>
      <c r="B1339" t="s">
        <v>838</v>
      </c>
      <c r="C1339" t="s">
        <v>69</v>
      </c>
      <c r="E1339">
        <f ca="1">INDIRECT("'Sheet1'!BK189")</f>
        <v>0</v>
      </c>
      <c r="F1339" t="b">
        <f t="shared" ca="1" si="168"/>
        <v>1</v>
      </c>
    </row>
    <row r="1340" spans="1:6" x14ac:dyDescent="0.25">
      <c r="A1340" t="s">
        <v>1862</v>
      </c>
      <c r="B1340" t="s">
        <v>822</v>
      </c>
      <c r="C1340" t="s">
        <v>70</v>
      </c>
      <c r="D1340" t="s">
        <v>482</v>
      </c>
      <c r="E1340">
        <f ca="1">INDIRECT("'Sheet1'!BL189")</f>
        <v>0</v>
      </c>
      <c r="F1340" t="b">
        <f t="shared" ca="1" si="168"/>
        <v>0</v>
      </c>
    </row>
    <row r="1341" spans="1:6" x14ac:dyDescent="0.25">
      <c r="A1341" t="s">
        <v>1863</v>
      </c>
      <c r="B1341" t="s">
        <v>1883</v>
      </c>
      <c r="C1341" t="s">
        <v>71</v>
      </c>
      <c r="D1341" s="4" t="s">
        <v>680</v>
      </c>
      <c r="E1341" s="4">
        <f ca="1">INDIRECT("'Sheet1'!BM189")</f>
        <v>0</v>
      </c>
      <c r="F1341" t="b">
        <f t="shared" ref="F1341:F1358" ca="1" si="169">E1341=D1341</f>
        <v>0</v>
      </c>
    </row>
    <row r="1342" spans="1:6" x14ac:dyDescent="0.25">
      <c r="A1342" t="s">
        <v>1864</v>
      </c>
      <c r="B1342" t="s">
        <v>837</v>
      </c>
      <c r="C1342" t="s">
        <v>72</v>
      </c>
      <c r="E1342">
        <f ca="1">INDIRECT("'Sheet1'!BN189")</f>
        <v>0</v>
      </c>
      <c r="F1342" t="b">
        <f t="shared" ca="1" si="169"/>
        <v>1</v>
      </c>
    </row>
    <row r="1343" spans="1:6" x14ac:dyDescent="0.25">
      <c r="A1343" t="s">
        <v>1865</v>
      </c>
      <c r="B1343" t="s">
        <v>823</v>
      </c>
      <c r="C1343" t="s">
        <v>73</v>
      </c>
      <c r="D1343" t="s">
        <v>482</v>
      </c>
      <c r="E1343">
        <f ca="1">INDIRECT("'Sheet1'!BO189")</f>
        <v>0</v>
      </c>
      <c r="F1343" t="b">
        <f t="shared" ca="1" si="169"/>
        <v>0</v>
      </c>
    </row>
    <row r="1344" spans="1:6" x14ac:dyDescent="0.25">
      <c r="A1344" t="s">
        <v>1866</v>
      </c>
      <c r="B1344" t="s">
        <v>836</v>
      </c>
      <c r="C1344" t="s">
        <v>74</v>
      </c>
      <c r="D1344" s="4" t="s">
        <v>673</v>
      </c>
      <c r="E1344" s="4">
        <f ca="1">INDIRECT("'Sheet1'!BP189")</f>
        <v>0</v>
      </c>
      <c r="F1344" t="b">
        <f t="shared" ca="1" si="169"/>
        <v>0</v>
      </c>
    </row>
    <row r="1345" spans="1:6" x14ac:dyDescent="0.25">
      <c r="A1345" t="s">
        <v>1867</v>
      </c>
      <c r="B1345" t="s">
        <v>835</v>
      </c>
      <c r="C1345" t="s">
        <v>75</v>
      </c>
      <c r="E1345">
        <f ca="1">INDIRECT("'Sheet1'!BQ189")</f>
        <v>0</v>
      </c>
      <c r="F1345" t="b">
        <f t="shared" ca="1" si="169"/>
        <v>1</v>
      </c>
    </row>
    <row r="1346" spans="1:6" x14ac:dyDescent="0.25">
      <c r="A1346" t="s">
        <v>1868</v>
      </c>
      <c r="B1346" t="s">
        <v>824</v>
      </c>
      <c r="C1346" t="s">
        <v>76</v>
      </c>
      <c r="D1346" t="s">
        <v>482</v>
      </c>
      <c r="E1346">
        <f ca="1">INDIRECT("'Sheet1'!BR189")</f>
        <v>0</v>
      </c>
      <c r="F1346" t="b">
        <f t="shared" ca="1" si="169"/>
        <v>0</v>
      </c>
    </row>
    <row r="1347" spans="1:6" x14ac:dyDescent="0.25">
      <c r="A1347" t="s">
        <v>1869</v>
      </c>
      <c r="B1347" t="s">
        <v>834</v>
      </c>
      <c r="C1347" t="s">
        <v>77</v>
      </c>
      <c r="D1347" s="4" t="s">
        <v>677</v>
      </c>
      <c r="E1347" s="4">
        <f ca="1">INDIRECT("'Sheet1'!BS189")</f>
        <v>0</v>
      </c>
      <c r="F1347" t="b">
        <f t="shared" ca="1" si="169"/>
        <v>0</v>
      </c>
    </row>
    <row r="1348" spans="1:6" x14ac:dyDescent="0.25">
      <c r="A1348" t="s">
        <v>1870</v>
      </c>
      <c r="B1348" t="s">
        <v>833</v>
      </c>
      <c r="C1348" t="s">
        <v>78</v>
      </c>
      <c r="E1348">
        <f ca="1">INDIRECT("'Sheet1'!BT189")</f>
        <v>0</v>
      </c>
      <c r="F1348" t="b">
        <f t="shared" ca="1" si="169"/>
        <v>1</v>
      </c>
    </row>
    <row r="1349" spans="1:6" x14ac:dyDescent="0.25">
      <c r="A1349" t="s">
        <v>1871</v>
      </c>
      <c r="B1349" t="s">
        <v>825</v>
      </c>
      <c r="C1349" t="s">
        <v>79</v>
      </c>
      <c r="D1349" t="s">
        <v>482</v>
      </c>
      <c r="E1349">
        <f ca="1">INDIRECT("'Sheet1'!BU189")</f>
        <v>0</v>
      </c>
      <c r="F1349" t="b">
        <f t="shared" ca="1" si="169"/>
        <v>0</v>
      </c>
    </row>
    <row r="1350" spans="1:6" x14ac:dyDescent="0.25">
      <c r="A1350" t="s">
        <v>1872</v>
      </c>
      <c r="B1350" t="s">
        <v>832</v>
      </c>
      <c r="C1350" t="s">
        <v>80</v>
      </c>
      <c r="D1350" s="4" t="s">
        <v>675</v>
      </c>
      <c r="E1350" s="4">
        <f ca="1">INDIRECT("'Sheet1'!BV189")</f>
        <v>0</v>
      </c>
      <c r="F1350" t="b">
        <f t="shared" ca="1" si="169"/>
        <v>0</v>
      </c>
    </row>
    <row r="1351" spans="1:6" x14ac:dyDescent="0.25">
      <c r="A1351" t="s">
        <v>1873</v>
      </c>
      <c r="B1351" t="s">
        <v>1881</v>
      </c>
      <c r="C1351" t="s">
        <v>81</v>
      </c>
      <c r="D1351" s="4" t="s">
        <v>682</v>
      </c>
      <c r="E1351" s="4">
        <f ca="1">INDIRECT("'Sheet1'!BW189")</f>
        <v>0</v>
      </c>
      <c r="F1351" t="b">
        <f t="shared" ca="1" si="169"/>
        <v>0</v>
      </c>
    </row>
    <row r="1352" spans="1:6" x14ac:dyDescent="0.25">
      <c r="A1352" t="s">
        <v>1874</v>
      </c>
      <c r="B1352" t="s">
        <v>830</v>
      </c>
      <c r="C1352" t="s">
        <v>82</v>
      </c>
      <c r="D1352" t="s">
        <v>1766</v>
      </c>
      <c r="E1352">
        <f ca="1">INDIRECT("'Sheet1'!BX189")</f>
        <v>0</v>
      </c>
      <c r="F1352" t="b">
        <f t="shared" ca="1" si="169"/>
        <v>0</v>
      </c>
    </row>
    <row r="1353" spans="1:6" x14ac:dyDescent="0.25">
      <c r="A1353" t="s">
        <v>1875</v>
      </c>
      <c r="B1353" t="s">
        <v>829</v>
      </c>
      <c r="C1353" t="s">
        <v>83</v>
      </c>
      <c r="D1353">
        <v>0.01</v>
      </c>
      <c r="E1353">
        <f ca="1">INDIRECT("'Sheet1'!BY189")</f>
        <v>0</v>
      </c>
      <c r="F1353" t="b">
        <f t="shared" ca="1" si="169"/>
        <v>0</v>
      </c>
    </row>
    <row r="1354" spans="1:6" x14ac:dyDescent="0.25">
      <c r="A1354" t="s">
        <v>1876</v>
      </c>
      <c r="B1354" t="s">
        <v>826</v>
      </c>
      <c r="C1354" t="s">
        <v>84</v>
      </c>
      <c r="D1354" t="s">
        <v>494</v>
      </c>
      <c r="E1354">
        <f ca="1">INDIRECT("'Sheet1'!BZ189")</f>
        <v>0</v>
      </c>
      <c r="F1354" t="b">
        <f t="shared" ca="1" si="169"/>
        <v>0</v>
      </c>
    </row>
    <row r="1355" spans="1:6" x14ac:dyDescent="0.25">
      <c r="A1355" t="s">
        <v>1877</v>
      </c>
      <c r="B1355" t="s">
        <v>831</v>
      </c>
      <c r="C1355" t="s">
        <v>85</v>
      </c>
      <c r="D1355" s="4" t="s">
        <v>681</v>
      </c>
      <c r="E1355" s="4">
        <f ca="1">INDIRECT("'Sheet1'!CA189")</f>
        <v>0</v>
      </c>
      <c r="F1355" t="b">
        <f t="shared" ca="1" si="169"/>
        <v>0</v>
      </c>
    </row>
    <row r="1356" spans="1:6" x14ac:dyDescent="0.25">
      <c r="A1356" t="s">
        <v>1878</v>
      </c>
      <c r="B1356" t="s">
        <v>828</v>
      </c>
      <c r="C1356" t="s">
        <v>86</v>
      </c>
      <c r="D1356">
        <v>0.01</v>
      </c>
      <c r="E1356">
        <f ca="1">INDIRECT("'Sheet1'!CB189")</f>
        <v>0</v>
      </c>
      <c r="F1356" t="b">
        <f t="shared" ca="1" si="169"/>
        <v>0</v>
      </c>
    </row>
    <row r="1357" spans="1:6" x14ac:dyDescent="0.25">
      <c r="A1357" t="s">
        <v>1879</v>
      </c>
      <c r="B1357" t="s">
        <v>827</v>
      </c>
      <c r="C1357" t="s">
        <v>87</v>
      </c>
      <c r="D1357" t="s">
        <v>495</v>
      </c>
      <c r="E1357">
        <f ca="1">INDIRECT("'Sheet1'!CC189")</f>
        <v>0</v>
      </c>
      <c r="F1357" t="b">
        <f t="shared" ca="1" si="169"/>
        <v>0</v>
      </c>
    </row>
    <row r="1358" spans="1:6" x14ac:dyDescent="0.25">
      <c r="A1358" t="s">
        <v>1880</v>
      </c>
      <c r="B1358" t="s">
        <v>1882</v>
      </c>
      <c r="C1358" t="s">
        <v>88</v>
      </c>
      <c r="D1358" s="4" t="s">
        <v>683</v>
      </c>
      <c r="E1358" s="4" t="s">
        <v>683</v>
      </c>
      <c r="F1358" t="b">
        <f t="shared" si="169"/>
        <v>1</v>
      </c>
    </row>
  </sheetData>
  <conditionalFormatting sqref="F1:F500 F502:F792 F794:F1089 F1091:F1048576">
    <cfRule type="cellIs" dxfId="5" priority="4" operator="equal">
      <formula>TRUE</formula>
    </cfRule>
  </conditionalFormatting>
  <conditionalFormatting sqref="G2:G1357">
    <cfRule type="expression" dxfId="4" priority="921">
      <formula>COUNTIF($F$2:$F$5265,FALSE)=0</formula>
    </cfRule>
    <cfRule type="expression" dxfId="3" priority="922">
      <formula>COUNTIF($F$2:$F$5265,FALSE)&gt;0</formula>
    </cfRule>
  </conditionalFormatting>
  <conditionalFormatting sqref="G1358">
    <cfRule type="expression" dxfId="2" priority="1">
      <formula>COUNTIF($F$2:$F$5265,FALSE)=0</formula>
    </cfRule>
    <cfRule type="expression" dxfId="1" priority="2">
      <formula>COUNTIF($F$2:$F$5265,FALSE)&gt;0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66DF2202-B509-44F3-9B6F-3150618F408E}">
            <xm:f>NOT(ISERROR(SEARCH(FALSE,F1)))</xm:f>
            <xm:f>FALSE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F1:F500 F502:F792 F794:F1089 F1091:F1048576</xm:sqref>
        </x14:conditionalFormatting>
      </x14:conditionalFormattings>
    </ext>
  </extLst>
</worksheet>
</file>

<file path=docMetadata/LabelInfo.xml><?xml version="1.0" encoding="utf-8"?>
<clbl:labelList xmlns:clbl="http://schemas.microsoft.com/office/2020/mipLabelMetadata">
  <clbl:label id="{6b902693-1074-40aa-9e21-d89446a2ebb5}" enabled="0" method="" siteId="{6b902693-1074-40aa-9e21-d89446a2ebb5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EMISdata copy paste to Sheet1</vt:lpstr>
      <vt:lpstr>EMIS Test 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Claridge, Hugh (PG/R - Sch of Health Sci)</dc:creator>
  <cp:lastModifiedBy>Claridge, Hugh (PG/R - Sch Health Sciences)</cp:lastModifiedBy>
  <dcterms:created xsi:type="dcterms:W3CDTF">2025-06-16T11:09:36Z</dcterms:created>
  <dcterms:modified xsi:type="dcterms:W3CDTF">2026-10-30T18:41:44Z</dcterms:modified>
</cp:coreProperties>
</file>