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urreyac-my.sharepoint.com/personal/hc01558_surrey_ac_uk/Documents/Documents/Clinical Intervention/Data extract/DEFEND_PRIME_Processing_Tools/TPP SystmOne/Validation_Workbooks/Processing_Validation/"/>
    </mc:Choice>
  </mc:AlternateContent>
  <xr:revisionPtr revIDLastSave="28270" documentId="8_{19B9EA06-3649-43FE-A828-A43E28B19EC0}" xr6:coauthVersionLast="47" xr6:coauthVersionMax="47" xr10:uidLastSave="{15B8220F-EF52-47A4-A3BB-303AE2C34332}"/>
  <bookViews>
    <workbookView xWindow="-19650" yWindow="3690" windowWidth="19020" windowHeight="15345" tabRatio="697" activeTab="1" xr2:uid="{6AE8214C-FD93-4EA2-9E13-4DB332FC8AC9}"/>
  </bookViews>
  <sheets>
    <sheet name="Sheet1" sheetId="1" r:id="rId1"/>
    <sheet name="TPPdata to copy paste to Sheet1" sheetId="2" r:id="rId2"/>
    <sheet name="TPP to EMIS Test Results" sheetId="6" r:id="rId3"/>
    <sheet name="EMIS test results" sheetId="7" r:id="rId4"/>
  </sheets>
  <functionGroups builtInGroupCount="19"/>
  <definedNames>
    <definedName name="_xlnm._FilterDatabase" localSheetId="0" hidden="1">Sheet1!$A$1:$CD$1</definedName>
    <definedName name="_xleta.INDIRECT" hidden="1" xlm="1">#NAME?</definedName>
    <definedName name="_xleta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2" l="1"/>
  <c r="G12" i="2"/>
  <c r="G13" i="2"/>
  <c r="G14" i="2"/>
  <c r="G15" i="2"/>
  <c r="I15" i="2"/>
  <c r="G16" i="2"/>
  <c r="I16" i="2"/>
  <c r="G17" i="2"/>
  <c r="I17" i="2"/>
  <c r="G18" i="2"/>
  <c r="I18" i="2"/>
  <c r="G19" i="2"/>
  <c r="I19" i="2"/>
  <c r="G20" i="2"/>
  <c r="I20" i="2"/>
  <c r="G21" i="2"/>
  <c r="I21" i="2"/>
  <c r="G22" i="2"/>
  <c r="I22" i="2"/>
  <c r="G23" i="2"/>
  <c r="I23" i="2"/>
  <c r="G24" i="2"/>
  <c r="I24" i="2"/>
  <c r="K24" i="2"/>
  <c r="M24" i="2"/>
  <c r="G25" i="2"/>
  <c r="I25" i="2"/>
  <c r="K25" i="2"/>
  <c r="M25" i="2"/>
  <c r="O25" i="2"/>
  <c r="G26" i="2"/>
  <c r="I26" i="2"/>
  <c r="K26" i="2"/>
  <c r="M26" i="2"/>
  <c r="O26" i="2"/>
  <c r="W28" i="2"/>
  <c r="Y28" i="2"/>
  <c r="W29" i="2"/>
  <c r="Y29" i="2"/>
  <c r="W30" i="2"/>
  <c r="Y30" i="2"/>
  <c r="W31" i="2"/>
  <c r="Y31" i="2"/>
  <c r="W32" i="2"/>
  <c r="Y32" i="2"/>
  <c r="W33" i="2"/>
  <c r="Y33" i="2"/>
  <c r="W34" i="2"/>
  <c r="Y34" i="2"/>
  <c r="W35" i="2"/>
  <c r="Y35" i="2"/>
  <c r="W36" i="2"/>
  <c r="Y36" i="2"/>
  <c r="W37" i="2"/>
  <c r="Y37" i="2"/>
  <c r="W38" i="2"/>
  <c r="Y38" i="2"/>
  <c r="W39" i="2"/>
  <c r="Y39" i="2"/>
  <c r="W40" i="2"/>
  <c r="Y40" i="2"/>
  <c r="W41" i="2"/>
  <c r="Y41" i="2"/>
  <c r="W42" i="2"/>
  <c r="Y42" i="2"/>
  <c r="W43" i="2"/>
  <c r="Y43" i="2"/>
  <c r="W44" i="2"/>
  <c r="Y44" i="2"/>
  <c r="W45" i="2"/>
  <c r="Y45" i="2"/>
  <c r="W46" i="2"/>
  <c r="Y46" i="2"/>
  <c r="W47" i="2"/>
  <c r="Y47" i="2"/>
  <c r="W48" i="2"/>
  <c r="Y48" i="2"/>
  <c r="W49" i="2"/>
  <c r="Y49" i="2"/>
  <c r="W50" i="2"/>
  <c r="Y50" i="2"/>
  <c r="AA50" i="2"/>
  <c r="AC50" i="2"/>
  <c r="AE50" i="2"/>
  <c r="AG50" i="2"/>
  <c r="AI50" i="2"/>
  <c r="AK50" i="2"/>
  <c r="AM50" i="2"/>
  <c r="W51" i="2"/>
  <c r="Y51" i="2"/>
  <c r="AA51" i="2"/>
  <c r="AC51" i="2"/>
  <c r="AE51" i="2"/>
  <c r="AG51" i="2"/>
  <c r="AI51" i="2"/>
  <c r="AK51" i="2"/>
  <c r="AM51" i="2"/>
  <c r="W53" i="2"/>
  <c r="Y53" i="2"/>
  <c r="AA53" i="2"/>
  <c r="AC53" i="2"/>
  <c r="AE53" i="2"/>
  <c r="AG53" i="2"/>
  <c r="AI53" i="2"/>
  <c r="AK53" i="2"/>
  <c r="AM53" i="2"/>
  <c r="W54" i="2"/>
  <c r="Y54" i="2"/>
  <c r="AA54" i="2"/>
  <c r="AC54" i="2"/>
  <c r="AE54" i="2"/>
  <c r="AG54" i="2"/>
  <c r="AI54" i="2"/>
  <c r="AK54" i="2"/>
  <c r="AM54" i="2"/>
  <c r="W55" i="2"/>
  <c r="Y55" i="2"/>
  <c r="AA55" i="2"/>
  <c r="AC55" i="2"/>
  <c r="AE55" i="2"/>
  <c r="AG55" i="2"/>
  <c r="AI55" i="2"/>
  <c r="AK55" i="2"/>
  <c r="AM55" i="2"/>
  <c r="W56" i="2"/>
  <c r="Y56" i="2"/>
  <c r="AA56" i="2"/>
  <c r="AC56" i="2"/>
  <c r="AE56" i="2"/>
  <c r="AG56" i="2"/>
  <c r="AI56" i="2"/>
  <c r="AK56" i="2"/>
  <c r="AM56" i="2"/>
  <c r="W57" i="2"/>
  <c r="Y57" i="2"/>
  <c r="AA57" i="2"/>
  <c r="AC57" i="2"/>
  <c r="AE57" i="2"/>
  <c r="AG57" i="2"/>
  <c r="AI57" i="2"/>
  <c r="AK57" i="2"/>
  <c r="AM57" i="2"/>
  <c r="W58" i="2"/>
  <c r="Y58" i="2"/>
  <c r="AA58" i="2"/>
  <c r="AC58" i="2"/>
  <c r="AE58" i="2"/>
  <c r="AG58" i="2"/>
  <c r="AI58" i="2"/>
  <c r="AK58" i="2"/>
  <c r="AM58" i="2"/>
  <c r="W59" i="2"/>
  <c r="Y59" i="2"/>
  <c r="AA59" i="2"/>
  <c r="AC59" i="2"/>
  <c r="AE59" i="2"/>
  <c r="AG59" i="2"/>
  <c r="AI59" i="2"/>
  <c r="AK59" i="2"/>
  <c r="AM59" i="2"/>
  <c r="AO60" i="2"/>
  <c r="AQ60" i="2"/>
  <c r="AO61" i="2"/>
  <c r="AQ61" i="2"/>
  <c r="AO62" i="2"/>
  <c r="AQ62" i="2"/>
  <c r="AO63" i="2"/>
  <c r="AQ63" i="2"/>
  <c r="AO64" i="2"/>
  <c r="AQ64" i="2"/>
  <c r="AO65" i="2"/>
  <c r="AQ65" i="2"/>
  <c r="AO66" i="2"/>
  <c r="AQ66" i="2"/>
  <c r="AO67" i="2"/>
  <c r="AQ67" i="2"/>
  <c r="AO68" i="2"/>
  <c r="AQ68" i="2"/>
  <c r="AO69" i="2"/>
  <c r="AQ69" i="2"/>
  <c r="AO70" i="2"/>
  <c r="AQ70" i="2"/>
  <c r="AO71" i="2"/>
  <c r="AQ71" i="2"/>
  <c r="AO72" i="2"/>
  <c r="AQ72" i="2"/>
  <c r="AO73" i="2"/>
  <c r="AQ73" i="2"/>
  <c r="AO74" i="2"/>
  <c r="AQ74" i="2"/>
  <c r="AO75" i="2"/>
  <c r="AQ75" i="2"/>
  <c r="AO76" i="2"/>
  <c r="AQ76" i="2"/>
  <c r="AO77" i="2"/>
  <c r="AQ77" i="2"/>
  <c r="AO78" i="2"/>
  <c r="AQ78" i="2"/>
  <c r="AO79" i="2"/>
  <c r="AQ79" i="2"/>
  <c r="AO80" i="2"/>
  <c r="AQ80" i="2"/>
  <c r="AO81" i="2"/>
  <c r="AQ81" i="2"/>
  <c r="AO82" i="2"/>
  <c r="AQ82" i="2"/>
  <c r="AS82" i="2"/>
  <c r="AU82" i="2"/>
  <c r="AW82" i="2"/>
  <c r="AY82" i="2"/>
  <c r="BA82" i="2"/>
  <c r="BC82" i="2"/>
  <c r="BE82" i="2"/>
  <c r="AO83" i="2"/>
  <c r="AQ83" i="2"/>
  <c r="AS83" i="2"/>
  <c r="AU83" i="2"/>
  <c r="AW83" i="2"/>
  <c r="AY83" i="2"/>
  <c r="BA83" i="2"/>
  <c r="BC83" i="2"/>
  <c r="BE83" i="2"/>
  <c r="AO85" i="2"/>
  <c r="AQ85" i="2"/>
  <c r="AS85" i="2"/>
  <c r="AU85" i="2"/>
  <c r="AW85" i="2"/>
  <c r="AY85" i="2"/>
  <c r="BA85" i="2"/>
  <c r="BC85" i="2"/>
  <c r="BE85" i="2"/>
  <c r="AO86" i="2"/>
  <c r="AQ86" i="2"/>
  <c r="AS86" i="2"/>
  <c r="AU86" i="2"/>
  <c r="AW86" i="2"/>
  <c r="AY86" i="2"/>
  <c r="BA86" i="2"/>
  <c r="BC86" i="2"/>
  <c r="BE86" i="2"/>
  <c r="AO87" i="2"/>
  <c r="AQ87" i="2"/>
  <c r="AS87" i="2"/>
  <c r="AU87" i="2"/>
  <c r="AW87" i="2"/>
  <c r="AY87" i="2"/>
  <c r="BA87" i="2"/>
  <c r="BC87" i="2"/>
  <c r="BE87" i="2"/>
  <c r="AO88" i="2"/>
  <c r="AQ88" i="2"/>
  <c r="AS88" i="2"/>
  <c r="AU88" i="2"/>
  <c r="AW88" i="2"/>
  <c r="AY88" i="2"/>
  <c r="BA88" i="2"/>
  <c r="BC88" i="2"/>
  <c r="BE88" i="2"/>
  <c r="AO89" i="2"/>
  <c r="AQ89" i="2"/>
  <c r="AS89" i="2"/>
  <c r="AU89" i="2"/>
  <c r="AW89" i="2"/>
  <c r="AY89" i="2"/>
  <c r="BA89" i="2"/>
  <c r="BC89" i="2"/>
  <c r="BE89" i="2"/>
  <c r="AO90" i="2"/>
  <c r="AQ90" i="2"/>
  <c r="AS90" i="2"/>
  <c r="AU90" i="2"/>
  <c r="AW90" i="2"/>
  <c r="AY90" i="2"/>
  <c r="BA90" i="2"/>
  <c r="BC90" i="2"/>
  <c r="BE90" i="2"/>
  <c r="AO91" i="2"/>
  <c r="AQ91" i="2"/>
  <c r="AS91" i="2"/>
  <c r="AU91" i="2"/>
  <c r="AW91" i="2"/>
  <c r="AY91" i="2"/>
  <c r="BA91" i="2"/>
  <c r="BC91" i="2"/>
  <c r="BE91" i="2"/>
  <c r="BG92" i="2"/>
  <c r="BI92" i="2"/>
  <c r="BG93" i="2"/>
  <c r="BI93" i="2"/>
  <c r="BG94" i="2"/>
  <c r="BI94" i="2"/>
  <c r="BG95" i="2"/>
  <c r="BI95" i="2"/>
  <c r="BG96" i="2"/>
  <c r="BI96" i="2"/>
  <c r="BG97" i="2"/>
  <c r="BI97" i="2"/>
  <c r="BG98" i="2"/>
  <c r="BI98" i="2"/>
  <c r="BG99" i="2"/>
  <c r="BI99" i="2"/>
  <c r="BG100" i="2"/>
  <c r="BI100" i="2"/>
  <c r="BG101" i="2"/>
  <c r="BI101" i="2"/>
  <c r="BG102" i="2"/>
  <c r="BI102" i="2"/>
  <c r="BG103" i="2"/>
  <c r="BI103" i="2"/>
  <c r="BG104" i="2"/>
  <c r="BI104" i="2"/>
  <c r="BG105" i="2"/>
  <c r="BI105" i="2"/>
  <c r="BG106" i="2"/>
  <c r="BI106" i="2"/>
  <c r="BG107" i="2"/>
  <c r="BI107" i="2"/>
  <c r="BG108" i="2"/>
  <c r="BI108" i="2"/>
  <c r="BG109" i="2"/>
  <c r="BI109" i="2"/>
  <c r="BG110" i="2"/>
  <c r="BI110" i="2"/>
  <c r="BG111" i="2"/>
  <c r="BI111" i="2"/>
  <c r="BG112" i="2"/>
  <c r="BI112" i="2"/>
  <c r="BG113" i="2"/>
  <c r="BI113" i="2"/>
  <c r="BG114" i="2"/>
  <c r="BI114" i="2"/>
  <c r="BK114" i="2"/>
  <c r="BM114" i="2"/>
  <c r="BO114" i="2"/>
  <c r="BQ114" i="2"/>
  <c r="BS114" i="2"/>
  <c r="BU114" i="2"/>
  <c r="BW114" i="2"/>
  <c r="BG115" i="2"/>
  <c r="BI115" i="2"/>
  <c r="BK115" i="2"/>
  <c r="BM115" i="2"/>
  <c r="BO115" i="2"/>
  <c r="BQ115" i="2"/>
  <c r="BS115" i="2"/>
  <c r="BU115" i="2"/>
  <c r="BW115" i="2"/>
  <c r="BG117" i="2"/>
  <c r="BI117" i="2"/>
  <c r="BK117" i="2"/>
  <c r="BM117" i="2"/>
  <c r="BO117" i="2"/>
  <c r="BQ117" i="2"/>
  <c r="BS117" i="2"/>
  <c r="BU117" i="2"/>
  <c r="BW117" i="2"/>
  <c r="BG118" i="2"/>
  <c r="BI118" i="2"/>
  <c r="BK118" i="2"/>
  <c r="BM118" i="2"/>
  <c r="BO118" i="2"/>
  <c r="BQ118" i="2"/>
  <c r="BS118" i="2"/>
  <c r="BU118" i="2"/>
  <c r="BW118" i="2"/>
  <c r="BG119" i="2"/>
  <c r="BI119" i="2"/>
  <c r="BK119" i="2"/>
  <c r="BM119" i="2"/>
  <c r="BO119" i="2"/>
  <c r="BQ119" i="2"/>
  <c r="BS119" i="2"/>
  <c r="BU119" i="2"/>
  <c r="BW119" i="2"/>
  <c r="BG120" i="2"/>
  <c r="BI120" i="2"/>
  <c r="BK120" i="2"/>
  <c r="BM120" i="2"/>
  <c r="BO120" i="2"/>
  <c r="BQ120" i="2"/>
  <c r="BS120" i="2"/>
  <c r="BU120" i="2"/>
  <c r="BW120" i="2"/>
  <c r="BG121" i="2"/>
  <c r="BI121" i="2"/>
  <c r="BK121" i="2"/>
  <c r="BM121" i="2"/>
  <c r="BO121" i="2"/>
  <c r="BQ121" i="2"/>
  <c r="BS121" i="2"/>
  <c r="BU121" i="2"/>
  <c r="BW121" i="2"/>
  <c r="BG122" i="2"/>
  <c r="BI122" i="2"/>
  <c r="BK122" i="2"/>
  <c r="BM122" i="2"/>
  <c r="BO122" i="2"/>
  <c r="BQ122" i="2"/>
  <c r="BS122" i="2"/>
  <c r="BU122" i="2"/>
  <c r="BW122" i="2"/>
  <c r="BG123" i="2"/>
  <c r="BI123" i="2"/>
  <c r="BK123" i="2"/>
  <c r="BM123" i="2"/>
  <c r="BO123" i="2"/>
  <c r="BQ123" i="2"/>
  <c r="BS123" i="2"/>
  <c r="BU123" i="2"/>
  <c r="BW123" i="2"/>
  <c r="BG124" i="2"/>
  <c r="BI124" i="2"/>
  <c r="BG125" i="2"/>
  <c r="BI125" i="2"/>
  <c r="G136" i="2"/>
  <c r="I136" i="2"/>
  <c r="K136" i="2"/>
  <c r="M136" i="2"/>
  <c r="O136" i="2"/>
  <c r="W136" i="2"/>
  <c r="Y136" i="2"/>
  <c r="AA136" i="2"/>
  <c r="AC136" i="2"/>
  <c r="AE136" i="2"/>
  <c r="AG136" i="2"/>
  <c r="AI136" i="2"/>
  <c r="AK136" i="2"/>
  <c r="AM136" i="2"/>
  <c r="AO136" i="2"/>
  <c r="AQ136" i="2"/>
  <c r="AS136" i="2"/>
  <c r="AU136" i="2"/>
  <c r="AW136" i="2"/>
  <c r="AY136" i="2"/>
  <c r="BA136" i="2"/>
  <c r="BC136" i="2"/>
  <c r="BE136" i="2"/>
  <c r="BG136" i="2"/>
  <c r="BI136" i="2"/>
  <c r="BK136" i="2"/>
  <c r="BM136" i="2"/>
  <c r="BO136" i="2"/>
  <c r="BQ136" i="2"/>
  <c r="BS136" i="2"/>
  <c r="BU136" i="2"/>
  <c r="BW136" i="2"/>
  <c r="A1059" i="7"/>
  <c r="A1058" i="7"/>
  <c r="A1057" i="7"/>
  <c r="A1056" i="7"/>
  <c r="A1055" i="7"/>
  <c r="A1054" i="7"/>
  <c r="A1053" i="7"/>
  <c r="A1052" i="7"/>
  <c r="A1051" i="7"/>
  <c r="A1050" i="7"/>
  <c r="A1049" i="7"/>
  <c r="A1048" i="7"/>
  <c r="A1047" i="7"/>
  <c r="A1046" i="7"/>
  <c r="A1045" i="7"/>
  <c r="A1044" i="7"/>
  <c r="A1043" i="7"/>
  <c r="A1042" i="7"/>
  <c r="A1041" i="7"/>
  <c r="A1040" i="7"/>
  <c r="A1039" i="7"/>
  <c r="A1038" i="7"/>
  <c r="A1037" i="7"/>
  <c r="A1036" i="7"/>
  <c r="A1035" i="7"/>
  <c r="A1034" i="7"/>
  <c r="A1033" i="7"/>
  <c r="A1032" i="7"/>
  <c r="A1031" i="7"/>
  <c r="A1030" i="7"/>
  <c r="A1029" i="7"/>
  <c r="A1028" i="7"/>
  <c r="A1027" i="7"/>
  <c r="A1026" i="7"/>
  <c r="A1025" i="7"/>
  <c r="A1024" i="7"/>
  <c r="A1023" i="7"/>
  <c r="A1022" i="7"/>
  <c r="A1021" i="7"/>
  <c r="A1020" i="7"/>
  <c r="A1019" i="7"/>
  <c r="A1018" i="7"/>
  <c r="A1017" i="7"/>
  <c r="A1016" i="7"/>
  <c r="A1015" i="7"/>
  <c r="A1014" i="7"/>
  <c r="A1013" i="7"/>
  <c r="A1012" i="7"/>
  <c r="A1011" i="7"/>
  <c r="A1010" i="7"/>
  <c r="A1009" i="7"/>
  <c r="A1008" i="7"/>
  <c r="A1007" i="7"/>
  <c r="A1006" i="7"/>
  <c r="A1005" i="7"/>
  <c r="A1004" i="7"/>
  <c r="A1003" i="7"/>
  <c r="A1002" i="7"/>
  <c r="A1001" i="7"/>
  <c r="A1000" i="7"/>
  <c r="A999" i="7"/>
  <c r="A998" i="7"/>
  <c r="A997" i="7"/>
  <c r="A996" i="7"/>
  <c r="A995" i="7"/>
  <c r="A994" i="7"/>
  <c r="A993" i="7"/>
  <c r="A992" i="7"/>
  <c r="A991" i="7"/>
  <c r="A990" i="7"/>
  <c r="A989" i="7"/>
  <c r="A988" i="7"/>
  <c r="A987" i="7"/>
  <c r="A986" i="7"/>
  <c r="A985" i="7"/>
  <c r="A984" i="7"/>
  <c r="A983" i="7"/>
  <c r="A982" i="7"/>
  <c r="A981" i="7"/>
  <c r="A980" i="7"/>
  <c r="A979" i="7"/>
  <c r="A978" i="7"/>
  <c r="F108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999" i="6" l="1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998" i="6"/>
  <c r="A2" i="6"/>
  <c r="F108" i="6" l="1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E303" i="7"/>
  <c r="E791" i="7"/>
  <c r="E614" i="7"/>
  <c r="E192" i="7"/>
  <c r="E659" i="6"/>
  <c r="E430" i="6"/>
  <c r="E463" i="7"/>
  <c r="E1010" i="6"/>
  <c r="E178" i="7"/>
  <c r="E447" i="6"/>
  <c r="E458" i="6"/>
  <c r="E1061" i="6"/>
  <c r="E290" i="7"/>
  <c r="E1032" i="6"/>
  <c r="E560" i="6"/>
  <c r="E660" i="6"/>
  <c r="E815" i="6"/>
  <c r="E69" i="7"/>
  <c r="E664" i="7"/>
  <c r="E461" i="7"/>
  <c r="E98" i="7"/>
  <c r="E745" i="7"/>
  <c r="E119" i="7"/>
  <c r="E54" i="6"/>
  <c r="E1046" i="6"/>
  <c r="E500" i="7"/>
  <c r="E64" i="7"/>
  <c r="E756" i="6"/>
  <c r="E250" i="6"/>
  <c r="E763" i="7"/>
  <c r="E981" i="7"/>
  <c r="E352" i="7"/>
  <c r="E1058" i="6"/>
  <c r="E879" i="6"/>
  <c r="E975" i="7"/>
  <c r="E953" i="6"/>
  <c r="E788" i="7"/>
  <c r="E779" i="7"/>
  <c r="E409" i="6"/>
  <c r="E89" i="6"/>
  <c r="E373" i="7"/>
  <c r="E959" i="7"/>
  <c r="E385" i="7"/>
  <c r="E211" i="7"/>
  <c r="E311" i="7"/>
  <c r="E792" i="7"/>
  <c r="E460" i="7"/>
  <c r="E39" i="7"/>
  <c r="E419" i="6"/>
  <c r="E623" i="6"/>
  <c r="E749" i="6"/>
  <c r="E790" i="7"/>
  <c r="E541" i="7"/>
  <c r="E980" i="7"/>
  <c r="E1044" i="6"/>
  <c r="E101" i="6"/>
  <c r="E818" i="6"/>
  <c r="E357" i="6"/>
  <c r="E79" i="7"/>
  <c r="E825" i="6"/>
  <c r="E553" i="7"/>
  <c r="E97" i="6"/>
  <c r="E684" i="6"/>
  <c r="E584" i="6"/>
  <c r="E631" i="7"/>
  <c r="E55" i="6"/>
  <c r="E380" i="6"/>
  <c r="E153" i="6"/>
  <c r="E50" i="7"/>
  <c r="E444" i="7"/>
  <c r="E284" i="7"/>
  <c r="E623" i="7"/>
  <c r="E957" i="6"/>
  <c r="E325" i="6"/>
  <c r="E378" i="7"/>
  <c r="E973" i="7"/>
  <c r="E7" i="7"/>
  <c r="E265" i="7"/>
  <c r="E162" i="6"/>
  <c r="E674" i="6"/>
  <c r="E77" i="7"/>
  <c r="E401" i="7"/>
  <c r="E897" i="6"/>
  <c r="E582" i="6"/>
  <c r="E168" i="7"/>
  <c r="E226" i="7"/>
  <c r="E917" i="7"/>
  <c r="E812" i="6"/>
  <c r="E179" i="6"/>
  <c r="E464" i="7"/>
  <c r="E285" i="7"/>
  <c r="E676" i="7"/>
  <c r="E522" i="6"/>
  <c r="E642" i="6"/>
  <c r="E1009" i="7"/>
  <c r="E67" i="6"/>
  <c r="E554" i="7"/>
  <c r="E865" i="6"/>
  <c r="E720" i="6"/>
  <c r="E984" i="7"/>
  <c r="E720" i="7"/>
  <c r="E532" i="6"/>
  <c r="E625" i="7"/>
  <c r="E680" i="7"/>
  <c r="E159" i="7"/>
  <c r="E866" i="7"/>
  <c r="E658" i="7"/>
  <c r="E734" i="7"/>
  <c r="E8" i="7"/>
  <c r="E421" i="6"/>
  <c r="E218" i="7"/>
  <c r="E115" i="7"/>
  <c r="E61" i="6"/>
  <c r="E90" i="6"/>
  <c r="E550" i="6"/>
  <c r="E455" i="7"/>
  <c r="E756" i="7"/>
  <c r="E515" i="6"/>
  <c r="E354" i="7"/>
  <c r="E808" i="6"/>
  <c r="E666" i="6"/>
  <c r="E988" i="7"/>
  <c r="E824" i="7"/>
  <c r="E60" i="7"/>
  <c r="E784" i="6"/>
  <c r="E574" i="6"/>
  <c r="E169" i="6"/>
  <c r="E441" i="7"/>
  <c r="E969" i="7"/>
  <c r="E191" i="7"/>
  <c r="E853" i="6"/>
  <c r="E877" i="6"/>
  <c r="E1013" i="7"/>
  <c r="E383" i="7"/>
  <c r="E797" i="7"/>
  <c r="E308" i="7"/>
  <c r="E443" i="6"/>
  <c r="E185" i="6"/>
  <c r="E950" i="7"/>
  <c r="E338" i="6"/>
  <c r="E955" i="6"/>
  <c r="E527" i="7"/>
  <c r="E780" i="6"/>
  <c r="E682" i="6"/>
  <c r="E895" i="7"/>
  <c r="E80" i="6"/>
  <c r="E863" i="7"/>
  <c r="E319" i="6"/>
  <c r="E585" i="6"/>
  <c r="E976" i="6"/>
  <c r="E936" i="7"/>
  <c r="E1007" i="6"/>
  <c r="E1029" i="7"/>
  <c r="E344" i="6"/>
  <c r="E114" i="6"/>
  <c r="E300" i="6"/>
  <c r="E165" i="7"/>
  <c r="E974" i="6"/>
  <c r="E475" i="6"/>
  <c r="E395" i="6"/>
  <c r="E713" i="7"/>
  <c r="E709" i="6"/>
  <c r="E591" i="7"/>
  <c r="E19" i="6"/>
  <c r="E10" i="6"/>
  <c r="E210" i="6"/>
  <c r="E358" i="6"/>
  <c r="E990" i="6"/>
  <c r="E209" i="7"/>
  <c r="E786" i="6"/>
  <c r="E206" i="7"/>
  <c r="E651" i="6"/>
  <c r="E878" i="6"/>
  <c r="E230" i="7"/>
  <c r="E84" i="7"/>
  <c r="E36" i="7"/>
  <c r="E972" i="6"/>
  <c r="E50" i="6"/>
  <c r="E24" i="7"/>
  <c r="E473" i="7"/>
  <c r="E1071" i="6"/>
  <c r="E1015" i="7"/>
  <c r="E91" i="6"/>
  <c r="E533" i="6"/>
  <c r="E54" i="7"/>
  <c r="E637" i="7"/>
  <c r="E858" i="7"/>
  <c r="E226" i="6"/>
  <c r="E759" i="6"/>
  <c r="E438" i="6"/>
  <c r="E13" i="7"/>
  <c r="E755" i="7"/>
  <c r="E149" i="6"/>
  <c r="E687" i="6"/>
  <c r="E66" i="7"/>
  <c r="E1035" i="7"/>
  <c r="E368" i="7"/>
  <c r="E647" i="7"/>
  <c r="E599" i="6"/>
  <c r="E651" i="7"/>
  <c r="E220" i="7"/>
  <c r="E535" i="7"/>
  <c r="E423" i="6"/>
  <c r="E428" i="6"/>
  <c r="E491" i="7"/>
  <c r="E270" i="7"/>
  <c r="E293" i="6"/>
  <c r="E884" i="6"/>
  <c r="E548" i="7"/>
  <c r="E198" i="7"/>
  <c r="E748" i="7"/>
  <c r="E23" i="6"/>
  <c r="E579" i="7"/>
  <c r="E315" i="7"/>
  <c r="E706" i="6"/>
  <c r="E2" i="6"/>
  <c r="E909" i="6"/>
  <c r="E1073" i="6"/>
  <c r="E808" i="7"/>
  <c r="E351" i="6"/>
  <c r="E361" i="6"/>
  <c r="E38" i="6"/>
  <c r="E1023" i="7"/>
  <c r="E893" i="7"/>
  <c r="E848" i="6"/>
  <c r="E78" i="7"/>
  <c r="E632" i="7"/>
  <c r="E750" i="6"/>
  <c r="E793" i="7"/>
  <c r="E1008" i="6"/>
  <c r="E726" i="6"/>
  <c r="E291" i="6"/>
  <c r="E123" i="7"/>
  <c r="E636" i="7"/>
  <c r="E378" i="6"/>
  <c r="E129" i="7"/>
  <c r="E845" i="6"/>
  <c r="E657" i="7"/>
  <c r="E624" i="7"/>
  <c r="E278" i="7"/>
  <c r="E848" i="7"/>
  <c r="E383" i="6"/>
  <c r="E894" i="7"/>
  <c r="E101" i="7"/>
  <c r="E434" i="7"/>
  <c r="E18" i="6"/>
  <c r="E566" i="6"/>
  <c r="E893" i="6"/>
  <c r="E355" i="6"/>
  <c r="E419" i="7"/>
  <c r="E695" i="7"/>
  <c r="E31" i="6"/>
  <c r="E368" i="6"/>
  <c r="E246" i="6"/>
  <c r="E970" i="7"/>
  <c r="E564" i="7"/>
  <c r="E499" i="6"/>
  <c r="E493" i="6"/>
  <c r="E798" i="6"/>
  <c r="E842" i="6"/>
  <c r="E1079" i="6"/>
  <c r="E73" i="7"/>
  <c r="E827" i="7"/>
  <c r="E1060" i="6"/>
  <c r="E960" i="7"/>
  <c r="E34" i="7"/>
  <c r="E67" i="7"/>
  <c r="E229" i="7"/>
  <c r="E45" i="6"/>
  <c r="E255" i="6"/>
  <c r="E811" i="6"/>
  <c r="E938" i="6"/>
  <c r="E146" i="7"/>
  <c r="E422" i="7"/>
  <c r="E494" i="6"/>
  <c r="E908" i="6"/>
  <c r="E987" i="7"/>
  <c r="E62" i="7"/>
  <c r="E509" i="6"/>
  <c r="E608" i="7"/>
  <c r="E750" i="7"/>
  <c r="E129" i="6"/>
  <c r="E868" i="6"/>
  <c r="E189" i="6"/>
  <c r="E149" i="7"/>
  <c r="E16" i="7"/>
  <c r="E189" i="7"/>
  <c r="E12" i="7"/>
  <c r="E640" i="6"/>
  <c r="E19" i="7"/>
  <c r="E407" i="7"/>
  <c r="E117" i="6"/>
  <c r="E596" i="7"/>
  <c r="E314" i="6"/>
  <c r="E407" i="6"/>
  <c r="E946" i="7"/>
  <c r="E75" i="7"/>
  <c r="E717" i="6"/>
  <c r="E505" i="6"/>
  <c r="E280" i="6"/>
  <c r="E714" i="6"/>
  <c r="E390" i="7"/>
  <c r="E386" i="7"/>
  <c r="E768" i="7"/>
  <c r="E764" i="6"/>
  <c r="E305" i="6"/>
  <c r="E888" i="7"/>
  <c r="E418" i="6"/>
  <c r="E22" i="6"/>
  <c r="E733" i="6"/>
  <c r="E558" i="7"/>
  <c r="E932" i="7"/>
  <c r="E348" i="7"/>
  <c r="E1000" i="6"/>
  <c r="E422" i="6"/>
  <c r="E558" i="6"/>
  <c r="E929" i="7"/>
  <c r="E433" i="7"/>
  <c r="E625" i="6"/>
  <c r="E340" i="6"/>
  <c r="E1040" i="6"/>
  <c r="E272" i="7"/>
  <c r="E288" i="7"/>
  <c r="E270" i="6"/>
  <c r="E626" i="6"/>
  <c r="E567" i="7"/>
  <c r="E701" i="7"/>
  <c r="E324" i="7"/>
  <c r="E922" i="6"/>
  <c r="E156" i="6"/>
  <c r="E296" i="7"/>
  <c r="E602" i="6"/>
  <c r="E1065" i="6"/>
  <c r="E172" i="6"/>
  <c r="E551" i="7"/>
  <c r="E43" i="7"/>
  <c r="E293" i="7"/>
  <c r="E503" i="6"/>
  <c r="E105" i="6"/>
  <c r="E649" i="6"/>
  <c r="E774" i="6"/>
  <c r="E1037" i="7"/>
  <c r="E292" i="7"/>
  <c r="E147" i="7"/>
  <c r="E957" i="7"/>
  <c r="E886" i="7"/>
  <c r="E753" i="6"/>
  <c r="E485" i="6"/>
  <c r="E997" i="7"/>
  <c r="E1051" i="7"/>
  <c r="E898" i="7"/>
  <c r="E854" i="6"/>
  <c r="E644" i="6"/>
  <c r="E840" i="7"/>
  <c r="E1052" i="6"/>
  <c r="E979" i="6"/>
  <c r="E236" i="7"/>
  <c r="E783" i="6"/>
  <c r="E593" i="6"/>
  <c r="E403" i="6"/>
  <c r="E724" i="7"/>
  <c r="E607" i="7"/>
  <c r="E53" i="6"/>
  <c r="E892" i="6"/>
  <c r="E400" i="6"/>
  <c r="E923" i="7"/>
  <c r="E513" i="7"/>
  <c r="E304" i="7"/>
  <c r="E263" i="7"/>
  <c r="E184" i="6"/>
  <c r="E849" i="6"/>
  <c r="E1035" i="6"/>
  <c r="E330" i="7"/>
  <c r="E995" i="6"/>
  <c r="E545" i="7"/>
  <c r="E935" i="6"/>
  <c r="E788" i="6"/>
  <c r="E59" i="6"/>
  <c r="E501" i="7"/>
  <c r="E1067" i="6"/>
  <c r="E290" i="6"/>
  <c r="E441" i="6"/>
  <c r="E978" i="6"/>
  <c r="E652" i="7"/>
  <c r="E297" i="6"/>
  <c r="E630" i="6"/>
  <c r="E680" i="6"/>
  <c r="E645" i="6"/>
  <c r="E497" i="7"/>
  <c r="E905" i="7"/>
  <c r="E657" i="6"/>
  <c r="E618" i="6"/>
  <c r="E207" i="7"/>
  <c r="E612" i="7"/>
  <c r="E589" i="7"/>
  <c r="E528" i="7"/>
  <c r="E642" i="7"/>
  <c r="E274" i="7"/>
  <c r="E561" i="6"/>
  <c r="E881" i="6"/>
  <c r="E448" i="7"/>
  <c r="E1045" i="6"/>
  <c r="E928" i="7"/>
  <c r="E967" i="7"/>
  <c r="E610" i="6"/>
  <c r="E914" i="6"/>
  <c r="E881" i="7"/>
  <c r="E830" i="7"/>
  <c r="E1017" i="6"/>
  <c r="E910" i="6"/>
  <c r="E191" i="6"/>
  <c r="E562" i="7"/>
  <c r="E476" i="7"/>
  <c r="E404" i="6"/>
  <c r="E867" i="6"/>
  <c r="E446" i="6"/>
  <c r="E905" i="6"/>
  <c r="E560" i="7"/>
  <c r="E169" i="7"/>
  <c r="E46" i="6"/>
  <c r="E456" i="6"/>
  <c r="E508" i="6"/>
  <c r="E970" i="6"/>
  <c r="E307" i="7"/>
  <c r="E152" i="6"/>
  <c r="E267" i="7"/>
  <c r="E1022" i="7"/>
  <c r="E844" i="7"/>
  <c r="E654" i="7"/>
  <c r="E152" i="7"/>
  <c r="E141" i="6"/>
  <c r="E894" i="6"/>
  <c r="E1047" i="6"/>
  <c r="E609" i="7"/>
  <c r="E353" i="6"/>
  <c r="E362" i="6"/>
  <c r="E82" i="7"/>
  <c r="E563" i="7"/>
  <c r="E97" i="7"/>
  <c r="E500" i="6"/>
  <c r="E467" i="6"/>
  <c r="E828" i="7"/>
  <c r="E871" i="7"/>
  <c r="E639" i="7"/>
  <c r="E934" i="6"/>
  <c r="E216" i="6"/>
  <c r="E590" i="7"/>
  <c r="E1004" i="6"/>
  <c r="E363" i="7"/>
  <c r="E303" i="6"/>
  <c r="E656" i="6"/>
  <c r="E719" i="7"/>
  <c r="E918" i="6"/>
  <c r="E878" i="7"/>
  <c r="E258" i="6"/>
  <c r="E113" i="6"/>
  <c r="E604" i="6"/>
  <c r="E14" i="7"/>
  <c r="E115" i="6"/>
  <c r="E207" i="6"/>
  <c r="E472" i="6"/>
  <c r="E415" i="7"/>
  <c r="E782" i="7"/>
  <c r="E239" i="7"/>
  <c r="E74" i="6"/>
  <c r="E900" i="6"/>
  <c r="E44" i="6"/>
  <c r="E601" i="7"/>
  <c r="E332" i="7"/>
  <c r="E949" i="7"/>
  <c r="E442" i="7"/>
  <c r="E629" i="6"/>
  <c r="E794" i="6"/>
  <c r="E761" i="6"/>
  <c r="E729" i="7"/>
  <c r="E52" i="7"/>
  <c r="E573" i="7"/>
  <c r="E992" i="6"/>
  <c r="E183" i="7"/>
  <c r="E277" i="7"/>
  <c r="E88" i="7"/>
  <c r="E925" i="7"/>
  <c r="E648" i="7"/>
  <c r="E797" i="6"/>
  <c r="E377" i="6"/>
  <c r="E430" i="7"/>
  <c r="E529" i="7"/>
  <c r="E36" i="6"/>
  <c r="E880" i="7"/>
  <c r="E598" i="6"/>
  <c r="E863" i="6"/>
  <c r="E980" i="6"/>
  <c r="E76" i="6"/>
  <c r="E109" i="6"/>
  <c r="E940" i="7"/>
  <c r="E146" i="6"/>
  <c r="E835" i="6"/>
  <c r="E11" i="6"/>
  <c r="E485" i="7"/>
  <c r="E8" i="6"/>
  <c r="E461" i="6"/>
  <c r="E230" i="6"/>
  <c r="E917" i="6"/>
  <c r="E738" i="7"/>
  <c r="E692" i="7"/>
  <c r="E75" i="6"/>
  <c r="E1072" i="6"/>
  <c r="E816" i="6"/>
  <c r="E77" i="6"/>
  <c r="E622" i="7"/>
  <c r="E242" i="7"/>
  <c r="E830" i="6"/>
  <c r="E813" i="6"/>
  <c r="E981" i="6"/>
  <c r="E987" i="6"/>
  <c r="E1003" i="7"/>
  <c r="E339" i="7"/>
  <c r="E167" i="6"/>
  <c r="E322" i="6"/>
  <c r="E983" i="6"/>
  <c r="E25" i="6"/>
  <c r="E345" i="7"/>
  <c r="E228" i="6"/>
  <c r="E92" i="6"/>
  <c r="E432" i="6"/>
  <c r="E238" i="6"/>
  <c r="E366" i="7"/>
  <c r="E100" i="7"/>
  <c r="E1018" i="6"/>
  <c r="E94" i="6"/>
  <c r="E398" i="6"/>
  <c r="E964" i="7"/>
  <c r="E80" i="7"/>
  <c r="E521" i="7"/>
  <c r="E233" i="7"/>
  <c r="E381" i="6"/>
  <c r="E519" i="6"/>
  <c r="E466" i="6"/>
  <c r="E449" i="7"/>
  <c r="E364" i="7"/>
  <c r="E591" i="6"/>
  <c r="E624" i="6"/>
  <c r="E889" i="6"/>
  <c r="E574" i="7"/>
  <c r="E81" i="6"/>
  <c r="E15" i="6"/>
  <c r="E243" i="6"/>
  <c r="E669" i="6"/>
  <c r="E668" i="7"/>
  <c r="E892" i="7"/>
  <c r="E1005" i="7"/>
  <c r="E950" i="6"/>
  <c r="E27" i="6"/>
  <c r="E810" i="7"/>
  <c r="E278" i="6"/>
  <c r="E774" i="7"/>
  <c r="E923" i="6"/>
  <c r="E332" i="6"/>
  <c r="E4" i="6"/>
  <c r="E381" i="7"/>
  <c r="E232" i="7"/>
  <c r="E159" i="6"/>
  <c r="E636" i="6"/>
  <c r="E32" i="6"/>
  <c r="E69" i="6"/>
  <c r="E857" i="7"/>
  <c r="E1024" i="6"/>
  <c r="E867" i="7"/>
  <c r="E801" i="7"/>
  <c r="E282" i="7"/>
  <c r="E275" i="6"/>
  <c r="E552" i="6"/>
  <c r="E370" i="6"/>
  <c r="E109" i="7"/>
  <c r="E589" i="6"/>
  <c r="E1034" i="7"/>
  <c r="E857" i="6"/>
  <c r="E287" i="7"/>
  <c r="E331" i="6"/>
  <c r="E267" i="6"/>
  <c r="E859" i="7"/>
  <c r="E635" i="7"/>
  <c r="E435" i="7"/>
  <c r="E264" i="7"/>
  <c r="E454" i="7"/>
  <c r="E414" i="7"/>
  <c r="E1010" i="7"/>
  <c r="E681" i="6"/>
  <c r="E107" i="7"/>
  <c r="E841" i="6"/>
  <c r="E68" i="6"/>
  <c r="E406" i="7"/>
  <c r="E42" i="7"/>
  <c r="E896" i="7"/>
  <c r="E473" i="6"/>
  <c r="E697" i="6"/>
  <c r="E690" i="7"/>
  <c r="E578" i="7"/>
  <c r="E1054" i="6"/>
  <c r="E158" i="6"/>
  <c r="E555" i="6"/>
  <c r="E619" i="6"/>
  <c r="E913" i="6"/>
  <c r="E544" i="7"/>
  <c r="E815" i="7"/>
  <c r="E166" i="6"/>
  <c r="E891" i="6"/>
  <c r="E594" i="7"/>
  <c r="E732" i="7"/>
  <c r="E770" i="7"/>
  <c r="E147" i="6"/>
  <c r="E862" i="6"/>
  <c r="E820" i="6"/>
  <c r="E908" i="7"/>
  <c r="E823" i="7"/>
  <c r="E212" i="7"/>
  <c r="E516" i="7"/>
  <c r="E804" i="6"/>
  <c r="E795" i="7"/>
  <c r="E976" i="7"/>
  <c r="E747" i="7"/>
  <c r="E903" i="7"/>
  <c r="E632" i="6"/>
  <c r="E144" i="6"/>
  <c r="E476" i="6"/>
  <c r="E958" i="7"/>
  <c r="E59" i="7"/>
  <c r="E362" i="7"/>
  <c r="E850" i="6"/>
  <c r="E635" i="6"/>
  <c r="E9" i="6"/>
  <c r="E338" i="7"/>
  <c r="E846" i="6"/>
  <c r="E724" i="6"/>
  <c r="E514" i="6"/>
  <c r="E572" i="7"/>
  <c r="E113" i="7"/>
  <c r="E100" i="6"/>
  <c r="E781" i="7"/>
  <c r="E911" i="6"/>
  <c r="E351" i="7"/>
  <c r="E469" i="6"/>
  <c r="E365" i="7"/>
  <c r="E996" i="6"/>
  <c r="E619" i="7"/>
  <c r="E1039" i="7"/>
  <c r="E569" i="6"/>
  <c r="E926" i="6"/>
  <c r="E884" i="7"/>
  <c r="E765" i="6"/>
  <c r="E879" i="7"/>
  <c r="E445" i="7"/>
  <c r="E898" i="6"/>
  <c r="E252" i="6"/>
  <c r="E400" i="7"/>
  <c r="E637" i="6"/>
  <c r="E609" i="6"/>
  <c r="E628" i="6"/>
  <c r="E423" i="7"/>
  <c r="E137" i="7"/>
  <c r="E678" i="7"/>
  <c r="E33" i="7"/>
  <c r="E595" i="6"/>
  <c r="E568" i="6"/>
  <c r="E1016" i="7"/>
  <c r="E205" i="7"/>
  <c r="E40" i="6"/>
  <c r="E93" i="7"/>
  <c r="E536" i="7"/>
  <c r="E446" i="7"/>
  <c r="E876" i="7"/>
  <c r="E877" i="7"/>
  <c r="E457" i="6"/>
  <c r="E693" i="6"/>
  <c r="E138" i="6"/>
  <c r="E956" i="6"/>
  <c r="E524" i="6"/>
  <c r="E413" i="6"/>
  <c r="E920" i="6"/>
  <c r="E110" i="7"/>
  <c r="E806" i="7"/>
  <c r="E638" i="7"/>
  <c r="E650" i="7"/>
  <c r="E758" i="6"/>
  <c r="E5" i="7"/>
  <c r="E922" i="7"/>
  <c r="E767" i="7"/>
  <c r="E253" i="6"/>
  <c r="E424" i="6"/>
  <c r="E458" i="7"/>
  <c r="E851" i="6"/>
  <c r="E644" i="7"/>
  <c r="E138" i="7"/>
  <c r="E386" i="6"/>
  <c r="E131" i="6"/>
  <c r="E340" i="7"/>
  <c r="E237" i="6"/>
  <c r="E439" i="7"/>
  <c r="E39" i="6"/>
  <c r="E949" i="6"/>
  <c r="E349" i="6"/>
  <c r="E216" i="7"/>
  <c r="E869" i="7"/>
  <c r="E347" i="7"/>
  <c r="E621" i="6"/>
  <c r="E367" i="7"/>
  <c r="E683" i="6"/>
  <c r="E677" i="7"/>
  <c r="E170" i="7"/>
  <c r="E704" i="7"/>
  <c r="E391" i="6"/>
  <c r="E337" i="6"/>
  <c r="E63" i="7"/>
  <c r="E526" i="7"/>
  <c r="E457" i="7"/>
  <c r="E334" i="6"/>
  <c r="E373" i="6"/>
  <c r="E111" i="6"/>
  <c r="E699" i="7"/>
  <c r="E554" i="6"/>
  <c r="E862" i="7"/>
  <c r="E182" i="6"/>
  <c r="E643" i="6"/>
  <c r="E684" i="7"/>
  <c r="E18" i="7"/>
  <c r="E245" i="7"/>
  <c r="E992" i="7"/>
  <c r="E912" i="7"/>
  <c r="E439" i="6"/>
  <c r="E816" i="7"/>
  <c r="E897" i="7"/>
  <c r="E70" i="7"/>
  <c r="E188" i="6"/>
  <c r="E565" i="6"/>
  <c r="E470" i="6"/>
  <c r="E1058" i="7"/>
  <c r="E785" i="7"/>
  <c r="E1011" i="7"/>
  <c r="E649" i="7"/>
  <c r="E502" i="6"/>
  <c r="E652" i="6"/>
  <c r="E531" i="7"/>
  <c r="E335" i="7"/>
  <c r="E873" i="7"/>
  <c r="E281" i="6"/>
  <c r="E866" i="6"/>
  <c r="E674" i="7"/>
  <c r="E334" i="7"/>
  <c r="E510" i="7"/>
  <c r="E721" i="6"/>
  <c r="E214" i="6"/>
  <c r="E739" i="7"/>
  <c r="E425" i="7"/>
  <c r="E217" i="7"/>
  <c r="E1008" i="7"/>
  <c r="E195" i="6"/>
  <c r="E824" i="6"/>
  <c r="E827" i="6"/>
  <c r="E628" i="7"/>
  <c r="E26" i="6"/>
  <c r="E346" i="7"/>
  <c r="E1037" i="6"/>
  <c r="E487" i="6"/>
  <c r="E852" i="6"/>
  <c r="E482" i="7"/>
  <c r="E83" i="7"/>
  <c r="E1019" i="6"/>
  <c r="E804" i="7"/>
  <c r="E544" i="6"/>
  <c r="E359" i="6"/>
  <c r="E329" i="7"/>
  <c r="E310" i="6"/>
  <c r="E420" i="7"/>
  <c r="E836" i="6"/>
  <c r="E184" i="7"/>
  <c r="E931" i="7"/>
  <c r="E743" i="7"/>
  <c r="E301" i="6"/>
  <c r="E17" i="6"/>
  <c r="E363" i="6"/>
  <c r="E838" i="6"/>
  <c r="E984" i="6"/>
  <c r="E201" i="7"/>
  <c r="E737" i="7"/>
  <c r="E805" i="7"/>
  <c r="E799" i="6"/>
  <c r="E914" i="7"/>
  <c r="E396" i="7"/>
  <c r="E764" i="7"/>
  <c r="E847" i="6"/>
  <c r="E817" i="6"/>
  <c r="E153" i="7"/>
  <c r="E755" i="6"/>
  <c r="E837" i="7"/>
  <c r="E665" i="6"/>
  <c r="E1053" i="6"/>
  <c r="E424" i="7"/>
  <c r="E451" i="7"/>
  <c r="E318" i="7"/>
  <c r="E545" i="6"/>
  <c r="E1001" i="7"/>
  <c r="E164" i="7"/>
  <c r="E21" i="7"/>
  <c r="E919" i="6"/>
  <c r="E686" i="6"/>
  <c r="E983" i="7"/>
  <c r="E107" i="6"/>
  <c r="E65" i="6"/>
  <c r="E803" i="6"/>
  <c r="E170" i="6"/>
  <c r="E1042" i="7"/>
  <c r="E41" i="6"/>
  <c r="E543" i="6"/>
  <c r="E735" i="6"/>
  <c r="E431" i="7"/>
  <c r="E595" i="7"/>
  <c r="E124" i="6"/>
  <c r="E696" i="7"/>
  <c r="E538" i="6"/>
  <c r="E377" i="7"/>
  <c r="E778" i="7"/>
  <c r="E347" i="6"/>
  <c r="E916" i="6"/>
  <c r="E796" i="7"/>
  <c r="E1026" i="6"/>
  <c r="E94" i="7"/>
  <c r="E193" i="6"/>
  <c r="E186" i="6"/>
  <c r="E579" i="6"/>
  <c r="E488" i="7"/>
  <c r="E391" i="7"/>
  <c r="E839" i="7"/>
  <c r="E528" i="6"/>
  <c r="E702" i="6"/>
  <c r="E1023" i="6"/>
  <c r="E86" i="7"/>
  <c r="E761" i="7"/>
  <c r="E490" i="7"/>
  <c r="E321" i="6"/>
  <c r="E175" i="6"/>
  <c r="E994" i="7"/>
  <c r="E356" i="7"/>
  <c r="E951" i="7"/>
  <c r="E880" i="6"/>
  <c r="E791" i="6"/>
  <c r="E127" i="6"/>
  <c r="E766" i="7"/>
  <c r="E990" i="7"/>
  <c r="E855" i="7"/>
  <c r="E219" i="6"/>
  <c r="E411" i="6"/>
  <c r="E717" i="7"/>
  <c r="E53" i="7"/>
  <c r="E398" i="7"/>
  <c r="E906" i="7"/>
  <c r="E125" i="6"/>
  <c r="E389" i="6"/>
  <c r="E532" i="7"/>
  <c r="E723" i="6"/>
  <c r="E504" i="6"/>
  <c r="E482" i="6"/>
  <c r="E667" i="6"/>
  <c r="E814" i="7"/>
  <c r="E856" i="7"/>
  <c r="E769" i="7"/>
  <c r="E484" i="7"/>
  <c r="E283" i="7"/>
  <c r="E55" i="7"/>
  <c r="E57" i="6"/>
  <c r="E336" i="7"/>
  <c r="E780" i="7"/>
  <c r="E435" i="6"/>
  <c r="E943" i="6"/>
  <c r="E763" i="6"/>
  <c r="E915" i="6"/>
  <c r="E829" i="7"/>
  <c r="E478" i="7"/>
  <c r="E22" i="7"/>
  <c r="E272" i="6"/>
  <c r="E648" i="6"/>
  <c r="E937" i="6"/>
  <c r="E869" i="6"/>
  <c r="E405" i="7"/>
  <c r="E72" i="7"/>
  <c r="E551" i="6"/>
  <c r="E102" i="6"/>
  <c r="E128" i="7"/>
  <c r="E714" i="7"/>
  <c r="E282" i="6"/>
  <c r="E35" i="7"/>
  <c r="E548" i="6"/>
  <c r="E384" i="7"/>
  <c r="E841" i="7"/>
  <c r="E1002" i="7"/>
  <c r="E566" i="7"/>
  <c r="E639" i="6"/>
  <c r="E573" i="6"/>
  <c r="E74" i="7"/>
  <c r="E688" i="7"/>
  <c r="E1033" i="6"/>
  <c r="E329" i="6"/>
  <c r="E427" i="6"/>
  <c r="E663" i="7"/>
  <c r="E276" i="6"/>
  <c r="E51" i="7"/>
  <c r="E497" i="6"/>
  <c r="E833" i="6"/>
  <c r="E868" i="7"/>
  <c r="E725" i="7"/>
  <c r="E823" i="6"/>
  <c r="E783" i="7"/>
  <c r="E61" i="7"/>
  <c r="E92" i="7"/>
  <c r="E408" i="7"/>
  <c r="E325" i="7"/>
  <c r="E795" i="6"/>
  <c r="E192" i="6"/>
  <c r="E342" i="6"/>
  <c r="E326" i="7"/>
  <c r="E744" i="6"/>
  <c r="E234" i="6"/>
  <c r="E40" i="7"/>
  <c r="E943" i="7"/>
  <c r="E523" i="7"/>
  <c r="E396" i="6"/>
  <c r="E952" i="7"/>
  <c r="E121" i="6"/>
  <c r="E947" i="7"/>
  <c r="E336" i="6"/>
  <c r="E705" i="6"/>
  <c r="E872" i="6"/>
  <c r="E349" i="7"/>
  <c r="E103" i="6"/>
  <c r="E576" i="6"/>
  <c r="E537" i="6"/>
  <c r="E333" i="6"/>
  <c r="E902" i="7"/>
  <c r="E1074" i="6"/>
  <c r="E309" i="7"/>
  <c r="E208" i="7"/>
  <c r="E872" i="7"/>
  <c r="E519" i="7"/>
  <c r="E781" i="6"/>
  <c r="E843" i="6"/>
  <c r="E150" i="7"/>
  <c r="E412" i="6"/>
  <c r="E375" i="7"/>
  <c r="E689" i="6"/>
  <c r="E273" i="6"/>
  <c r="E3" i="6"/>
  <c r="E51" i="6"/>
  <c r="E559" i="7"/>
  <c r="E176" i="6"/>
  <c r="E288" i="6"/>
  <c r="E479" i="6"/>
  <c r="E111" i="7"/>
  <c r="E744" i="7"/>
  <c r="E426" i="7"/>
  <c r="E143" i="7"/>
  <c r="E615" i="6"/>
  <c r="E203" i="7"/>
  <c r="E597" i="7"/>
  <c r="E733" i="7"/>
  <c r="E1064" i="6"/>
  <c r="E782" i="6"/>
  <c r="E700" i="6"/>
  <c r="E740" i="6"/>
  <c r="E1006" i="6"/>
  <c r="E826" i="7"/>
  <c r="E993" i="6"/>
  <c r="E209" i="6"/>
  <c r="E760" i="6"/>
  <c r="E319" i="7"/>
  <c r="E1038" i="6"/>
  <c r="E701" i="6"/>
  <c r="E460" i="6"/>
  <c r="E679" i="6"/>
  <c r="E71" i="7"/>
  <c r="E716" i="7"/>
  <c r="E1022" i="6"/>
  <c r="E280" i="7"/>
  <c r="E546" i="6"/>
  <c r="E12" i="6"/>
  <c r="E163" i="7"/>
  <c r="E1049" i="6"/>
  <c r="E689" i="7"/>
  <c r="E864" i="6"/>
  <c r="E316" i="6"/>
  <c r="E939" i="6"/>
  <c r="E508" i="7"/>
  <c r="E895" i="6"/>
  <c r="E45" i="7"/>
  <c r="E618" i="7"/>
  <c r="E715" i="6"/>
  <c r="E442" i="6"/>
  <c r="E727" i="7"/>
  <c r="E313" i="7"/>
  <c r="E512" i="7"/>
  <c r="E156" i="7"/>
  <c r="E420" i="6"/>
  <c r="E778" i="6"/>
  <c r="E1055" i="6"/>
  <c r="E948" i="6"/>
  <c r="E81" i="7"/>
  <c r="E194" i="7"/>
  <c r="E268" i="7"/>
  <c r="E6" i="7"/>
  <c r="E117" i="7"/>
  <c r="E181" i="7"/>
  <c r="E1059" i="7"/>
  <c r="E445" i="6"/>
  <c r="E855" i="6"/>
  <c r="E659" i="7"/>
  <c r="E56" i="6"/>
  <c r="E524" i="7"/>
  <c r="E70" i="6"/>
  <c r="E603" i="6"/>
  <c r="E859" i="6"/>
  <c r="E253" i="7"/>
  <c r="E915" i="7"/>
  <c r="E754" i="6"/>
  <c r="E140" i="6"/>
  <c r="E613" i="7"/>
  <c r="E568" i="7"/>
  <c r="E174" i="7"/>
  <c r="E257" i="7"/>
  <c r="E296" i="6"/>
  <c r="E832" i="7"/>
  <c r="E998" i="6"/>
  <c r="E1006" i="7"/>
  <c r="E903" i="6"/>
  <c r="E387" i="6"/>
  <c r="E1070" i="6"/>
  <c r="E1005" i="6"/>
  <c r="E916" i="7"/>
  <c r="E365" i="6"/>
  <c r="E287" i="6"/>
  <c r="E945" i="7"/>
  <c r="E979" i="7"/>
  <c r="E765" i="7"/>
  <c r="E1043" i="6"/>
  <c r="E552" i="7"/>
  <c r="E496" i="6"/>
  <c r="E62" i="6"/>
  <c r="E664" i="6"/>
  <c r="E971" i="6"/>
  <c r="E549" i="7"/>
  <c r="E73" i="6"/>
  <c r="E314" i="7"/>
  <c r="E907" i="7"/>
  <c r="E1036" i="6"/>
  <c r="E1059" i="6"/>
  <c r="E1068" i="6"/>
  <c r="E171" i="7"/>
  <c r="E1025" i="6"/>
  <c r="E78" i="6"/>
  <c r="E693" i="7"/>
  <c r="E165" i="6"/>
  <c r="E549" i="6"/>
  <c r="E361" i="7"/>
  <c r="E685" i="7"/>
  <c r="E885" i="6"/>
  <c r="E120" i="6"/>
  <c r="E861" i="6"/>
  <c r="E991" i="7"/>
  <c r="E865" i="7"/>
  <c r="E1053" i="7"/>
  <c r="E49" i="6"/>
  <c r="E135" i="7"/>
  <c r="E259" i="6"/>
  <c r="E382" i="7"/>
  <c r="E963" i="6"/>
  <c r="E969" i="6"/>
  <c r="E546" i="7"/>
  <c r="E743" i="6"/>
  <c r="E295" i="6"/>
  <c r="E426" i="6"/>
  <c r="E131" i="7"/>
  <c r="E210" i="7"/>
  <c r="E653" i="7"/>
  <c r="E933" i="6"/>
  <c r="E393" i="6"/>
  <c r="E669" i="7"/>
  <c r="E403" i="7"/>
  <c r="E942" i="7"/>
  <c r="E875" i="6"/>
  <c r="E510" i="6"/>
  <c r="E766" i="6"/>
  <c r="E199" i="7"/>
  <c r="E547" i="7"/>
  <c r="E887" i="6"/>
  <c r="E173" i="7"/>
  <c r="E488" i="6"/>
  <c r="E224" i="7"/>
  <c r="E621" i="7"/>
  <c r="E951" i="6"/>
  <c r="E935" i="7"/>
  <c r="E605" i="6"/>
  <c r="E418" i="7"/>
  <c r="E953" i="7"/>
  <c r="E388" i="7"/>
  <c r="E826" i="6"/>
  <c r="E673" i="6"/>
  <c r="E883" i="7"/>
  <c r="E1003" i="6"/>
  <c r="E120" i="7"/>
  <c r="E583" i="7"/>
  <c r="E730" i="7"/>
  <c r="E370" i="7"/>
  <c r="E247" i="6"/>
  <c r="E240" i="6"/>
  <c r="E534" i="7"/>
  <c r="E399" i="7"/>
  <c r="E232" i="6"/>
  <c r="E662" i="7"/>
  <c r="E685" i="6"/>
  <c r="E736" i="6"/>
  <c r="E196" i="7"/>
  <c r="E20" i="6"/>
  <c r="E259" i="7"/>
  <c r="E875" i="7"/>
  <c r="E557" i="7"/>
  <c r="E16" i="6"/>
  <c r="E998" i="7"/>
  <c r="E517" i="6"/>
  <c r="E751" i="7"/>
  <c r="E925" i="6"/>
  <c r="E464" i="6"/>
  <c r="E344" i="7"/>
  <c r="E641" i="7"/>
  <c r="E849" i="7"/>
  <c r="E802" i="6"/>
  <c r="E641" i="6"/>
  <c r="E681" i="7"/>
  <c r="E392" i="6"/>
  <c r="E785" i="6"/>
  <c r="E929" i="6"/>
  <c r="E46" i="7"/>
  <c r="E86" i="6"/>
  <c r="E1039" i="6"/>
  <c r="E1044" i="7"/>
  <c r="E833" i="7"/>
  <c r="E850" i="7"/>
  <c r="E1049" i="7"/>
  <c r="E472" i="7"/>
  <c r="E587" i="6"/>
  <c r="E405" i="6"/>
  <c r="E906" i="6"/>
  <c r="E989" i="6"/>
  <c r="E164" i="6"/>
  <c r="E360" i="6"/>
  <c r="E208" i="6"/>
  <c r="E4" i="7"/>
  <c r="E775" i="6"/>
  <c r="E20" i="7"/>
  <c r="E29" i="7"/>
  <c r="E787" i="6"/>
  <c r="E518" i="6"/>
  <c r="E250" i="7"/>
  <c r="E698" i="7"/>
  <c r="E1076" i="6"/>
  <c r="E316" i="7"/>
  <c r="E507" i="7"/>
  <c r="E912" i="6"/>
  <c r="E730" i="6"/>
  <c r="E982" i="7"/>
  <c r="E47" i="7"/>
  <c r="E58" i="7"/>
  <c r="E213" i="6"/>
  <c r="E358" i="7"/>
  <c r="E95" i="7"/>
  <c r="E758" i="7"/>
  <c r="E454" i="6"/>
  <c r="E174" i="6"/>
  <c r="E543" i="7"/>
  <c r="E752" i="7"/>
  <c r="E1031" i="6"/>
  <c r="E299" i="7"/>
  <c r="E1034" i="6"/>
  <c r="E88" i="6"/>
  <c r="E305" i="7"/>
  <c r="E273" i="7"/>
  <c r="E702" i="7"/>
  <c r="E563" i="6"/>
  <c r="E670" i="6"/>
  <c r="E538" i="7"/>
  <c r="E225" i="7"/>
  <c r="E900" i="7"/>
  <c r="E1057" i="7"/>
  <c r="E122" i="6"/>
  <c r="E433" i="6"/>
  <c r="E592" i="6"/>
  <c r="E553" i="6"/>
  <c r="E186" i="7"/>
  <c r="E7" i="6"/>
  <c r="E771" i="6"/>
  <c r="E177" i="6"/>
  <c r="E550" i="7"/>
  <c r="E1050" i="6"/>
  <c r="E302" i="7"/>
  <c r="E224" i="6"/>
  <c r="E901" i="6"/>
  <c r="E559" i="6"/>
  <c r="E2" i="7"/>
  <c r="E640" i="7"/>
  <c r="E592" i="7"/>
  <c r="E789" i="7"/>
  <c r="E196" i="6"/>
  <c r="E64" i="6"/>
  <c r="E412" i="7"/>
  <c r="E882" i="7"/>
  <c r="E37" i="6"/>
  <c r="E806" i="6"/>
  <c r="E930" i="6"/>
  <c r="E376" i="7"/>
  <c r="E160" i="7"/>
  <c r="E671" i="7"/>
  <c r="E425" i="6"/>
  <c r="E672" i="6"/>
  <c r="E96" i="6"/>
  <c r="E1020" i="7"/>
  <c r="E98" i="6"/>
  <c r="E800" i="7"/>
  <c r="E337" i="7"/>
  <c r="E181" i="6"/>
  <c r="E313" i="6"/>
  <c r="E502" i="7"/>
  <c r="E410" i="7"/>
  <c r="E529" i="6"/>
  <c r="E328" i="7"/>
  <c r="E343" i="7"/>
  <c r="E732" i="6"/>
  <c r="E1007" i="7"/>
  <c r="E1041" i="6"/>
  <c r="E1021" i="7"/>
  <c r="E262" i="7"/>
  <c r="E137" i="6"/>
  <c r="E535" i="6"/>
  <c r="E967" i="6"/>
  <c r="E909" i="7"/>
  <c r="E161" i="6"/>
  <c r="E921" i="6"/>
  <c r="E607" i="6"/>
  <c r="E411" i="7"/>
  <c r="E540" i="6"/>
  <c r="E1027" i="7"/>
  <c r="E490" i="6"/>
  <c r="E520" i="6"/>
  <c r="E835" i="7"/>
  <c r="E505" i="7"/>
  <c r="E1012" i="7"/>
  <c r="E663" i="6"/>
  <c r="E534" i="6"/>
  <c r="E57" i="7"/>
  <c r="E68" i="7"/>
  <c r="E838" i="7"/>
  <c r="E268" i="6"/>
  <c r="E946" i="6"/>
  <c r="E776" i="6"/>
  <c r="E1017" i="7"/>
  <c r="E820" i="7"/>
  <c r="E711" i="6"/>
  <c r="E236" i="6"/>
  <c r="E1038" i="7"/>
  <c r="E251" i="7"/>
  <c r="E1047" i="7"/>
  <c r="E999" i="6"/>
  <c r="E728" i="7"/>
  <c r="E48" i="7"/>
  <c r="E960" i="6"/>
  <c r="E1043" i="7"/>
  <c r="E594" i="6"/>
  <c r="E374" i="6"/>
  <c r="E17" i="7"/>
  <c r="E382" i="6"/>
  <c r="E656" i="7"/>
  <c r="E95" i="6"/>
  <c r="E760" i="7"/>
  <c r="E348" i="6"/>
  <c r="E770" i="6"/>
  <c r="E1016" i="6"/>
  <c r="E463" i="6"/>
  <c r="E222" i="6"/>
  <c r="E861" i="7"/>
  <c r="E359" i="7"/>
  <c r="E187" i="7"/>
  <c r="E966" i="7"/>
  <c r="E801" i="6"/>
  <c r="E204" i="6"/>
  <c r="E583" i="6"/>
  <c r="E310" i="7"/>
  <c r="E569" i="7"/>
  <c r="E889" i="7"/>
  <c r="E919" i="7"/>
  <c r="E326" i="6"/>
  <c r="E346" i="6"/>
  <c r="E547" i="6"/>
  <c r="E269" i="7"/>
  <c r="E10" i="7"/>
  <c r="E256" i="6"/>
  <c r="E285" i="6"/>
  <c r="E155" i="7"/>
  <c r="E195" i="7"/>
  <c r="E694" i="6"/>
  <c r="E753" i="7"/>
  <c r="E330" i="6"/>
  <c r="E406" i="6"/>
  <c r="E79" i="6"/>
  <c r="E35" i="6"/>
  <c r="E214" i="7"/>
  <c r="E890" i="7"/>
  <c r="E902" i="6"/>
  <c r="E597" i="6"/>
  <c r="E185" i="7"/>
  <c r="E144" i="7"/>
  <c r="E260" i="7"/>
  <c r="E617" i="7"/>
  <c r="E134" i="6"/>
  <c r="E986" i="7"/>
  <c r="E1055" i="7"/>
  <c r="E798" i="7"/>
  <c r="E1030" i="6"/>
  <c r="E768" i="6"/>
  <c r="E936" i="6"/>
  <c r="E773" i="6"/>
  <c r="E575" i="7"/>
  <c r="E847" i="7"/>
  <c r="E220" i="6"/>
  <c r="E130" i="6"/>
  <c r="E379" i="7"/>
  <c r="E722" i="7"/>
  <c r="E913" i="7"/>
  <c r="E58" i="6"/>
  <c r="E322" i="7"/>
  <c r="E345" i="6"/>
  <c r="E598" i="7"/>
  <c r="E860" i="7"/>
  <c r="E682" i="7"/>
  <c r="E256" i="7"/>
  <c r="E523" i="6"/>
  <c r="E933" i="7"/>
  <c r="E320" i="6"/>
  <c r="E603" i="7"/>
  <c r="E29" i="6"/>
  <c r="E429" i="7"/>
  <c r="E580" i="6"/>
  <c r="E366" i="6"/>
  <c r="E837" i="6"/>
  <c r="E15" i="7"/>
  <c r="E1000" i="7"/>
  <c r="E374" i="7"/>
  <c r="E271" i="6"/>
  <c r="E527" i="6"/>
  <c r="E23" i="7"/>
  <c r="E977" i="6"/>
  <c r="E37" i="7"/>
  <c r="E692" i="6"/>
  <c r="E688" i="6"/>
  <c r="E817" i="7"/>
  <c r="E1015" i="6"/>
  <c r="E413" i="7"/>
  <c r="E190" i="7"/>
  <c r="E704" i="6"/>
  <c r="E408" i="6"/>
  <c r="E672" i="7"/>
  <c r="E1054" i="7"/>
  <c r="E776" i="7"/>
  <c r="E686" i="7"/>
  <c r="E211" i="6"/>
  <c r="E241" i="6"/>
  <c r="E670" i="7"/>
  <c r="E222" i="7"/>
  <c r="E870" i="6"/>
  <c r="E507" i="6"/>
  <c r="E102" i="7"/>
  <c r="E1069" i="6"/>
  <c r="E202" i="7"/>
  <c r="E379" i="6"/>
  <c r="E658" i="6"/>
  <c r="E49" i="7"/>
  <c r="E235" i="7"/>
  <c r="E542" i="7"/>
  <c r="E356" i="6"/>
  <c r="E655" i="6"/>
  <c r="E634" i="7"/>
  <c r="E254" i="7"/>
  <c r="E48" i="6"/>
  <c r="E769" i="6"/>
  <c r="E712" i="6"/>
  <c r="E786" i="7"/>
  <c r="E883" i="6"/>
  <c r="E6" i="6"/>
  <c r="E530" i="7"/>
  <c r="E1026" i="7"/>
  <c r="E561" i="7"/>
  <c r="E886" i="6"/>
  <c r="E105" i="7"/>
  <c r="E828" i="6"/>
  <c r="E218" i="6"/>
  <c r="E698" i="6"/>
  <c r="E627" i="7"/>
  <c r="E3" i="7"/>
  <c r="E277" i="6"/>
  <c r="E352" i="6"/>
  <c r="E437" i="7"/>
  <c r="E938" i="7"/>
  <c r="E655" i="7"/>
  <c r="E626" i="7"/>
  <c r="E376" i="6"/>
  <c r="E1063" i="6"/>
  <c r="E1078" i="6"/>
  <c r="E576" i="7"/>
  <c r="E143" i="6"/>
  <c r="E31" i="7"/>
  <c r="E371" i="6"/>
  <c r="E539" i="6"/>
  <c r="E740" i="7"/>
  <c r="E885" i="7"/>
  <c r="E453" i="6"/>
  <c r="E989" i="7"/>
  <c r="E584" i="7"/>
  <c r="E627" i="6"/>
  <c r="E945" i="6"/>
  <c r="E1042" i="6"/>
  <c r="E355" i="7"/>
  <c r="E487" i="7"/>
  <c r="E610" i="7"/>
  <c r="E440" i="7"/>
  <c r="E738" i="6"/>
  <c r="E449" i="6"/>
  <c r="E1018" i="7"/>
  <c r="E318" i="6"/>
  <c r="E896" i="6"/>
  <c r="E247" i="7"/>
  <c r="E158" i="7"/>
  <c r="E620" i="7"/>
  <c r="E851" i="7"/>
  <c r="E612" i="6"/>
  <c r="E298" i="6"/>
  <c r="E275" i="7"/>
  <c r="E954" i="7"/>
  <c r="E741" i="6"/>
  <c r="E718" i="6"/>
  <c r="E5" i="6"/>
  <c r="E829" i="6"/>
  <c r="E572" i="6"/>
  <c r="E937" i="7"/>
  <c r="E675" i="6"/>
  <c r="E466" i="7"/>
  <c r="E677" i="6"/>
  <c r="E963" i="7"/>
  <c r="E622" i="6"/>
  <c r="E244" i="7"/>
  <c r="E944" i="7"/>
  <c r="E570" i="6"/>
  <c r="E588" i="6"/>
  <c r="E831" i="6"/>
  <c r="E47" i="6"/>
  <c r="E858" i="6"/>
  <c r="E93" i="6"/>
  <c r="E958" i="6"/>
  <c r="E1057" i="6"/>
  <c r="E537" i="7"/>
  <c r="E44" i="7"/>
  <c r="E132" i="7"/>
  <c r="E393" i="7"/>
  <c r="E87" i="7"/>
  <c r="E1051" i="6"/>
  <c r="E402" i="6"/>
  <c r="E427" i="7"/>
  <c r="E671" i="6"/>
  <c r="E295" i="7"/>
  <c r="E410" i="6"/>
  <c r="E793" i="6"/>
  <c r="E205" i="6"/>
  <c r="E1062" i="6"/>
  <c r="E582" i="7"/>
  <c r="E213" i="7"/>
  <c r="E436" i="6"/>
  <c r="E606" i="6"/>
  <c r="E710" i="7"/>
  <c r="E593" i="7"/>
  <c r="E434" i="6"/>
  <c r="E323" i="7"/>
  <c r="E1045" i="7"/>
  <c r="E860" i="6"/>
  <c r="E667" i="7"/>
  <c r="E438" i="7"/>
  <c r="E596" i="6"/>
  <c r="E394" i="6"/>
  <c r="E985" i="7"/>
  <c r="E993" i="7"/>
  <c r="E727" i="6"/>
  <c r="E564" i="6"/>
  <c r="E38" i="7"/>
  <c r="E996" i="7"/>
  <c r="E312" i="6"/>
  <c r="E611" i="7"/>
  <c r="E32" i="7"/>
  <c r="E813" i="7"/>
  <c r="E581" i="7"/>
  <c r="E777" i="7"/>
  <c r="E308" i="6"/>
  <c r="E1032" i="7"/>
  <c r="E809" i="7"/>
  <c r="E360" i="7"/>
  <c r="E392" i="7"/>
  <c r="E416" i="6"/>
  <c r="E350" i="6"/>
  <c r="E668" i="6"/>
  <c r="E495" i="7"/>
  <c r="E662" i="6"/>
  <c r="E206" i="6"/>
  <c r="E34" i="6"/>
  <c r="E580" i="7"/>
  <c r="E928" i="6"/>
  <c r="E729" i="6"/>
  <c r="E978" i="7"/>
  <c r="E666" i="7"/>
  <c r="E455" i="6"/>
  <c r="E803" i="7"/>
  <c r="E417" i="6"/>
  <c r="E1033" i="7"/>
  <c r="E394" i="7"/>
  <c r="E286" i="6"/>
  <c r="E26" i="7"/>
  <c r="E735" i="7"/>
  <c r="E707" i="7"/>
  <c r="E187" i="6"/>
  <c r="E202" i="6"/>
  <c r="E451" i="6"/>
  <c r="E1027" i="6"/>
  <c r="E302" i="6"/>
  <c r="E739" i="6"/>
  <c r="E24" i="6"/>
  <c r="E452" i="6"/>
  <c r="E248" i="7"/>
  <c r="E279" i="7"/>
  <c r="E496" i="7"/>
  <c r="E762" i="7"/>
  <c r="E932" i="6"/>
  <c r="E588" i="7"/>
  <c r="E773" i="7"/>
  <c r="E388" i="6"/>
  <c r="E89" i="7"/>
  <c r="E911" i="7"/>
  <c r="E1036" i="7"/>
  <c r="E431" i="6"/>
  <c r="E448" i="6"/>
  <c r="E1041" i="7"/>
  <c r="E175" i="7"/>
  <c r="E600" i="6"/>
  <c r="E63" i="6"/>
  <c r="E11" i="7"/>
  <c r="E599" i="7"/>
  <c r="E404" i="7"/>
  <c r="E882" i="6"/>
  <c r="E515" i="7"/>
  <c r="E794" i="7"/>
  <c r="E629" i="7"/>
  <c r="E367" i="6"/>
  <c r="E809" i="6"/>
  <c r="E602" i="7"/>
  <c r="E821" i="7"/>
  <c r="E999" i="7"/>
  <c r="E341" i="7"/>
  <c r="E132" i="6"/>
  <c r="E1024" i="7"/>
  <c r="E1021" i="6"/>
  <c r="E452" i="7"/>
  <c r="E350" i="7"/>
  <c r="E56" i="7"/>
  <c r="E930" i="7"/>
  <c r="E481" i="7"/>
  <c r="E775" i="7"/>
  <c r="E87" i="6"/>
  <c r="E904" i="6"/>
  <c r="E66" i="6"/>
  <c r="E225" i="6"/>
  <c r="E415" i="6"/>
  <c r="E134" i="7"/>
  <c r="E533" i="7"/>
  <c r="E611" i="6"/>
  <c r="E265" i="6"/>
  <c r="E233" i="6"/>
  <c r="E972" i="7"/>
  <c r="E1009" i="6"/>
  <c r="E475" i="7"/>
  <c r="E751" i="6"/>
  <c r="E401" i="6"/>
  <c r="E1029" i="6"/>
  <c r="E301" i="7"/>
  <c r="E608" i="6"/>
  <c r="E437" i="6"/>
  <c r="E819" i="6"/>
  <c r="E96" i="7"/>
  <c r="E199" i="6"/>
  <c r="E14" i="6"/>
  <c r="E661" i="7"/>
  <c r="E1066" i="6"/>
  <c r="E135" i="6"/>
  <c r="E364" i="6"/>
  <c r="E492" i="7"/>
  <c r="E789" i="6"/>
  <c r="E369" i="7"/>
  <c r="E1014" i="7"/>
  <c r="E842" i="7"/>
  <c r="E385" i="6"/>
  <c r="E620" i="6"/>
  <c r="E799" i="7"/>
  <c r="E834" i="6"/>
  <c r="E964" i="6"/>
  <c r="E481" i="6"/>
  <c r="E1048" i="7"/>
  <c r="E520" i="7"/>
  <c r="E587" i="7"/>
  <c r="E1056" i="7"/>
  <c r="E1046" i="7"/>
  <c r="E171" i="6"/>
  <c r="E307" i="6"/>
  <c r="E650" i="6"/>
  <c r="E1013" i="6"/>
  <c r="E125" i="7"/>
  <c r="E469" i="7"/>
  <c r="E491" i="6"/>
  <c r="E539" i="7"/>
  <c r="E1040" i="7"/>
  <c r="E498" i="7"/>
  <c r="E180" i="6"/>
  <c r="E229" i="6"/>
  <c r="E771" i="7"/>
  <c r="E28" i="7"/>
  <c r="E1077" i="6"/>
  <c r="E397" i="7"/>
  <c r="E298" i="7"/>
  <c r="E1001" i="6"/>
  <c r="E114" i="7"/>
  <c r="E194" i="6"/>
  <c r="E321" i="7"/>
  <c r="E188" i="7"/>
  <c r="E874" i="7"/>
  <c r="E1019" i="7"/>
  <c r="E821" i="6"/>
  <c r="E577" i="6"/>
  <c r="E845" i="7"/>
  <c r="E30" i="6"/>
  <c r="E759" i="7"/>
  <c r="E82" i="6"/>
  <c r="E1002" i="6"/>
  <c r="E83" i="6"/>
  <c r="E60" i="6"/>
  <c r="E673" i="7"/>
  <c r="E966" i="6"/>
  <c r="E745" i="6"/>
  <c r="E779" i="6"/>
  <c r="E1075" i="6"/>
  <c r="E33" i="6"/>
  <c r="E126" i="6"/>
  <c r="E678" i="6"/>
  <c r="E180" i="7"/>
  <c r="E901" i="7"/>
  <c r="E397" i="6"/>
  <c r="E825" i="7"/>
  <c r="E428" i="7"/>
  <c r="E311" i="6"/>
  <c r="E72" i="6"/>
  <c r="E395" i="7"/>
  <c r="E871" i="6"/>
  <c r="E708" i="6"/>
  <c r="E197" i="7"/>
  <c r="E577" i="7"/>
  <c r="E742" i="7"/>
  <c r="E375" i="6"/>
  <c r="E638" i="6"/>
  <c r="E306" i="7"/>
  <c r="E790" i="6"/>
  <c r="E331" i="7"/>
  <c r="E748" i="6"/>
  <c r="E76" i="7"/>
  <c r="E221" i="6"/>
  <c r="E389" i="7"/>
  <c r="E198" i="6"/>
  <c r="E179" i="7"/>
  <c r="E166" i="7"/>
  <c r="E261" i="6"/>
  <c r="E711" i="7"/>
  <c r="E104" i="6"/>
  <c r="E854" i="7"/>
  <c r="E899" i="6"/>
  <c r="E614" i="6"/>
  <c r="E518" i="7"/>
  <c r="E940" i="6"/>
  <c r="E956" i="7"/>
  <c r="E562" i="6"/>
  <c r="E633" i="7"/>
  <c r="E416" i="7"/>
  <c r="E910" i="7"/>
  <c r="E333" i="7"/>
  <c r="E200" i="7"/>
  <c r="E372" i="6"/>
  <c r="E634" i="6"/>
  <c r="E844" i="6"/>
  <c r="E1014" i="6"/>
  <c r="E633" i="6"/>
  <c r="E918" i="7"/>
  <c r="E891" i="7"/>
  <c r="E467" i="7"/>
  <c r="E1028" i="7"/>
  <c r="E42" i="6"/>
  <c r="E1011" i="6"/>
  <c r="E52" i="6"/>
  <c r="E665" i="7"/>
  <c r="E840" i="6"/>
  <c r="E390" i="6"/>
  <c r="E1004" i="7"/>
  <c r="E335" i="6"/>
  <c r="E864" i="7"/>
  <c r="E140" i="7"/>
  <c r="E805" i="6"/>
  <c r="E176" i="7"/>
  <c r="E43" i="6"/>
  <c r="E228" i="7"/>
  <c r="E450" i="6"/>
  <c r="E542" i="6"/>
  <c r="E479" i="7"/>
  <c r="E796" i="6"/>
  <c r="E30" i="7"/>
  <c r="E874" i="6"/>
  <c r="E1028" i="6"/>
  <c r="E525" i="6"/>
  <c r="E1056" i="6"/>
  <c r="E690" i="6"/>
  <c r="E613" i="6"/>
  <c r="E328" i="6"/>
  <c r="E973" i="6"/>
  <c r="E581" i="6"/>
  <c r="E876" i="6"/>
  <c r="E571" i="7"/>
  <c r="E557" i="6"/>
  <c r="E221" i="7"/>
  <c r="E832" i="6"/>
  <c r="E155" i="6"/>
  <c r="E942" i="6"/>
  <c r="E300" i="7"/>
  <c r="E470" i="7"/>
  <c r="E122" i="7"/>
  <c r="E590" i="6"/>
  <c r="E831" i="7"/>
  <c r="E41" i="7"/>
  <c r="E511" i="7"/>
  <c r="E244" i="6"/>
  <c r="E91" i="7"/>
  <c r="E241" i="7"/>
  <c r="E578" i="6"/>
  <c r="E846" i="7"/>
  <c r="E616" i="7"/>
  <c r="E443" i="7"/>
  <c r="E986" i="6"/>
  <c r="E811" i="7"/>
  <c r="E708" i="7"/>
  <c r="E888" i="6"/>
  <c r="E646" i="7"/>
  <c r="E653" i="6"/>
  <c r="E807" i="7"/>
  <c r="E512" i="6"/>
  <c r="E409" i="7"/>
  <c r="E1052" i="7"/>
  <c r="E1050" i="7"/>
  <c r="E126" i="7"/>
  <c r="E25" i="7"/>
  <c r="E705" i="7"/>
  <c r="E586" i="7"/>
  <c r="E643" i="7"/>
  <c r="E215" i="6"/>
  <c r="E317" i="7"/>
  <c r="E21" i="6"/>
  <c r="E575" i="6"/>
  <c r="E264" i="6"/>
  <c r="E965" i="6"/>
  <c r="E1030" i="7"/>
  <c r="E421" i="7"/>
  <c r="E292" i="6"/>
  <c r="E440" i="6"/>
  <c r="E343" i="6"/>
  <c r="E852" i="7"/>
  <c r="E320" i="7"/>
  <c r="E283" i="6"/>
  <c r="E565" i="7"/>
  <c r="E493" i="7"/>
  <c r="E810" i="6"/>
  <c r="E567" i="6"/>
  <c r="E119" i="6"/>
  <c r="E939" i="7"/>
  <c r="E606" i="7"/>
  <c r="E327" i="6"/>
  <c r="E1012" i="6"/>
  <c r="E899" i="7"/>
  <c r="E961" i="7"/>
  <c r="E323" i="6"/>
  <c r="E556" i="7"/>
  <c r="E9" i="7"/>
  <c r="E617" i="6"/>
  <c r="E952" i="6"/>
  <c r="E306" i="6"/>
  <c r="E784" i="7"/>
  <c r="E962" i="6"/>
  <c r="E605" i="7"/>
  <c r="E654" i="6"/>
  <c r="E103" i="7"/>
  <c r="E380" i="7"/>
  <c r="E71" i="6"/>
  <c r="E197" i="6"/>
  <c r="E291" i="7"/>
  <c r="E503" i="7"/>
  <c r="E1031" i="7"/>
  <c r="E1025" i="7"/>
  <c r="E203" i="6"/>
  <c r="E315" i="6"/>
  <c r="E927" i="6"/>
  <c r="E812" i="7"/>
  <c r="E341" i="6"/>
  <c r="E931" i="6"/>
  <c r="E217" i="6"/>
  <c r="E696" i="6"/>
  <c r="E822" i="7"/>
  <c r="E995" i="7"/>
  <c r="E161" i="7"/>
  <c r="E834" i="7"/>
  <c r="E141" i="7"/>
  <c r="E723" i="7"/>
  <c r="E249" i="6"/>
  <c r="E959" i="6"/>
  <c r="E814" i="6"/>
  <c r="E13" i="6"/>
  <c r="E104" i="7"/>
  <c r="E1048" i="6"/>
  <c r="E84" i="6"/>
  <c r="E818" i="7"/>
  <c r="E317" i="6"/>
  <c r="E436" i="7"/>
  <c r="E800" i="6"/>
  <c r="E1020" i="6"/>
  <c r="E353" i="7"/>
  <c r="E484" i="6"/>
  <c r="E530" i="6"/>
  <c r="E604" i="7"/>
  <c r="E90" i="7"/>
  <c r="E27" i="7"/>
  <c r="E238" i="7"/>
  <c r="E150" i="6"/>
  <c r="E926" i="7"/>
  <c r="E28" i="6"/>
  <c r="E200" i="6"/>
  <c r="E647" i="6"/>
  <c r="E478" i="6"/>
  <c r="E65" i="7"/>
  <c r="E371" i="7"/>
  <c r="E843" i="7"/>
  <c r="E110" i="6"/>
  <c r="E746" i="6"/>
  <c r="E513" i="6"/>
  <c r="E262" i="6"/>
  <c r="E920" i="7"/>
  <c r="E506" i="7"/>
  <c r="F506" i="7" l="1"/>
  <c r="F920" i="7"/>
  <c r="F262" i="6"/>
  <c r="F513" i="6"/>
  <c r="F746" i="6"/>
  <c r="F110" i="6"/>
  <c r="F843" i="7"/>
  <c r="F371" i="7"/>
  <c r="F65" i="7"/>
  <c r="F478" i="6"/>
  <c r="F647" i="6"/>
  <c r="F200" i="6"/>
  <c r="F28" i="6"/>
  <c r="F926" i="7"/>
  <c r="F150" i="6"/>
  <c r="F238" i="7"/>
  <c r="F27" i="7"/>
  <c r="F90" i="7"/>
  <c r="F604" i="7"/>
  <c r="F530" i="6"/>
  <c r="F484" i="6"/>
  <c r="F353" i="7"/>
  <c r="F1020" i="6"/>
  <c r="F800" i="6"/>
  <c r="F436" i="7"/>
  <c r="F317" i="6"/>
  <c r="F818" i="7"/>
  <c r="F84" i="6"/>
  <c r="F1048" i="6"/>
  <c r="F104" i="7"/>
  <c r="F13" i="6"/>
  <c r="F814" i="6"/>
  <c r="F959" i="6"/>
  <c r="F249" i="6"/>
  <c r="F723" i="7"/>
  <c r="F141" i="7"/>
  <c r="F834" i="7"/>
  <c r="F161" i="7"/>
  <c r="F995" i="7"/>
  <c r="F822" i="7"/>
  <c r="F696" i="6"/>
  <c r="F217" i="6"/>
  <c r="F931" i="6"/>
  <c r="F341" i="6"/>
  <c r="F812" i="7"/>
  <c r="F927" i="6"/>
  <c r="F315" i="6"/>
  <c r="F203" i="6"/>
  <c r="F1025" i="7"/>
  <c r="F1031" i="7"/>
  <c r="F503" i="7"/>
  <c r="F291" i="7"/>
  <c r="F197" i="6"/>
  <c r="F71" i="6"/>
  <c r="F380" i="7"/>
  <c r="F103" i="7"/>
  <c r="F654" i="6"/>
  <c r="F605" i="7"/>
  <c r="F962" i="6"/>
  <c r="F784" i="7"/>
  <c r="F306" i="6"/>
  <c r="F952" i="6"/>
  <c r="F617" i="6"/>
  <c r="F9" i="7"/>
  <c r="F556" i="7"/>
  <c r="F323" i="6"/>
  <c r="F961" i="7"/>
  <c r="F899" i="7"/>
  <c r="F1012" i="6"/>
  <c r="F327" i="6"/>
  <c r="F606" i="7"/>
  <c r="F939" i="7"/>
  <c r="F119" i="6"/>
  <c r="F567" i="6"/>
  <c r="F810" i="6"/>
  <c r="F493" i="7"/>
  <c r="F565" i="7"/>
  <c r="F283" i="6"/>
  <c r="F320" i="7"/>
  <c r="F852" i="7"/>
  <c r="F343" i="6"/>
  <c r="F440" i="6"/>
  <c r="F292" i="6"/>
  <c r="F421" i="7"/>
  <c r="F1030" i="7"/>
  <c r="F965" i="6"/>
  <c r="F264" i="6"/>
  <c r="F575" i="6"/>
  <c r="F21" i="6"/>
  <c r="F317" i="7"/>
  <c r="F215" i="6"/>
  <c r="F643" i="7"/>
  <c r="F586" i="7"/>
  <c r="F705" i="7"/>
  <c r="F25" i="7"/>
  <c r="F126" i="7"/>
  <c r="F1050" i="7"/>
  <c r="F1052" i="7"/>
  <c r="F409" i="7"/>
  <c r="F512" i="6"/>
  <c r="F807" i="7"/>
  <c r="F653" i="6"/>
  <c r="F646" i="7"/>
  <c r="F888" i="6"/>
  <c r="F708" i="7"/>
  <c r="F811" i="7"/>
  <c r="F986" i="6"/>
  <c r="F443" i="7"/>
  <c r="F616" i="7"/>
  <c r="F846" i="7"/>
  <c r="F578" i="6"/>
  <c r="F241" i="7"/>
  <c r="F91" i="7"/>
  <c r="F244" i="6"/>
  <c r="F511" i="7"/>
  <c r="F41" i="7"/>
  <c r="F831" i="7"/>
  <c r="F590" i="6"/>
  <c r="F122" i="7"/>
  <c r="F470" i="7"/>
  <c r="F300" i="7"/>
  <c r="F942" i="6"/>
  <c r="F155" i="6"/>
  <c r="F832" i="6"/>
  <c r="F221" i="7"/>
  <c r="F557" i="6"/>
  <c r="F571" i="7"/>
  <c r="F876" i="6"/>
  <c r="F581" i="6"/>
  <c r="F973" i="6"/>
  <c r="F328" i="6"/>
  <c r="F613" i="6"/>
  <c r="F690" i="6"/>
  <c r="F1056" i="6"/>
  <c r="F525" i="6"/>
  <c r="F1028" i="6"/>
  <c r="F874" i="6"/>
  <c r="F30" i="7"/>
  <c r="F796" i="6"/>
  <c r="F479" i="7"/>
  <c r="F542" i="6"/>
  <c r="F450" i="6"/>
  <c r="F228" i="7"/>
  <c r="F43" i="6"/>
  <c r="F176" i="7"/>
  <c r="F805" i="6"/>
  <c r="F140" i="7"/>
  <c r="F864" i="7"/>
  <c r="F335" i="6"/>
  <c r="F1004" i="7"/>
  <c r="F390" i="6"/>
  <c r="F840" i="6"/>
  <c r="F665" i="7"/>
  <c r="F52" i="6"/>
  <c r="F1011" i="6"/>
  <c r="F42" i="6"/>
  <c r="F1028" i="7"/>
  <c r="F467" i="7"/>
  <c r="F891" i="7"/>
  <c r="F918" i="7"/>
  <c r="F633" i="6"/>
  <c r="F1014" i="6"/>
  <c r="F844" i="6"/>
  <c r="F634" i="6"/>
  <c r="F372" i="6"/>
  <c r="F200" i="7"/>
  <c r="F333" i="7"/>
  <c r="F910" i="7"/>
  <c r="F416" i="7"/>
  <c r="F633" i="7"/>
  <c r="F562" i="6"/>
  <c r="F956" i="7"/>
  <c r="F940" i="6"/>
  <c r="F518" i="7"/>
  <c r="F614" i="6"/>
  <c r="F899" i="6"/>
  <c r="F854" i="7"/>
  <c r="F104" i="6"/>
  <c r="F711" i="7"/>
  <c r="F261" i="6"/>
  <c r="F166" i="7"/>
  <c r="F179" i="7"/>
  <c r="F198" i="6"/>
  <c r="F389" i="7"/>
  <c r="F221" i="6"/>
  <c r="F76" i="7"/>
  <c r="F748" i="6"/>
  <c r="F331" i="7"/>
  <c r="F790" i="6"/>
  <c r="F306" i="7"/>
  <c r="F638" i="6"/>
  <c r="F375" i="6"/>
  <c r="F742" i="7"/>
  <c r="F577" i="7"/>
  <c r="F197" i="7"/>
  <c r="F708" i="6"/>
  <c r="F871" i="6"/>
  <c r="F395" i="7"/>
  <c r="F72" i="6"/>
  <c r="F311" i="6"/>
  <c r="F428" i="7"/>
  <c r="F825" i="7"/>
  <c r="F397" i="6"/>
  <c r="F901" i="7"/>
  <c r="F180" i="7"/>
  <c r="F678" i="6"/>
  <c r="F126" i="6"/>
  <c r="F33" i="6"/>
  <c r="F1075" i="6"/>
  <c r="F779" i="6"/>
  <c r="F745" i="6"/>
  <c r="F966" i="6"/>
  <c r="F673" i="7"/>
  <c r="F60" i="6"/>
  <c r="F83" i="6"/>
  <c r="F1002" i="6"/>
  <c r="F82" i="6"/>
  <c r="F759" i="7"/>
  <c r="F30" i="6"/>
  <c r="F845" i="7"/>
  <c r="F577" i="6"/>
  <c r="F821" i="6"/>
  <c r="F1019" i="7"/>
  <c r="F874" i="7"/>
  <c r="F188" i="7"/>
  <c r="F321" i="7"/>
  <c r="F194" i="6"/>
  <c r="F114" i="7"/>
  <c r="F1001" i="6"/>
  <c r="F298" i="7"/>
  <c r="F397" i="7"/>
  <c r="F1077" i="6"/>
  <c r="F28" i="7"/>
  <c r="F771" i="7"/>
  <c r="F229" i="6"/>
  <c r="F180" i="6"/>
  <c r="F498" i="7"/>
  <c r="F1040" i="7"/>
  <c r="F539" i="7"/>
  <c r="F491" i="6"/>
  <c r="F469" i="7"/>
  <c r="F125" i="7"/>
  <c r="F1013" i="6"/>
  <c r="F650" i="6"/>
  <c r="F307" i="6"/>
  <c r="F171" i="6"/>
  <c r="F1046" i="7"/>
  <c r="F1056" i="7"/>
  <c r="F587" i="7"/>
  <c r="F520" i="7"/>
  <c r="F1048" i="7"/>
  <c r="F481" i="6"/>
  <c r="F964" i="6"/>
  <c r="F834" i="6"/>
  <c r="F799" i="7"/>
  <c r="F620" i="6"/>
  <c r="F385" i="6"/>
  <c r="F842" i="7"/>
  <c r="F1014" i="7"/>
  <c r="F369" i="7"/>
  <c r="F789" i="6"/>
  <c r="F492" i="7"/>
  <c r="F364" i="6"/>
  <c r="F135" i="6"/>
  <c r="F1066" i="6"/>
  <c r="F661" i="7"/>
  <c r="F14" i="6"/>
  <c r="F199" i="6"/>
  <c r="F96" i="7"/>
  <c r="F819" i="6"/>
  <c r="F437" i="6"/>
  <c r="F608" i="6"/>
  <c r="F301" i="7"/>
  <c r="F1029" i="6"/>
  <c r="F401" i="6"/>
  <c r="F751" i="6"/>
  <c r="F475" i="7"/>
  <c r="F1009" i="6"/>
  <c r="F972" i="7"/>
  <c r="F233" i="6"/>
  <c r="F265" i="6"/>
  <c r="F611" i="6"/>
  <c r="F533" i="7"/>
  <c r="F134" i="7"/>
  <c r="F415" i="6"/>
  <c r="F225" i="6"/>
  <c r="F66" i="6"/>
  <c r="F904" i="6"/>
  <c r="F87" i="6"/>
  <c r="F775" i="7"/>
  <c r="F481" i="7"/>
  <c r="F930" i="7"/>
  <c r="F56" i="7"/>
  <c r="F350" i="7"/>
  <c r="F452" i="7"/>
  <c r="F1021" i="6"/>
  <c r="F1024" i="7"/>
  <c r="F132" i="6"/>
  <c r="F341" i="7"/>
  <c r="F999" i="7"/>
  <c r="F821" i="7"/>
  <c r="F602" i="7"/>
  <c r="F809" i="6"/>
  <c r="F367" i="6"/>
  <c r="F629" i="7"/>
  <c r="F794" i="7"/>
  <c r="F515" i="7"/>
  <c r="F882" i="6"/>
  <c r="F404" i="7"/>
  <c r="F599" i="7"/>
  <c r="F11" i="7"/>
  <c r="F63" i="6"/>
  <c r="F600" i="6"/>
  <c r="F175" i="7"/>
  <c r="F1041" i="7"/>
  <c r="F448" i="6"/>
  <c r="F431" i="6"/>
  <c r="F1036" i="7"/>
  <c r="F911" i="7"/>
  <c r="F89" i="7"/>
  <c r="F388" i="6"/>
  <c r="F773" i="7"/>
  <c r="F588" i="7"/>
  <c r="F932" i="6"/>
  <c r="F762" i="7"/>
  <c r="F496" i="7"/>
  <c r="F279" i="7"/>
  <c r="F248" i="7"/>
  <c r="F452" i="6"/>
  <c r="F24" i="6"/>
  <c r="F739" i="6"/>
  <c r="F302" i="6"/>
  <c r="F1027" i="6"/>
  <c r="F451" i="6"/>
  <c r="F202" i="6"/>
  <c r="F187" i="6"/>
  <c r="F707" i="7"/>
  <c r="F735" i="7"/>
  <c r="F26" i="7"/>
  <c r="F286" i="6"/>
  <c r="F394" i="7"/>
  <c r="F1033" i="7"/>
  <c r="F417" i="6"/>
  <c r="F803" i="7"/>
  <c r="F455" i="6"/>
  <c r="F666" i="7"/>
  <c r="F978" i="7"/>
  <c r="F729" i="6"/>
  <c r="F928" i="6"/>
  <c r="F580" i="7"/>
  <c r="F34" i="6"/>
  <c r="F206" i="6"/>
  <c r="F662" i="6"/>
  <c r="F495" i="7"/>
  <c r="F668" i="6"/>
  <c r="F350" i="6"/>
  <c r="F416" i="6"/>
  <c r="F392" i="7"/>
  <c r="F360" i="7"/>
  <c r="F809" i="7"/>
  <c r="F1032" i="7"/>
  <c r="F308" i="6"/>
  <c r="F777" i="7"/>
  <c r="F581" i="7"/>
  <c r="F813" i="7"/>
  <c r="F32" i="7"/>
  <c r="F611" i="7"/>
  <c r="F312" i="6"/>
  <c r="F996" i="7"/>
  <c r="F38" i="7"/>
  <c r="F564" i="6"/>
  <c r="F727" i="6"/>
  <c r="F993" i="7"/>
  <c r="F985" i="7"/>
  <c r="F394" i="6"/>
  <c r="F596" i="6"/>
  <c r="F438" i="7"/>
  <c r="F667" i="7"/>
  <c r="F860" i="6"/>
  <c r="F1045" i="7"/>
  <c r="F323" i="7"/>
  <c r="F434" i="6"/>
  <c r="F593" i="7"/>
  <c r="F710" i="7"/>
  <c r="F606" i="6"/>
  <c r="F436" i="6"/>
  <c r="F213" i="7"/>
  <c r="F582" i="7"/>
  <c r="F1062" i="6"/>
  <c r="F205" i="6"/>
  <c r="F793" i="6"/>
  <c r="F410" i="6"/>
  <c r="F295" i="7"/>
  <c r="F671" i="6"/>
  <c r="F427" i="7"/>
  <c r="F402" i="6"/>
  <c r="F1051" i="6"/>
  <c r="F87" i="7"/>
  <c r="F393" i="7"/>
  <c r="F132" i="7"/>
  <c r="F44" i="7"/>
  <c r="F537" i="7"/>
  <c r="F1057" i="6"/>
  <c r="F958" i="6"/>
  <c r="F93" i="6"/>
  <c r="F858" i="6"/>
  <c r="F47" i="6"/>
  <c r="F831" i="6"/>
  <c r="F588" i="6"/>
  <c r="F570" i="6"/>
  <c r="F944" i="7"/>
  <c r="F244" i="7"/>
  <c r="F622" i="6"/>
  <c r="F963" i="7"/>
  <c r="F677" i="6"/>
  <c r="F466" i="7"/>
  <c r="F675" i="6"/>
  <c r="F937" i="7"/>
  <c r="F572" i="6"/>
  <c r="F829" i="6"/>
  <c r="F5" i="6"/>
  <c r="F718" i="6"/>
  <c r="F741" i="6"/>
  <c r="F954" i="7"/>
  <c r="F275" i="7"/>
  <c r="F298" i="6"/>
  <c r="F612" i="6"/>
  <c r="F851" i="7"/>
  <c r="F620" i="7"/>
  <c r="F158" i="7"/>
  <c r="F247" i="7"/>
  <c r="F896" i="6"/>
  <c r="F318" i="6"/>
  <c r="F1018" i="7"/>
  <c r="F449" i="6"/>
  <c r="F738" i="6"/>
  <c r="F440" i="7"/>
  <c r="F610" i="7"/>
  <c r="F487" i="7"/>
  <c r="F355" i="7"/>
  <c r="F1042" i="6"/>
  <c r="F945" i="6"/>
  <c r="F627" i="6"/>
  <c r="F584" i="7"/>
  <c r="F989" i="7"/>
  <c r="F453" i="6"/>
  <c r="F885" i="7"/>
  <c r="F740" i="7"/>
  <c r="F539" i="6"/>
  <c r="F371" i="6"/>
  <c r="F31" i="7"/>
  <c r="F143" i="6"/>
  <c r="F576" i="7"/>
  <c r="F1078" i="6"/>
  <c r="F1063" i="6"/>
  <c r="F376" i="6"/>
  <c r="F626" i="7"/>
  <c r="F655" i="7"/>
  <c r="F938" i="7"/>
  <c r="F437" i="7"/>
  <c r="F352" i="6"/>
  <c r="F277" i="6"/>
  <c r="F3" i="7"/>
  <c r="F627" i="7"/>
  <c r="F698" i="6"/>
  <c r="F218" i="6"/>
  <c r="F828" i="6"/>
  <c r="F105" i="7"/>
  <c r="F886" i="6"/>
  <c r="F561" i="7"/>
  <c r="F1026" i="7"/>
  <c r="F530" i="7"/>
  <c r="F6" i="6"/>
  <c r="F883" i="6"/>
  <c r="F786" i="7"/>
  <c r="F712" i="6"/>
  <c r="F769" i="6"/>
  <c r="F48" i="6"/>
  <c r="F254" i="7"/>
  <c r="F634" i="7"/>
  <c r="F655" i="6"/>
  <c r="F356" i="6"/>
  <c r="F542" i="7"/>
  <c r="F235" i="7"/>
  <c r="F49" i="7"/>
  <c r="F658" i="6"/>
  <c r="F379" i="6"/>
  <c r="F202" i="7"/>
  <c r="F1069" i="6"/>
  <c r="F102" i="7"/>
  <c r="F507" i="6"/>
  <c r="F870" i="6"/>
  <c r="F222" i="7"/>
  <c r="F670" i="7"/>
  <c r="F241" i="6"/>
  <c r="F211" i="6"/>
  <c r="F686" i="7"/>
  <c r="F776" i="7"/>
  <c r="F1054" i="7"/>
  <c r="F672" i="7"/>
  <c r="F408" i="6"/>
  <c r="F704" i="6"/>
  <c r="F190" i="7"/>
  <c r="F413" i="7"/>
  <c r="F1015" i="6"/>
  <c r="F817" i="7"/>
  <c r="F688" i="6"/>
  <c r="F692" i="6"/>
  <c r="F37" i="7"/>
  <c r="F977" i="6"/>
  <c r="F23" i="7"/>
  <c r="F527" i="6"/>
  <c r="F271" i="6"/>
  <c r="F374" i="7"/>
  <c r="F1000" i="7"/>
  <c r="F15" i="7"/>
  <c r="F837" i="6"/>
  <c r="F366" i="6"/>
  <c r="F580" i="6"/>
  <c r="F429" i="7"/>
  <c r="F29" i="6"/>
  <c r="F603" i="7"/>
  <c r="F320" i="6"/>
  <c r="F933" i="7"/>
  <c r="F523" i="6"/>
  <c r="F256" i="7"/>
  <c r="F682" i="7"/>
  <c r="F860" i="7"/>
  <c r="F598" i="7"/>
  <c r="F345" i="6"/>
  <c r="F322" i="7"/>
  <c r="F58" i="6"/>
  <c r="F913" i="7"/>
  <c r="F722" i="7"/>
  <c r="F379" i="7"/>
  <c r="F130" i="6"/>
  <c r="F220" i="6"/>
  <c r="F847" i="7"/>
  <c r="F575" i="7"/>
  <c r="F773" i="6"/>
  <c r="F936" i="6"/>
  <c r="F768" i="6"/>
  <c r="F1030" i="6"/>
  <c r="F798" i="7"/>
  <c r="F1055" i="7"/>
  <c r="F986" i="7"/>
  <c r="F134" i="6"/>
  <c r="F617" i="7"/>
  <c r="F260" i="7"/>
  <c r="F144" i="7"/>
  <c r="F185" i="7"/>
  <c r="F597" i="6"/>
  <c r="F902" i="6"/>
  <c r="F890" i="7"/>
  <c r="F214" i="7"/>
  <c r="F35" i="6"/>
  <c r="F79" i="6"/>
  <c r="F406" i="6"/>
  <c r="F330" i="6"/>
  <c r="F753" i="7"/>
  <c r="F694" i="6"/>
  <c r="F195" i="7"/>
  <c r="F155" i="7"/>
  <c r="F285" i="6"/>
  <c r="F256" i="6"/>
  <c r="F10" i="7"/>
  <c r="F269" i="7"/>
  <c r="F547" i="6"/>
  <c r="F346" i="6"/>
  <c r="F326" i="6"/>
  <c r="F919" i="7"/>
  <c r="F889" i="7"/>
  <c r="F569" i="7"/>
  <c r="F310" i="7"/>
  <c r="F583" i="6"/>
  <c r="F204" i="6"/>
  <c r="F801" i="6"/>
  <c r="F966" i="7"/>
  <c r="F187" i="7"/>
  <c r="F359" i="7"/>
  <c r="F861" i="7"/>
  <c r="F222" i="6"/>
  <c r="F463" i="6"/>
  <c r="F1016" i="6"/>
  <c r="F770" i="6"/>
  <c r="F348" i="6"/>
  <c r="F760" i="7"/>
  <c r="F95" i="6"/>
  <c r="F656" i="7"/>
  <c r="F382" i="6"/>
  <c r="F17" i="7"/>
  <c r="F374" i="6"/>
  <c r="F594" i="6"/>
  <c r="F1043" i="7"/>
  <c r="F960" i="6"/>
  <c r="F48" i="7"/>
  <c r="F728" i="7"/>
  <c r="F999" i="6"/>
  <c r="F1047" i="7"/>
  <c r="F251" i="7"/>
  <c r="F1038" i="7"/>
  <c r="F236" i="6"/>
  <c r="F711" i="6"/>
  <c r="F820" i="7"/>
  <c r="F1017" i="7"/>
  <c r="F776" i="6"/>
  <c r="F946" i="6"/>
  <c r="F268" i="6"/>
  <c r="F838" i="7"/>
  <c r="F68" i="7"/>
  <c r="F57" i="7"/>
  <c r="F534" i="6"/>
  <c r="F663" i="6"/>
  <c r="F1012" i="7"/>
  <c r="F505" i="7"/>
  <c r="F835" i="7"/>
  <c r="F520" i="6"/>
  <c r="F490" i="6"/>
  <c r="F1027" i="7"/>
  <c r="F540" i="6"/>
  <c r="F411" i="7"/>
  <c r="F607" i="6"/>
  <c r="F921" i="6"/>
  <c r="F161" i="6"/>
  <c r="F909" i="7"/>
  <c r="F967" i="6"/>
  <c r="F535" i="6"/>
  <c r="F137" i="6"/>
  <c r="F262" i="7"/>
  <c r="F1021" i="7"/>
  <c r="F1041" i="6"/>
  <c r="F1007" i="7"/>
  <c r="F732" i="6"/>
  <c r="F343" i="7"/>
  <c r="F328" i="7"/>
  <c r="F529" i="6"/>
  <c r="F410" i="7"/>
  <c r="F502" i="7"/>
  <c r="F313" i="6"/>
  <c r="F181" i="6"/>
  <c r="F337" i="7"/>
  <c r="F800" i="7"/>
  <c r="F98" i="6"/>
  <c r="F1020" i="7"/>
  <c r="F96" i="6"/>
  <c r="F672" i="6"/>
  <c r="F425" i="6"/>
  <c r="F671" i="7"/>
  <c r="F160" i="7"/>
  <c r="F376" i="7"/>
  <c r="F930" i="6"/>
  <c r="F806" i="6"/>
  <c r="F37" i="6"/>
  <c r="F882" i="7"/>
  <c r="F412" i="7"/>
  <c r="F64" i="6"/>
  <c r="F196" i="6"/>
  <c r="F789" i="7"/>
  <c r="F592" i="7"/>
  <c r="F640" i="7"/>
  <c r="F2" i="7"/>
  <c r="F559" i="6"/>
  <c r="F901" i="6"/>
  <c r="F224" i="6"/>
  <c r="F302" i="7"/>
  <c r="F1050" i="6"/>
  <c r="F550" i="7"/>
  <c r="F177" i="6"/>
  <c r="F771" i="6"/>
  <c r="F7" i="6"/>
  <c r="F186" i="7"/>
  <c r="F553" i="6"/>
  <c r="F592" i="6"/>
  <c r="F433" i="6"/>
  <c r="F122" i="6"/>
  <c r="F1057" i="7"/>
  <c r="F900" i="7"/>
  <c r="F225" i="7"/>
  <c r="F538" i="7"/>
  <c r="F670" i="6"/>
  <c r="F563" i="6"/>
  <c r="F702" i="7"/>
  <c r="F273" i="7"/>
  <c r="F305" i="7"/>
  <c r="F88" i="6"/>
  <c r="F1034" i="6"/>
  <c r="F299" i="7"/>
  <c r="F1031" i="6"/>
  <c r="F752" i="7"/>
  <c r="F543" i="7"/>
  <c r="F174" i="6"/>
  <c r="F454" i="6"/>
  <c r="F758" i="7"/>
  <c r="F95" i="7"/>
  <c r="F358" i="7"/>
  <c r="F213" i="6"/>
  <c r="F58" i="7"/>
  <c r="F47" i="7"/>
  <c r="F982" i="7"/>
  <c r="F730" i="6"/>
  <c r="F912" i="6"/>
  <c r="F507" i="7"/>
  <c r="F316" i="7"/>
  <c r="F1076" i="6"/>
  <c r="F698" i="7"/>
  <c r="F250" i="7"/>
  <c r="F518" i="6"/>
  <c r="F787" i="6"/>
  <c r="F29" i="7"/>
  <c r="F20" i="7"/>
  <c r="F775" i="6"/>
  <c r="F4" i="7"/>
  <c r="F208" i="6"/>
  <c r="F360" i="6"/>
  <c r="F164" i="6"/>
  <c r="F989" i="6"/>
  <c r="F906" i="6"/>
  <c r="F405" i="6"/>
  <c r="F587" i="6"/>
  <c r="F472" i="7"/>
  <c r="F1049" i="7"/>
  <c r="F850" i="7"/>
  <c r="F833" i="7"/>
  <c r="F1044" i="7"/>
  <c r="F1039" i="6"/>
  <c r="F86" i="6"/>
  <c r="F46" i="7"/>
  <c r="F929" i="6"/>
  <c r="F785" i="6"/>
  <c r="F392" i="6"/>
  <c r="F681" i="7"/>
  <c r="F641" i="6"/>
  <c r="F802" i="6"/>
  <c r="F849" i="7"/>
  <c r="F641" i="7"/>
  <c r="F344" i="7"/>
  <c r="F464" i="6"/>
  <c r="F925" i="6"/>
  <c r="F751" i="7"/>
  <c r="F517" i="6"/>
  <c r="F998" i="7"/>
  <c r="F16" i="6"/>
  <c r="F557" i="7"/>
  <c r="F875" i="7"/>
  <c r="F259" i="7"/>
  <c r="F20" i="6"/>
  <c r="F196" i="7"/>
  <c r="F736" i="6"/>
  <c r="F685" i="6"/>
  <c r="F662" i="7"/>
  <c r="F232" i="6"/>
  <c r="F399" i="7"/>
  <c r="F534" i="7"/>
  <c r="F240" i="6"/>
  <c r="F247" i="6"/>
  <c r="F370" i="7"/>
  <c r="F730" i="7"/>
  <c r="F583" i="7"/>
  <c r="F120" i="7"/>
  <c r="F1003" i="6"/>
  <c r="F883" i="7"/>
  <c r="F673" i="6"/>
  <c r="F826" i="6"/>
  <c r="F388" i="7"/>
  <c r="F953" i="7"/>
  <c r="F418" i="7"/>
  <c r="F605" i="6"/>
  <c r="F935" i="7"/>
  <c r="F951" i="6"/>
  <c r="F621" i="7"/>
  <c r="F224" i="7"/>
  <c r="F488" i="6"/>
  <c r="F173" i="7"/>
  <c r="F887" i="6"/>
  <c r="F547" i="7"/>
  <c r="F199" i="7"/>
  <c r="F766" i="6"/>
  <c r="F510" i="6"/>
  <c r="F875" i="6"/>
  <c r="F942" i="7"/>
  <c r="F403" i="7"/>
  <c r="F669" i="7"/>
  <c r="F393" i="6"/>
  <c r="F933" i="6"/>
  <c r="F653" i="7"/>
  <c r="F210" i="7"/>
  <c r="F131" i="7"/>
  <c r="F426" i="6"/>
  <c r="F295" i="6"/>
  <c r="F743" i="6"/>
  <c r="F546" i="7"/>
  <c r="F969" i="6"/>
  <c r="F963" i="6"/>
  <c r="F382" i="7"/>
  <c r="F259" i="6"/>
  <c r="F135" i="7"/>
  <c r="F49" i="6"/>
  <c r="F1053" i="7"/>
  <c r="F865" i="7"/>
  <c r="F991" i="7"/>
  <c r="F861" i="6"/>
  <c r="F120" i="6"/>
  <c r="F885" i="6"/>
  <c r="F685" i="7"/>
  <c r="F361" i="7"/>
  <c r="F549" i="6"/>
  <c r="F165" i="6"/>
  <c r="F693" i="7"/>
  <c r="F78" i="6"/>
  <c r="F1025" i="6"/>
  <c r="F171" i="7"/>
  <c r="F1068" i="6"/>
  <c r="F1059" i="6"/>
  <c r="F1036" i="6"/>
  <c r="F907" i="7"/>
  <c r="F314" i="7"/>
  <c r="F73" i="6"/>
  <c r="F549" i="7"/>
  <c r="F971" i="6"/>
  <c r="F664" i="6"/>
  <c r="F62" i="6"/>
  <c r="F496" i="6"/>
  <c r="F552" i="7"/>
  <c r="F1043" i="6"/>
  <c r="F765" i="7"/>
  <c r="F979" i="7"/>
  <c r="F945" i="7"/>
  <c r="F287" i="6"/>
  <c r="F365" i="6"/>
  <c r="F916" i="7"/>
  <c r="F1005" i="6"/>
  <c r="F1070" i="6"/>
  <c r="F387" i="6"/>
  <c r="F903" i="6"/>
  <c r="F1006" i="7"/>
  <c r="F998" i="6"/>
  <c r="F832" i="7"/>
  <c r="F296" i="6"/>
  <c r="F257" i="7"/>
  <c r="F174" i="7"/>
  <c r="F568" i="7"/>
  <c r="F613" i="7"/>
  <c r="F140" i="6"/>
  <c r="F754" i="6"/>
  <c r="F915" i="7"/>
  <c r="F253" i="7"/>
  <c r="F859" i="6"/>
  <c r="F603" i="6"/>
  <c r="F70" i="6"/>
  <c r="F524" i="7"/>
  <c r="F56" i="6"/>
  <c r="F659" i="7"/>
  <c r="F855" i="6"/>
  <c r="F445" i="6"/>
  <c r="F1059" i="7"/>
  <c r="F181" i="7"/>
  <c r="F117" i="7"/>
  <c r="F6" i="7"/>
  <c r="F268" i="7"/>
  <c r="F194" i="7"/>
  <c r="F81" i="7"/>
  <c r="F948" i="6"/>
  <c r="F1055" i="6"/>
  <c r="F778" i="6"/>
  <c r="F420" i="6"/>
  <c r="F156" i="7"/>
  <c r="F512" i="7"/>
  <c r="F313" i="7"/>
  <c r="F727" i="7"/>
  <c r="F442" i="6"/>
  <c r="F715" i="6"/>
  <c r="F618" i="7"/>
  <c r="F45" i="7"/>
  <c r="F895" i="6"/>
  <c r="F508" i="7"/>
  <c r="F939" i="6"/>
  <c r="F316" i="6"/>
  <c r="F864" i="6"/>
  <c r="F689" i="7"/>
  <c r="F1049" i="6"/>
  <c r="F163" i="7"/>
  <c r="F12" i="6"/>
  <c r="F546" i="6"/>
  <c r="F280" i="7"/>
  <c r="F1022" i="6"/>
  <c r="F716" i="7"/>
  <c r="F71" i="7"/>
  <c r="F679" i="6"/>
  <c r="F460" i="6"/>
  <c r="F701" i="6"/>
  <c r="F1038" i="6"/>
  <c r="F319" i="7"/>
  <c r="F760" i="6"/>
  <c r="F209" i="6"/>
  <c r="F993" i="6"/>
  <c r="F826" i="7"/>
  <c r="F1006" i="6"/>
  <c r="F740" i="6"/>
  <c r="F700" i="6"/>
  <c r="F782" i="6"/>
  <c r="F1064" i="6"/>
  <c r="F733" i="7"/>
  <c r="F597" i="7"/>
  <c r="F203" i="7"/>
  <c r="F615" i="6"/>
  <c r="F143" i="7"/>
  <c r="F426" i="7"/>
  <c r="F744" i="7"/>
  <c r="F111" i="7"/>
  <c r="F479" i="6"/>
  <c r="F288" i="6"/>
  <c r="F176" i="6"/>
  <c r="F559" i="7"/>
  <c r="F51" i="6"/>
  <c r="F3" i="6"/>
  <c r="F273" i="6"/>
  <c r="F689" i="6"/>
  <c r="F375" i="7"/>
  <c r="F412" i="6"/>
  <c r="F150" i="7"/>
  <c r="F843" i="6"/>
  <c r="F781" i="6"/>
  <c r="F519" i="7"/>
  <c r="F872" i="7"/>
  <c r="F208" i="7"/>
  <c r="F309" i="7"/>
  <c r="F1074" i="6"/>
  <c r="F902" i="7"/>
  <c r="F333" i="6"/>
  <c r="F537" i="6"/>
  <c r="F576" i="6"/>
  <c r="F103" i="6"/>
  <c r="F349" i="7"/>
  <c r="F872" i="6"/>
  <c r="F705" i="6"/>
  <c r="F336" i="6"/>
  <c r="F947" i="7"/>
  <c r="F121" i="6"/>
  <c r="F952" i="7"/>
  <c r="F396" i="6"/>
  <c r="F523" i="7"/>
  <c r="F943" i="7"/>
  <c r="F40" i="7"/>
  <c r="F234" i="6"/>
  <c r="F744" i="6"/>
  <c r="F326" i="7"/>
  <c r="F342" i="6"/>
  <c r="F192" i="6"/>
  <c r="F795" i="6"/>
  <c r="F325" i="7"/>
  <c r="F408" i="7"/>
  <c r="F92" i="7"/>
  <c r="F61" i="7"/>
  <c r="F783" i="7"/>
  <c r="F823" i="6"/>
  <c r="F725" i="7"/>
  <c r="F868" i="7"/>
  <c r="F833" i="6"/>
  <c r="F497" i="6"/>
  <c r="F51" i="7"/>
  <c r="F276" i="6"/>
  <c r="F663" i="7"/>
  <c r="F427" i="6"/>
  <c r="F329" i="6"/>
  <c r="F1033" i="6"/>
  <c r="F688" i="7"/>
  <c r="F74" i="7"/>
  <c r="F573" i="6"/>
  <c r="F639" i="6"/>
  <c r="F566" i="7"/>
  <c r="F1002" i="7"/>
  <c r="F841" i="7"/>
  <c r="F384" i="7"/>
  <c r="F548" i="6"/>
  <c r="F35" i="7"/>
  <c r="F282" i="6"/>
  <c r="F714" i="7"/>
  <c r="F128" i="7"/>
  <c r="F102" i="6"/>
  <c r="F551" i="6"/>
  <c r="F72" i="7"/>
  <c r="F405" i="7"/>
  <c r="F869" i="6"/>
  <c r="F937" i="6"/>
  <c r="F648" i="6"/>
  <c r="F272" i="6"/>
  <c r="F22" i="7"/>
  <c r="F478" i="7"/>
  <c r="F829" i="7"/>
  <c r="F915" i="6"/>
  <c r="F763" i="6"/>
  <c r="F943" i="6"/>
  <c r="F435" i="6"/>
  <c r="F780" i="7"/>
  <c r="F336" i="7"/>
  <c r="F57" i="6"/>
  <c r="F55" i="7"/>
  <c r="F283" i="7"/>
  <c r="F484" i="7"/>
  <c r="F769" i="7"/>
  <c r="F856" i="7"/>
  <c r="F814" i="7"/>
  <c r="F667" i="6"/>
  <c r="F482" i="6"/>
  <c r="F504" i="6"/>
  <c r="F723" i="6"/>
  <c r="F532" i="7"/>
  <c r="F389" i="6"/>
  <c r="F125" i="6"/>
  <c r="F906" i="7"/>
  <c r="F398" i="7"/>
  <c r="F53" i="7"/>
  <c r="F717" i="7"/>
  <c r="F411" i="6"/>
  <c r="F219" i="6"/>
  <c r="F855" i="7"/>
  <c r="F990" i="7"/>
  <c r="F766" i="7"/>
  <c r="F127" i="6"/>
  <c r="F791" i="6"/>
  <c r="F880" i="6"/>
  <c r="F951" i="7"/>
  <c r="F356" i="7"/>
  <c r="F994" i="7"/>
  <c r="F175" i="6"/>
  <c r="F321" i="6"/>
  <c r="F490" i="7"/>
  <c r="F761" i="7"/>
  <c r="F86" i="7"/>
  <c r="F1023" i="6"/>
  <c r="F702" i="6"/>
  <c r="F528" i="6"/>
  <c r="F839" i="7"/>
  <c r="F391" i="7"/>
  <c r="F488" i="7"/>
  <c r="F579" i="6"/>
  <c r="F186" i="6"/>
  <c r="F193" i="6"/>
  <c r="F94" i="7"/>
  <c r="F1026" i="6"/>
  <c r="F796" i="7"/>
  <c r="F916" i="6"/>
  <c r="F347" i="6"/>
  <c r="F778" i="7"/>
  <c r="F377" i="7"/>
  <c r="F538" i="6"/>
  <c r="F696" i="7"/>
  <c r="F124" i="6"/>
  <c r="F595" i="7"/>
  <c r="F431" i="7"/>
  <c r="F735" i="6"/>
  <c r="F543" i="6"/>
  <c r="F41" i="6"/>
  <c r="F1042" i="7"/>
  <c r="F170" i="6"/>
  <c r="F803" i="6"/>
  <c r="F65" i="6"/>
  <c r="F107" i="6"/>
  <c r="F983" i="7"/>
  <c r="F686" i="6"/>
  <c r="F919" i="6"/>
  <c r="F21" i="7"/>
  <c r="F164" i="7"/>
  <c r="F1001" i="7"/>
  <c r="F545" i="6"/>
  <c r="F318" i="7"/>
  <c r="F451" i="7"/>
  <c r="F424" i="7"/>
  <c r="F1053" i="6"/>
  <c r="F665" i="6"/>
  <c r="F837" i="7"/>
  <c r="F755" i="6"/>
  <c r="F153" i="7"/>
  <c r="F817" i="6"/>
  <c r="F847" i="6"/>
  <c r="F764" i="7"/>
  <c r="F396" i="7"/>
  <c r="F914" i="7"/>
  <c r="F799" i="6"/>
  <c r="F805" i="7"/>
  <c r="F737" i="7"/>
  <c r="F201" i="7"/>
  <c r="F984" i="6"/>
  <c r="F838" i="6"/>
  <c r="F363" i="6"/>
  <c r="F17" i="6"/>
  <c r="F301" i="6"/>
  <c r="F743" i="7"/>
  <c r="F931" i="7"/>
  <c r="F184" i="7"/>
  <c r="F836" i="6"/>
  <c r="F420" i="7"/>
  <c r="F310" i="6"/>
  <c r="F329" i="7"/>
  <c r="F359" i="6"/>
  <c r="F544" i="6"/>
  <c r="F804" i="7"/>
  <c r="F1019" i="6"/>
  <c r="F83" i="7"/>
  <c r="F482" i="7"/>
  <c r="F852" i="6"/>
  <c r="F487" i="6"/>
  <c r="F1037" i="6"/>
  <c r="F346" i="7"/>
  <c r="F26" i="6"/>
  <c r="F628" i="7"/>
  <c r="F827" i="6"/>
  <c r="F824" i="6"/>
  <c r="F195" i="6"/>
  <c r="F1008" i="7"/>
  <c r="F217" i="7"/>
  <c r="F425" i="7"/>
  <c r="F739" i="7"/>
  <c r="F214" i="6"/>
  <c r="F721" i="6"/>
  <c r="F510" i="7"/>
  <c r="F334" i="7"/>
  <c r="F674" i="7"/>
  <c r="F866" i="6"/>
  <c r="F281" i="6"/>
  <c r="F873" i="7"/>
  <c r="F335" i="7"/>
  <c r="F531" i="7"/>
  <c r="F652" i="6"/>
  <c r="F502" i="6"/>
  <c r="F649" i="7"/>
  <c r="F1011" i="7"/>
  <c r="F785" i="7"/>
  <c r="F1058" i="7"/>
  <c r="F470" i="6"/>
  <c r="F565" i="6"/>
  <c r="F188" i="6"/>
  <c r="F70" i="7"/>
  <c r="F897" i="7"/>
  <c r="F816" i="7"/>
  <c r="F439" i="6"/>
  <c r="F912" i="7"/>
  <c r="F992" i="7"/>
  <c r="F245" i="7"/>
  <c r="F18" i="7"/>
  <c r="F684" i="7"/>
  <c r="F643" i="6"/>
  <c r="F182" i="6"/>
  <c r="F862" i="7"/>
  <c r="F554" i="6"/>
  <c r="F699" i="7"/>
  <c r="F111" i="6"/>
  <c r="F373" i="6"/>
  <c r="F334" i="6"/>
  <c r="F457" i="7"/>
  <c r="F526" i="7"/>
  <c r="F63" i="7"/>
  <c r="F337" i="6"/>
  <c r="F391" i="6"/>
  <c r="F704" i="7"/>
  <c r="F170" i="7"/>
  <c r="F677" i="7"/>
  <c r="F683" i="6"/>
  <c r="F367" i="7"/>
  <c r="F621" i="6"/>
  <c r="F347" i="7"/>
  <c r="F869" i="7"/>
  <c r="F216" i="7"/>
  <c r="F349" i="6"/>
  <c r="F949" i="6"/>
  <c r="F39" i="6"/>
  <c r="F439" i="7"/>
  <c r="F237" i="6"/>
  <c r="F340" i="7"/>
  <c r="F131" i="6"/>
  <c r="F386" i="6"/>
  <c r="F138" i="7"/>
  <c r="F644" i="7"/>
  <c r="F851" i="6"/>
  <c r="F458" i="7"/>
  <c r="F424" i="6"/>
  <c r="F253" i="6"/>
  <c r="F767" i="7"/>
  <c r="F922" i="7"/>
  <c r="F5" i="7"/>
  <c r="F758" i="6"/>
  <c r="F650" i="7"/>
  <c r="F638" i="7"/>
  <c r="F806" i="7"/>
  <c r="F110" i="7"/>
  <c r="F920" i="6"/>
  <c r="F413" i="6"/>
  <c r="F524" i="6"/>
  <c r="F956" i="6"/>
  <c r="F138" i="6"/>
  <c r="F693" i="6"/>
  <c r="F457" i="6"/>
  <c r="F877" i="7"/>
  <c r="F876" i="7"/>
  <c r="F446" i="7"/>
  <c r="F536" i="7"/>
  <c r="F93" i="7"/>
  <c r="F40" i="6"/>
  <c r="F205" i="7"/>
  <c r="F1016" i="7"/>
  <c r="F568" i="6"/>
  <c r="F595" i="6"/>
  <c r="F33" i="7"/>
  <c r="F678" i="7"/>
  <c r="F137" i="7"/>
  <c r="F423" i="7"/>
  <c r="F628" i="6"/>
  <c r="F609" i="6"/>
  <c r="F637" i="6"/>
  <c r="F400" i="7"/>
  <c r="F252" i="6"/>
  <c r="F898" i="6"/>
  <c r="F445" i="7"/>
  <c r="F879" i="7"/>
  <c r="F765" i="6"/>
  <c r="F884" i="7"/>
  <c r="F926" i="6"/>
  <c r="F569" i="6"/>
  <c r="F1039" i="7"/>
  <c r="F619" i="7"/>
  <c r="F996" i="6"/>
  <c r="F365" i="7"/>
  <c r="F469" i="6"/>
  <c r="F351" i="7"/>
  <c r="F911" i="6"/>
  <c r="F781" i="7"/>
  <c r="F100" i="6"/>
  <c r="F113" i="7"/>
  <c r="F572" i="7"/>
  <c r="F514" i="6"/>
  <c r="F724" i="6"/>
  <c r="F846" i="6"/>
  <c r="F338" i="7"/>
  <c r="F9" i="6"/>
  <c r="F635" i="6"/>
  <c r="F850" i="6"/>
  <c r="F362" i="7"/>
  <c r="F59" i="7"/>
  <c r="F958" i="7"/>
  <c r="F476" i="6"/>
  <c r="F144" i="6"/>
  <c r="F632" i="6"/>
  <c r="F903" i="7"/>
  <c r="F747" i="7"/>
  <c r="F976" i="7"/>
  <c r="F795" i="7"/>
  <c r="F804" i="6"/>
  <c r="F516" i="7"/>
  <c r="F212" i="7"/>
  <c r="F823" i="7"/>
  <c r="F908" i="7"/>
  <c r="F820" i="6"/>
  <c r="F862" i="6"/>
  <c r="F147" i="6"/>
  <c r="F770" i="7"/>
  <c r="F732" i="7"/>
  <c r="F594" i="7"/>
  <c r="F891" i="6"/>
  <c r="F166" i="6"/>
  <c r="F815" i="7"/>
  <c r="F544" i="7"/>
  <c r="F913" i="6"/>
  <c r="F619" i="6"/>
  <c r="F555" i="6"/>
  <c r="F158" i="6"/>
  <c r="F1054" i="6"/>
  <c r="F578" i="7"/>
  <c r="F690" i="7"/>
  <c r="F697" i="6"/>
  <c r="F473" i="6"/>
  <c r="F896" i="7"/>
  <c r="F42" i="7"/>
  <c r="F406" i="7"/>
  <c r="F68" i="6"/>
  <c r="F841" i="6"/>
  <c r="F107" i="7"/>
  <c r="F681" i="6"/>
  <c r="F1010" i="7"/>
  <c r="F414" i="7"/>
  <c r="F454" i="7"/>
  <c r="F264" i="7"/>
  <c r="F435" i="7"/>
  <c r="F635" i="7"/>
  <c r="F859" i="7"/>
  <c r="F267" i="6"/>
  <c r="F331" i="6"/>
  <c r="F287" i="7"/>
  <c r="F857" i="6"/>
  <c r="F1034" i="7"/>
  <c r="F589" i="6"/>
  <c r="F109" i="7"/>
  <c r="F370" i="6"/>
  <c r="F552" i="6"/>
  <c r="F275" i="6"/>
  <c r="F282" i="7"/>
  <c r="F801" i="7"/>
  <c r="F867" i="7"/>
  <c r="F1024" i="6"/>
  <c r="F857" i="7"/>
  <c r="F69" i="6"/>
  <c r="F32" i="6"/>
  <c r="F636" i="6"/>
  <c r="F159" i="6"/>
  <c r="F232" i="7"/>
  <c r="F381" i="7"/>
  <c r="F4" i="6"/>
  <c r="F332" i="6"/>
  <c r="F923" i="6"/>
  <c r="F774" i="7"/>
  <c r="F278" i="6"/>
  <c r="F810" i="7"/>
  <c r="F27" i="6"/>
  <c r="F950" i="6"/>
  <c r="F1005" i="7"/>
  <c r="F892" i="7"/>
  <c r="F668" i="7"/>
  <c r="F669" i="6"/>
  <c r="F243" i="6"/>
  <c r="F15" i="6"/>
  <c r="F81" i="6"/>
  <c r="F574" i="7"/>
  <c r="F889" i="6"/>
  <c r="F624" i="6"/>
  <c r="F591" i="6"/>
  <c r="F364" i="7"/>
  <c r="F449" i="7"/>
  <c r="F466" i="6"/>
  <c r="F519" i="6"/>
  <c r="F381" i="6"/>
  <c r="F233" i="7"/>
  <c r="F521" i="7"/>
  <c r="F80" i="7"/>
  <c r="F964" i="7"/>
  <c r="F398" i="6"/>
  <c r="F94" i="6"/>
  <c r="F1018" i="6"/>
  <c r="F100" i="7"/>
  <c r="F366" i="7"/>
  <c r="F238" i="6"/>
  <c r="F432" i="6"/>
  <c r="F92" i="6"/>
  <c r="F228" i="6"/>
  <c r="F345" i="7"/>
  <c r="F25" i="6"/>
  <c r="F983" i="6"/>
  <c r="F322" i="6"/>
  <c r="F167" i="6"/>
  <c r="F339" i="7"/>
  <c r="F1003" i="7"/>
  <c r="F987" i="6"/>
  <c r="F981" i="6"/>
  <c r="F813" i="6"/>
  <c r="F830" i="6"/>
  <c r="F242" i="7"/>
  <c r="F622" i="7"/>
  <c r="F77" i="6"/>
  <c r="F816" i="6"/>
  <c r="F1072" i="6"/>
  <c r="F75" i="6"/>
  <c r="F692" i="7"/>
  <c r="F738" i="7"/>
  <c r="F917" i="6"/>
  <c r="F230" i="6"/>
  <c r="F461" i="6"/>
  <c r="F8" i="6"/>
  <c r="F485" i="7"/>
  <c r="F11" i="6"/>
  <c r="F835" i="6"/>
  <c r="F146" i="6"/>
  <c r="F940" i="7"/>
  <c r="F109" i="6"/>
  <c r="F76" i="6"/>
  <c r="F980" i="6"/>
  <c r="F863" i="6"/>
  <c r="F598" i="6"/>
  <c r="F880" i="7"/>
  <c r="F36" i="6"/>
  <c r="F529" i="7"/>
  <c r="F430" i="7"/>
  <c r="F377" i="6"/>
  <c r="F797" i="6"/>
  <c r="F648" i="7"/>
  <c r="F925" i="7"/>
  <c r="F88" i="7"/>
  <c r="F277" i="7"/>
  <c r="F183" i="7"/>
  <c r="F992" i="6"/>
  <c r="F573" i="7"/>
  <c r="F52" i="7"/>
  <c r="F729" i="7"/>
  <c r="F761" i="6"/>
  <c r="F794" i="6"/>
  <c r="F629" i="6"/>
  <c r="F442" i="7"/>
  <c r="F949" i="7"/>
  <c r="F332" i="7"/>
  <c r="F601" i="7"/>
  <c r="F44" i="6"/>
  <c r="F900" i="6"/>
  <c r="F74" i="6"/>
  <c r="F239" i="7"/>
  <c r="F782" i="7"/>
  <c r="F415" i="7"/>
  <c r="F472" i="6"/>
  <c r="F207" i="6"/>
  <c r="F115" i="6"/>
  <c r="F14" i="7"/>
  <c r="F604" i="6"/>
  <c r="F113" i="6"/>
  <c r="F258" i="6"/>
  <c r="F878" i="7"/>
  <c r="F918" i="6"/>
  <c r="F719" i="7"/>
  <c r="F656" i="6"/>
  <c r="F303" i="6"/>
  <c r="F363" i="7"/>
  <c r="F1004" i="6"/>
  <c r="F590" i="7"/>
  <c r="F216" i="6"/>
  <c r="F934" i="6"/>
  <c r="F639" i="7"/>
  <c r="F871" i="7"/>
  <c r="F828" i="7"/>
  <c r="F467" i="6"/>
  <c r="F500" i="6"/>
  <c r="F97" i="7"/>
  <c r="F563" i="7"/>
  <c r="F82" i="7"/>
  <c r="F362" i="6"/>
  <c r="F353" i="6"/>
  <c r="F609" i="7"/>
  <c r="F1047" i="6"/>
  <c r="F894" i="6"/>
  <c r="F141" i="6"/>
  <c r="F152" i="7"/>
  <c r="F654" i="7"/>
  <c r="F844" i="7"/>
  <c r="F1022" i="7"/>
  <c r="F267" i="7"/>
  <c r="F152" i="6"/>
  <c r="F307" i="7"/>
  <c r="F970" i="6"/>
  <c r="F508" i="6"/>
  <c r="F456" i="6"/>
  <c r="F46" i="6"/>
  <c r="F169" i="7"/>
  <c r="F560" i="7"/>
  <c r="F905" i="6"/>
  <c r="F446" i="6"/>
  <c r="F867" i="6"/>
  <c r="F404" i="6"/>
  <c r="F476" i="7"/>
  <c r="F562" i="7"/>
  <c r="F191" i="6"/>
  <c r="F910" i="6"/>
  <c r="F1017" i="6"/>
  <c r="F830" i="7"/>
  <c r="F881" i="7"/>
  <c r="F914" i="6"/>
  <c r="F610" i="6"/>
  <c r="F967" i="7"/>
  <c r="F928" i="7"/>
  <c r="F1045" i="6"/>
  <c r="F448" i="7"/>
  <c r="F881" i="6"/>
  <c r="F561" i="6"/>
  <c r="F274" i="7"/>
  <c r="F642" i="7"/>
  <c r="F528" i="7"/>
  <c r="F589" i="7"/>
  <c r="F612" i="7"/>
  <c r="F207" i="7"/>
  <c r="F618" i="6"/>
  <c r="F657" i="6"/>
  <c r="F905" i="7"/>
  <c r="F497" i="7"/>
  <c r="F645" i="6"/>
  <c r="F680" i="6"/>
  <c r="F630" i="6"/>
  <c r="F297" i="6"/>
  <c r="F652" i="7"/>
  <c r="F978" i="6"/>
  <c r="F441" i="6"/>
  <c r="F290" i="6"/>
  <c r="F1067" i="6"/>
  <c r="F501" i="7"/>
  <c r="F59" i="6"/>
  <c r="F788" i="6"/>
  <c r="F935" i="6"/>
  <c r="F545" i="7"/>
  <c r="F995" i="6"/>
  <c r="F330" i="7"/>
  <c r="F1035" i="6"/>
  <c r="F849" i="6"/>
  <c r="F184" i="6"/>
  <c r="F263" i="7"/>
  <c r="F304" i="7"/>
  <c r="F513" i="7"/>
  <c r="F923" i="7"/>
  <c r="F400" i="6"/>
  <c r="F892" i="6"/>
  <c r="F53" i="6"/>
  <c r="F607" i="7"/>
  <c r="F724" i="7"/>
  <c r="F403" i="6"/>
  <c r="F593" i="6"/>
  <c r="F783" i="6"/>
  <c r="F236" i="7"/>
  <c r="F979" i="6"/>
  <c r="F1052" i="6"/>
  <c r="F840" i="7"/>
  <c r="F644" i="6"/>
  <c r="F854" i="6"/>
  <c r="F898" i="7"/>
  <c r="F1051" i="7"/>
  <c r="F997" i="7"/>
  <c r="F485" i="6"/>
  <c r="F753" i="6"/>
  <c r="F886" i="7"/>
  <c r="F957" i="7"/>
  <c r="F147" i="7"/>
  <c r="F292" i="7"/>
  <c r="F1037" i="7"/>
  <c r="F774" i="6"/>
  <c r="F649" i="6"/>
  <c r="F105" i="6"/>
  <c r="F503" i="6"/>
  <c r="F293" i="7"/>
  <c r="F43" i="7"/>
  <c r="F551" i="7"/>
  <c r="F172" i="6"/>
  <c r="F1065" i="6"/>
  <c r="F602" i="6"/>
  <c r="F296" i="7"/>
  <c r="F156" i="6"/>
  <c r="F922" i="6"/>
  <c r="F324" i="7"/>
  <c r="F701" i="7"/>
  <c r="F567" i="7"/>
  <c r="F626" i="6"/>
  <c r="F270" i="6"/>
  <c r="F288" i="7"/>
  <c r="F272" i="7"/>
  <c r="F1040" i="6"/>
  <c r="F340" i="6"/>
  <c r="F625" i="6"/>
  <c r="F433" i="7"/>
  <c r="F929" i="7"/>
  <c r="F558" i="6"/>
  <c r="F422" i="6"/>
  <c r="F1000" i="6"/>
  <c r="F348" i="7"/>
  <c r="F932" i="7"/>
  <c r="F558" i="7"/>
  <c r="F733" i="6"/>
  <c r="F22" i="6"/>
  <c r="F418" i="6"/>
  <c r="F888" i="7"/>
  <c r="F305" i="6"/>
  <c r="F764" i="6"/>
  <c r="F768" i="7"/>
  <c r="F386" i="7"/>
  <c r="F390" i="7"/>
  <c r="F714" i="6"/>
  <c r="F280" i="6"/>
  <c r="F505" i="6"/>
  <c r="F717" i="6"/>
  <c r="F75" i="7"/>
  <c r="F946" i="7"/>
  <c r="F407" i="6"/>
  <c r="F314" i="6"/>
  <c r="F596" i="7"/>
  <c r="F117" i="6"/>
  <c r="F407" i="7"/>
  <c r="F19" i="7"/>
  <c r="F640" i="6"/>
  <c r="F12" i="7"/>
  <c r="F189" i="7"/>
  <c r="F16" i="7"/>
  <c r="F149" i="7"/>
  <c r="F189" i="6"/>
  <c r="F868" i="6"/>
  <c r="F129" i="6"/>
  <c r="F750" i="7"/>
  <c r="F608" i="7"/>
  <c r="F509" i="6"/>
  <c r="F62" i="7"/>
  <c r="F987" i="7"/>
  <c r="F908" i="6"/>
  <c r="F494" i="6"/>
  <c r="F422" i="7"/>
  <c r="F146" i="7"/>
  <c r="F938" i="6"/>
  <c r="F811" i="6"/>
  <c r="F255" i="6"/>
  <c r="F45" i="6"/>
  <c r="F229" i="7"/>
  <c r="F67" i="7"/>
  <c r="F34" i="7"/>
  <c r="F960" i="7"/>
  <c r="F1060" i="6"/>
  <c r="F827" i="7"/>
  <c r="F73" i="7"/>
  <c r="F1079" i="6"/>
  <c r="F842" i="6"/>
  <c r="F798" i="6"/>
  <c r="F493" i="6"/>
  <c r="F499" i="6"/>
  <c r="F564" i="7"/>
  <c r="F970" i="7"/>
  <c r="F246" i="6"/>
  <c r="F368" i="6"/>
  <c r="F31" i="6"/>
  <c r="F695" i="7"/>
  <c r="F419" i="7"/>
  <c r="F355" i="6"/>
  <c r="F893" i="6"/>
  <c r="F566" i="6"/>
  <c r="F18" i="6"/>
  <c r="F434" i="7"/>
  <c r="F101" i="7"/>
  <c r="F894" i="7"/>
  <c r="F383" i="6"/>
  <c r="F848" i="7"/>
  <c r="F278" i="7"/>
  <c r="F624" i="7"/>
  <c r="F657" i="7"/>
  <c r="F845" i="6"/>
  <c r="F129" i="7"/>
  <c r="F378" i="6"/>
  <c r="F636" i="7"/>
  <c r="F123" i="7"/>
  <c r="F291" i="6"/>
  <c r="F726" i="6"/>
  <c r="F1008" i="6"/>
  <c r="F793" i="7"/>
  <c r="F750" i="6"/>
  <c r="F632" i="7"/>
  <c r="F78" i="7"/>
  <c r="F848" i="6"/>
  <c r="F893" i="7"/>
  <c r="F1023" i="7"/>
  <c r="F38" i="6"/>
  <c r="F361" i="6"/>
  <c r="F351" i="6"/>
  <c r="F808" i="7"/>
  <c r="F1073" i="6"/>
  <c r="F909" i="6"/>
  <c r="F2" i="6"/>
  <c r="F706" i="6"/>
  <c r="F315" i="7"/>
  <c r="F579" i="7"/>
  <c r="F23" i="6"/>
  <c r="F748" i="7"/>
  <c r="F198" i="7"/>
  <c r="F548" i="7"/>
  <c r="F884" i="6"/>
  <c r="F293" i="6"/>
  <c r="F270" i="7"/>
  <c r="F491" i="7"/>
  <c r="F428" i="6"/>
  <c r="F423" i="6"/>
  <c r="F535" i="7"/>
  <c r="F220" i="7"/>
  <c r="F651" i="7"/>
  <c r="F599" i="6"/>
  <c r="F647" i="7"/>
  <c r="F368" i="7"/>
  <c r="F1035" i="7"/>
  <c r="F66" i="7"/>
  <c r="F687" i="6"/>
  <c r="F149" i="6"/>
  <c r="F755" i="7"/>
  <c r="F13" i="7"/>
  <c r="F438" i="6"/>
  <c r="F759" i="6"/>
  <c r="F226" i="6"/>
  <c r="F858" i="7"/>
  <c r="F637" i="7"/>
  <c r="F54" i="7"/>
  <c r="F533" i="6"/>
  <c r="F91" i="6"/>
  <c r="F1015" i="7"/>
  <c r="F1071" i="6"/>
  <c r="F473" i="7"/>
  <c r="F24" i="7"/>
  <c r="F50" i="6"/>
  <c r="F972" i="6"/>
  <c r="F36" i="7"/>
  <c r="F84" i="7"/>
  <c r="F230" i="7"/>
  <c r="F878" i="6"/>
  <c r="F651" i="6"/>
  <c r="F206" i="7"/>
  <c r="F786" i="6"/>
  <c r="F209" i="7"/>
  <c r="F990" i="6"/>
  <c r="F358" i="6"/>
  <c r="F210" i="6"/>
  <c r="F10" i="6"/>
  <c r="F19" i="6"/>
  <c r="F591" i="7"/>
  <c r="F709" i="6"/>
  <c r="F713" i="7"/>
  <c r="F395" i="6"/>
  <c r="F475" i="6"/>
  <c r="F974" i="6"/>
  <c r="F165" i="7"/>
  <c r="F300" i="6"/>
  <c r="F114" i="6"/>
  <c r="F344" i="6"/>
  <c r="F1029" i="7"/>
  <c r="F1007" i="6"/>
  <c r="F936" i="7"/>
  <c r="F976" i="6"/>
  <c r="F585" i="6"/>
  <c r="F319" i="6"/>
  <c r="F863" i="7"/>
  <c r="F80" i="6"/>
  <c r="F895" i="7"/>
  <c r="F682" i="6"/>
  <c r="F780" i="6"/>
  <c r="F527" i="7"/>
  <c r="F955" i="6"/>
  <c r="F338" i="6"/>
  <c r="F950" i="7"/>
  <c r="F185" i="6"/>
  <c r="F443" i="6"/>
  <c r="F308" i="7"/>
  <c r="F797" i="7"/>
  <c r="F383" i="7"/>
  <c r="F1013" i="7"/>
  <c r="F877" i="6"/>
  <c r="F853" i="6"/>
  <c r="F191" i="7"/>
  <c r="F969" i="7"/>
  <c r="F441" i="7"/>
  <c r="F169" i="6"/>
  <c r="F574" i="6"/>
  <c r="F784" i="6"/>
  <c r="F60" i="7"/>
  <c r="F824" i="7"/>
  <c r="F988" i="7"/>
  <c r="F666" i="6"/>
  <c r="F808" i="6"/>
  <c r="F354" i="7"/>
  <c r="F515" i="6"/>
  <c r="F756" i="7"/>
  <c r="F455" i="7"/>
  <c r="F550" i="6"/>
  <c r="F90" i="6"/>
  <c r="F61" i="6"/>
  <c r="F115" i="7"/>
  <c r="F218" i="7"/>
  <c r="F421" i="6"/>
  <c r="F8" i="7"/>
  <c r="F734" i="7"/>
  <c r="F658" i="7"/>
  <c r="F866" i="7"/>
  <c r="F159" i="7"/>
  <c r="F680" i="7"/>
  <c r="F625" i="7"/>
  <c r="F532" i="6"/>
  <c r="F720" i="7"/>
  <c r="F984" i="7"/>
  <c r="F720" i="6"/>
  <c r="F865" i="6"/>
  <c r="F554" i="7"/>
  <c r="F67" i="6"/>
  <c r="F1009" i="7"/>
  <c r="F642" i="6"/>
  <c r="F522" i="6"/>
  <c r="F676" i="7"/>
  <c r="F285" i="7"/>
  <c r="F464" i="7"/>
  <c r="F179" i="6"/>
  <c r="F812" i="6"/>
  <c r="F917" i="7"/>
  <c r="F226" i="7"/>
  <c r="F168" i="7"/>
  <c r="F582" i="6"/>
  <c r="F897" i="6"/>
  <c r="F401" i="7"/>
  <c r="F77" i="7"/>
  <c r="F674" i="6"/>
  <c r="F162" i="6"/>
  <c r="F265" i="7"/>
  <c r="F7" i="7"/>
  <c r="F973" i="7"/>
  <c r="F378" i="7"/>
  <c r="F325" i="6"/>
  <c r="F957" i="6"/>
  <c r="F623" i="7"/>
  <c r="F284" i="7"/>
  <c r="F444" i="7"/>
  <c r="F50" i="7"/>
  <c r="F153" i="6"/>
  <c r="F380" i="6"/>
  <c r="F55" i="6"/>
  <c r="F631" i="7"/>
  <c r="F584" i="6"/>
  <c r="F684" i="6"/>
  <c r="F97" i="6"/>
  <c r="F553" i="7"/>
  <c r="F825" i="6"/>
  <c r="F79" i="7"/>
  <c r="F357" i="6"/>
  <c r="F818" i="6"/>
  <c r="F101" i="6"/>
  <c r="F1044" i="6"/>
  <c r="F980" i="7"/>
  <c r="F541" i="7"/>
  <c r="F790" i="7"/>
  <c r="F749" i="6"/>
  <c r="F623" i="6"/>
  <c r="F419" i="6"/>
  <c r="F39" i="7"/>
  <c r="F460" i="7"/>
  <c r="F792" i="7"/>
  <c r="F311" i="7"/>
  <c r="F211" i="7"/>
  <c r="F385" i="7"/>
  <c r="F959" i="7"/>
  <c r="F373" i="7"/>
  <c r="F89" i="6"/>
  <c r="F409" i="6"/>
  <c r="F779" i="7"/>
  <c r="F788" i="7"/>
  <c r="F953" i="6"/>
  <c r="F975" i="7"/>
  <c r="F879" i="6"/>
  <c r="F1058" i="6"/>
  <c r="F352" i="7"/>
  <c r="F981" i="7"/>
  <c r="F763" i="7"/>
  <c r="F250" i="6"/>
  <c r="F756" i="6"/>
  <c r="F64" i="7"/>
  <c r="F500" i="7"/>
  <c r="F1046" i="6"/>
  <c r="F54" i="6"/>
  <c r="F119" i="7"/>
  <c r="F745" i="7"/>
  <c r="F98" i="7"/>
  <c r="F461" i="7"/>
  <c r="F664" i="7"/>
  <c r="F69" i="7"/>
  <c r="F815" i="6"/>
  <c r="F660" i="6"/>
  <c r="F560" i="6"/>
  <c r="F1032" i="6"/>
  <c r="F290" i="7"/>
  <c r="F1061" i="6"/>
  <c r="F458" i="6"/>
  <c r="F447" i="6"/>
  <c r="F178" i="7"/>
  <c r="F1010" i="6"/>
  <c r="F463" i="7"/>
  <c r="F430" i="6"/>
  <c r="F659" i="6"/>
  <c r="F192" i="7"/>
  <c r="F614" i="7"/>
  <c r="F791" i="7"/>
  <c r="F303" i="7"/>
</calcChain>
</file>

<file path=xl/sharedStrings.xml><?xml version="1.0" encoding="utf-8"?>
<sst xmlns="http://schemas.openxmlformats.org/spreadsheetml/2006/main" count="6891" uniqueCount="2185">
  <si>
    <t>DoB</t>
  </si>
  <si>
    <t>HbA1c (1)</t>
  </si>
  <si>
    <t>Date (1)</t>
  </si>
  <si>
    <t>HbA1c (2)</t>
  </si>
  <si>
    <t>Date (2)</t>
  </si>
  <si>
    <t>HbA1c (3)</t>
  </si>
  <si>
    <t>Date (3)</t>
  </si>
  <si>
    <t>HbA1c (4)</t>
  </si>
  <si>
    <t>Date (4)</t>
  </si>
  <si>
    <t>HbA1c (5)</t>
  </si>
  <si>
    <t>Date (5)</t>
  </si>
  <si>
    <t>HbA1c (6)</t>
  </si>
  <si>
    <t>Date (6)</t>
  </si>
  <si>
    <t>HbA1c (7)</t>
  </si>
  <si>
    <t>Date (7)</t>
  </si>
  <si>
    <t>HbA1c (8)</t>
  </si>
  <si>
    <t>Date (8)</t>
  </si>
  <si>
    <t>HbA1c (9)</t>
  </si>
  <si>
    <t>Date (9)</t>
  </si>
  <si>
    <t>Weight kg (1)</t>
  </si>
  <si>
    <t>Weight kg (2)</t>
  </si>
  <si>
    <t>Weight kg (3)</t>
  </si>
  <si>
    <t>Weight kg (4)</t>
  </si>
  <si>
    <t>Weight kg (5)</t>
  </si>
  <si>
    <t>Weight kg (6)</t>
  </si>
  <si>
    <t>Weight kg (7)</t>
  </si>
  <si>
    <t>Weight kg (8)</t>
  </si>
  <si>
    <t>Weight kg (9)</t>
  </si>
  <si>
    <t>BMI (1)</t>
  </si>
  <si>
    <t>Date of BMI (1)</t>
  </si>
  <si>
    <t>BMI (2)</t>
  </si>
  <si>
    <t>Date of BMI (2)</t>
  </si>
  <si>
    <t>BMI (3)</t>
  </si>
  <si>
    <t>Date of BMI (3)</t>
  </si>
  <si>
    <t>BMI (4)</t>
  </si>
  <si>
    <t>Date of BMI (4)</t>
  </si>
  <si>
    <t>BMI (5)</t>
  </si>
  <si>
    <t>Date of BMI (5)</t>
  </si>
  <si>
    <t>BMI (6)</t>
  </si>
  <si>
    <t>Date of BMI (6)</t>
  </si>
  <si>
    <t>BMI (7)</t>
  </si>
  <si>
    <t>Date of BMI (7)</t>
  </si>
  <si>
    <t>BMI (8)</t>
  </si>
  <si>
    <t>Date of BMI (8)</t>
  </si>
  <si>
    <t>BMI (9)</t>
  </si>
  <si>
    <t>Date of BMI (9)</t>
  </si>
  <si>
    <t>Height (1)</t>
  </si>
  <si>
    <t>Height (2)</t>
  </si>
  <si>
    <t>Height (3)</t>
  </si>
  <si>
    <t>Height (4)</t>
  </si>
  <si>
    <t>Height (5)</t>
  </si>
  <si>
    <t>Height (6)</t>
  </si>
  <si>
    <t>Height (7)</t>
  </si>
  <si>
    <t>Height (8)</t>
  </si>
  <si>
    <t>Height (9)</t>
  </si>
  <si>
    <t>CA19-9 (1)</t>
  </si>
  <si>
    <t>CA19-9 date  (1)</t>
  </si>
  <si>
    <t>CA19-9 (2)</t>
  </si>
  <si>
    <t>CA19-9 date  (2)</t>
  </si>
  <si>
    <t>CEA level  (1)</t>
  </si>
  <si>
    <t>CEA date  (1)</t>
  </si>
  <si>
    <t>CEA level  (2)</t>
  </si>
  <si>
    <t>CEA date  (2)</t>
  </si>
  <si>
    <t>Pancreatic cancer  (1)</t>
  </si>
  <si>
    <t>Pancreatic cancer date (1)</t>
  </si>
  <si>
    <t>Pancreatic cancer  (2)</t>
  </si>
  <si>
    <t>Pancreatic cancer date (2)</t>
  </si>
  <si>
    <t>Pancreatic cancer  (3)</t>
  </si>
  <si>
    <t>Pancreatic cancer date (3)</t>
  </si>
  <si>
    <t>50 mmol/mol</t>
  </si>
  <si>
    <t>52 mmol/mol</t>
  </si>
  <si>
    <t>46 mmol/mol</t>
  </si>
  <si>
    <t>47 mmol/mol</t>
  </si>
  <si>
    <t>42 mmol/mol</t>
  </si>
  <si>
    <t>1.73 m</t>
  </si>
  <si>
    <t>1.7 m</t>
  </si>
  <si>
    <t>45 mmol/mol</t>
  </si>
  <si>
    <t>51 mmol/mol</t>
  </si>
  <si>
    <t>27 Kg/m²</t>
  </si>
  <si>
    <t>1.71 m</t>
  </si>
  <si>
    <t>1.72 m</t>
  </si>
  <si>
    <t>1.75 m</t>
  </si>
  <si>
    <t>48 mmol/mol</t>
  </si>
  <si>
    <t>49 mmol/mol</t>
  </si>
  <si>
    <t>100 Kg</t>
  </si>
  <si>
    <t>1.78 m</t>
  </si>
  <si>
    <t>44 mmol/mol</t>
  </si>
  <si>
    <t>1.76 m</t>
  </si>
  <si>
    <t>1.77 m</t>
  </si>
  <si>
    <t>41 mmol/mol</t>
  </si>
  <si>
    <t>43 mmol/mol</t>
  </si>
  <si>
    <t>40 mmol/mol</t>
  </si>
  <si>
    <t>1.74 m</t>
  </si>
  <si>
    <t>102 Kg</t>
  </si>
  <si>
    <t>107 Kg</t>
  </si>
  <si>
    <t>106 Kg</t>
  </si>
  <si>
    <t>101 Kg</t>
  </si>
  <si>
    <t>108 Kg</t>
  </si>
  <si>
    <t>104 Kg</t>
  </si>
  <si>
    <t>105 Kg</t>
  </si>
  <si>
    <t>22 Kg/m²</t>
  </si>
  <si>
    <t>20.5 Kg/m²</t>
  </si>
  <si>
    <t>25 Kg/m²</t>
  </si>
  <si>
    <t>103 Kg</t>
  </si>
  <si>
    <t>100.5 Kg</t>
  </si>
  <si>
    <t>24 Kg/m²</t>
  </si>
  <si>
    <t>28 Kg/m²</t>
  </si>
  <si>
    <t>0 Kg</t>
  </si>
  <si>
    <t>0 m</t>
  </si>
  <si>
    <t>101 mmol/mol</t>
  </si>
  <si>
    <t>26 Kg/m²</t>
  </si>
  <si>
    <t>21 Kg/m²</t>
  </si>
  <si>
    <t>Gender</t>
  </si>
  <si>
    <t>Male</t>
  </si>
  <si>
    <t>Female</t>
  </si>
  <si>
    <t>Organisation ID</t>
  </si>
  <si>
    <t>Row</t>
  </si>
  <si>
    <t>Expected</t>
  </si>
  <si>
    <t>Actual</t>
  </si>
  <si>
    <t>Retention of Organisation ID as Organisation Code</t>
  </si>
  <si>
    <t>Organisation Code</t>
  </si>
  <si>
    <t>A12345</t>
  </si>
  <si>
    <t>Anonymised Identifier</t>
  </si>
  <si>
    <t>Baseline Height: Value</t>
  </si>
  <si>
    <t>Baseline Height: Unit of Measure</t>
  </si>
  <si>
    <t>Index Date: Value</t>
  </si>
  <si>
    <t>Index Date: Date</t>
  </si>
  <si>
    <t>Index Date: Patient's Age at Event</t>
  </si>
  <si>
    <t>HbA1c (2a): Value</t>
  </si>
  <si>
    <t>HbA1c (2a): Date</t>
  </si>
  <si>
    <t>HbA1c (2b): Value</t>
  </si>
  <si>
    <t>HbA1c (2b): Date</t>
  </si>
  <si>
    <t>HbA1c (2c): Value</t>
  </si>
  <si>
    <t>HbA1c (2c): Date</t>
  </si>
  <si>
    <t>HbA1c (2d): Value</t>
  </si>
  <si>
    <t>HbA1c (2d): Date</t>
  </si>
  <si>
    <t>HbA1c (2e): Value</t>
  </si>
  <si>
    <t>HbA1c (2e): Date</t>
  </si>
  <si>
    <t>Weight (1a): Value</t>
  </si>
  <si>
    <t>Weight (1a): Unit of Measure</t>
  </si>
  <si>
    <t>Weight (1a): Date</t>
  </si>
  <si>
    <t>Weight (1b): Value</t>
  </si>
  <si>
    <t>Weight (1b): Unit of Measure</t>
  </si>
  <si>
    <t>Weight (1b): Date</t>
  </si>
  <si>
    <t>Weight (2a): Value</t>
  </si>
  <si>
    <t>Weight (2a): Unit of Measure</t>
  </si>
  <si>
    <t>Weight (2a): Date</t>
  </si>
  <si>
    <t>Weight (2b): Value</t>
  </si>
  <si>
    <t>Weight (2b): Unit of Measure</t>
  </si>
  <si>
    <t>Weight (2b): Date</t>
  </si>
  <si>
    <t>Weight (2c): Value</t>
  </si>
  <si>
    <t>Weight (2c): Unit of Measure</t>
  </si>
  <si>
    <t>Weight (2c): Date</t>
  </si>
  <si>
    <t>Weight (2d): Value</t>
  </si>
  <si>
    <t>Weight (2d): Unit of Measure</t>
  </si>
  <si>
    <t>Weight (2d): Date</t>
  </si>
  <si>
    <t>Weight (2e): Value</t>
  </si>
  <si>
    <t>Weight (2e): Unit of Measure</t>
  </si>
  <si>
    <t>Weight (2e): Date</t>
  </si>
  <si>
    <t>BMI (1a): Value</t>
  </si>
  <si>
    <t>BMI (1a): Date</t>
  </si>
  <si>
    <t>BMI (1b): Value</t>
  </si>
  <si>
    <t>BMI (1b): Date</t>
  </si>
  <si>
    <t>BMI (2a): Value</t>
  </si>
  <si>
    <t>BMI (2a): Date</t>
  </si>
  <si>
    <t>BMI (2b): Value</t>
  </si>
  <si>
    <t>BMI (2b): Date</t>
  </si>
  <si>
    <t>BMI (2c): Value</t>
  </si>
  <si>
    <t>BMI (2c): Date</t>
  </si>
  <si>
    <t>BMI (2d): Value</t>
  </si>
  <si>
    <t>BMI (2d): Date</t>
  </si>
  <si>
    <t>BMI (2e): Value</t>
  </si>
  <si>
    <t>BMI (2e): Date</t>
  </si>
  <si>
    <t>Height (1a): Value</t>
  </si>
  <si>
    <t>Height (1a): Unit of Measure</t>
  </si>
  <si>
    <t>Height (1a): Date</t>
  </si>
  <si>
    <t>Height (1b): Value</t>
  </si>
  <si>
    <t>Height (1b): Unit of Measure</t>
  </si>
  <si>
    <t>Height (1b): Date</t>
  </si>
  <si>
    <t>Height (2a): Value</t>
  </si>
  <si>
    <t>Height (2a): Unit of Measure</t>
  </si>
  <si>
    <t>Height (2a): Date</t>
  </si>
  <si>
    <t>Height (2b): Value</t>
  </si>
  <si>
    <t>Height (2b): Unit of Measure</t>
  </si>
  <si>
    <t>Height (2b): Date</t>
  </si>
  <si>
    <t>Height (2c): Value</t>
  </si>
  <si>
    <t>Height (2c): Unit of Measure</t>
  </si>
  <si>
    <t>Height (2c): Date</t>
  </si>
  <si>
    <t>Height (2d): Value</t>
  </si>
  <si>
    <t>Height (2d): Unit of Measure</t>
  </si>
  <si>
    <t>Height (2d): Date</t>
  </si>
  <si>
    <t>Height (2e): Value</t>
  </si>
  <si>
    <t>Height (2e): Unit of Measure</t>
  </si>
  <si>
    <t>Height (2e): Date</t>
  </si>
  <si>
    <t>Pancreatic cancer diagnosis: Date</t>
  </si>
  <si>
    <t>Pancreatic cancer diagnosis: Patient's Age at Event</t>
  </si>
  <si>
    <t>Cancer antigen 19-9 (CA 19-9): Value</t>
  </si>
  <si>
    <t>Cancer antigen 19-9 (CA 19-9): Unit of Measure</t>
  </si>
  <si>
    <t>Cancer antigen 19-9 (CA 19-9): Date</t>
  </si>
  <si>
    <t>Carcinoembryonic antigen (CEA): Value</t>
  </si>
  <si>
    <t>Carcinoembryonic antigen (CEA): Unit of Measure</t>
  </si>
  <si>
    <t>Carcinoembryonic antigen (CEA): Date</t>
  </si>
  <si>
    <t>Retention of Gender as Gender</t>
  </si>
  <si>
    <t>Made-up Medical Practice Ltd.</t>
  </si>
  <si>
    <t>54321A</t>
  </si>
  <si>
    <t>Insert header Organisation Code</t>
  </si>
  <si>
    <t>Insert header Anonymised Identifier</t>
  </si>
  <si>
    <t>Insert header Baseline Height: Value</t>
  </si>
  <si>
    <t>Insert header Baseline Height: Unit of Measure</t>
  </si>
  <si>
    <t>Insert header Index Date: Value</t>
  </si>
  <si>
    <t>Insert header Index Date: Date</t>
  </si>
  <si>
    <t>Insert header Index Date: Patient's Age at Event</t>
  </si>
  <si>
    <t>Insert header Gender</t>
  </si>
  <si>
    <t>Insert header HbA1c (2a): Value</t>
  </si>
  <si>
    <t>Insert header HbA1c (2a): Date</t>
  </si>
  <si>
    <t>Insert header HbA1c (2b): Value</t>
  </si>
  <si>
    <t>Insert header HbA1c (2b): Date</t>
  </si>
  <si>
    <t>Insert header HbA1c (2c): Value</t>
  </si>
  <si>
    <t>Insert header HbA1c (2c): Date</t>
  </si>
  <si>
    <t>Insert header HbA1c (2d): Value</t>
  </si>
  <si>
    <t>Insert header HbA1c (2d): Date</t>
  </si>
  <si>
    <t>Insert header HbA1c (2e): Value</t>
  </si>
  <si>
    <t>Insert header HbA1c (2e): Date</t>
  </si>
  <si>
    <t>Insert header Weight (1a): Value</t>
  </si>
  <si>
    <t>Insert header Weight (1a): Unit of Measure</t>
  </si>
  <si>
    <t>Insert header Weight (1a): Date</t>
  </si>
  <si>
    <t>Insert header Weight (1b): Value</t>
  </si>
  <si>
    <t>Insert header Weight (1b): Unit of Measure</t>
  </si>
  <si>
    <t>Insert header Weight (1b): Date</t>
  </si>
  <si>
    <t>Insert header Weight (2a): Value</t>
  </si>
  <si>
    <t>Insert header Weight (2a): Unit of Measure</t>
  </si>
  <si>
    <t>Insert header Weight (2a): Date</t>
  </si>
  <si>
    <t>Insert header Weight (2b): Value</t>
  </si>
  <si>
    <t>Insert header Weight (2b): Unit of Measure</t>
  </si>
  <si>
    <t>Insert header Weight (2b): Date</t>
  </si>
  <si>
    <t>Insert header Weight (2c): Value</t>
  </si>
  <si>
    <t>Insert header Weight (2c): Unit of Measure</t>
  </si>
  <si>
    <t>Insert header Weight (2c): Date</t>
  </si>
  <si>
    <t>Insert header Weight (2d): Value</t>
  </si>
  <si>
    <t>Insert header Weight (2d): Unit of Measure</t>
  </si>
  <si>
    <t>Insert header Weight (2d): Date</t>
  </si>
  <si>
    <t>Insert header Weight (2e): Value</t>
  </si>
  <si>
    <t>Insert header Weight (2e): Unit of Measure</t>
  </si>
  <si>
    <t>Insert header Weight (2e): Date</t>
  </si>
  <si>
    <t>Insert header BMI (1a): Value</t>
  </si>
  <si>
    <t>Insert header BMI (1a): Date</t>
  </si>
  <si>
    <t>Insert header BMI (1b): Value</t>
  </si>
  <si>
    <t>Insert header BMI (1b): Date</t>
  </si>
  <si>
    <t>Insert header BMI (2a): Value</t>
  </si>
  <si>
    <t>Insert header BMI (2a): Date</t>
  </si>
  <si>
    <t>Insert header BMI (2b): Value</t>
  </si>
  <si>
    <t>Insert header BMI (2b): Date</t>
  </si>
  <si>
    <t>Insert header BMI (2c): Value</t>
  </si>
  <si>
    <t>Insert header BMI (2c): Date</t>
  </si>
  <si>
    <t>Insert header BMI (2d): Value</t>
  </si>
  <si>
    <t>Insert header BMI (2d): Date</t>
  </si>
  <si>
    <t>Insert header BMI (2e): Value</t>
  </si>
  <si>
    <t>Insert header BMI (2e): Date</t>
  </si>
  <si>
    <t>Insert header Height (1a): Value</t>
  </si>
  <si>
    <t>Insert header Height (1a): Unit of Measure</t>
  </si>
  <si>
    <t>Insert header Height (1a): Date</t>
  </si>
  <si>
    <t>Insert header Height (1b): Value</t>
  </si>
  <si>
    <t>Insert header Height (1b): Unit of Measure</t>
  </si>
  <si>
    <t>Insert header Height (1b): Date</t>
  </si>
  <si>
    <t>Insert header Height (2a): Value</t>
  </si>
  <si>
    <t>Insert header Height (2a): Unit of Measure</t>
  </si>
  <si>
    <t>Insert header Height (2a): Date</t>
  </si>
  <si>
    <t>Insert header Height (2b): Value</t>
  </si>
  <si>
    <t>Insert header Height (2b): Unit of Measure</t>
  </si>
  <si>
    <t>Insert header Height (2b): Date</t>
  </si>
  <si>
    <t>Insert header Height (2c): Value</t>
  </si>
  <si>
    <t>Insert header Height (2c): Unit of Measure</t>
  </si>
  <si>
    <t>Insert header Height (2c): Date</t>
  </si>
  <si>
    <t>Insert header Height (2d): Value</t>
  </si>
  <si>
    <t>Insert header Height (2d): Unit of Measure</t>
  </si>
  <si>
    <t>Insert header Height (2d): Date</t>
  </si>
  <si>
    <t>Insert header Height (2e): Value</t>
  </si>
  <si>
    <t>Insert header Height (2e): Unit of Measure</t>
  </si>
  <si>
    <t>Insert header Height (2e): Date</t>
  </si>
  <si>
    <t>Insert header Pancreatic cancer diagnosis: Date</t>
  </si>
  <si>
    <t>Insert header Pancreatic cancer diagnosis: Patient's Age at Event</t>
  </si>
  <si>
    <t>Insert header Cancer antigen 19-9 (CA 19-9): Value</t>
  </si>
  <si>
    <t>Insert header Cancer antigen 19-9 (CA 19-9): Unit of Measure</t>
  </si>
  <si>
    <t>Insert header Cancer antigen 19-9 (CA 19-9): Date</t>
  </si>
  <si>
    <t>Insert header Carcinoembryonic antigen (CEA): Value</t>
  </si>
  <si>
    <t>Insert header Carcinoembryonic antigen (CEA): Unit of Measure</t>
  </si>
  <si>
    <t>Insert header Carcinoembryonic antigen (CEA): Date</t>
  </si>
  <si>
    <t>Column header to check</t>
  </si>
  <si>
    <t>Purpose of test</t>
  </si>
  <si>
    <t>Nothing inserted as blank</t>
  </si>
  <si>
    <t>Age at index HbA1c calculation</t>
  </si>
  <si>
    <t>Selection of Index HbA1c value</t>
  </si>
  <si>
    <t>Column CE</t>
  </si>
  <si>
    <t>m</t>
  </si>
  <si>
    <t>Kg</t>
  </si>
  <si>
    <t>No valid Index HbA1c &gt;= 48 in date window</t>
  </si>
  <si>
    <t>Removal of Gender as no HbA1c meeting inclusion threshold</t>
  </si>
  <si>
    <t>No porting of HbA1c (1) value as only value and below inclusion threshold</t>
  </si>
  <si>
    <t>No porting to Index Date: Date as no HbA1c value meeting inclusion threshold</t>
  </si>
  <si>
    <t>Retention of blank Gender as Gender</t>
  </si>
  <si>
    <t>Removal of Gender as no HbA1c in inclusion date range</t>
  </si>
  <si>
    <t>No porting of HbA1c (1) value as not in inclusion date range</t>
  </si>
  <si>
    <t>No porting to Index Date: Date as no HbA1c in inclusion date range</t>
  </si>
  <si>
    <t>No Anonymised Identifier inserted</t>
  </si>
  <si>
    <t>Retention of blank Organisation ID as Organisation Code</t>
  </si>
  <si>
    <t>Selection of Index HbA1c date (earliest result in the defined 3-year period at 48 mmol/mol or greater)</t>
  </si>
  <si>
    <t>3a</t>
  </si>
  <si>
    <t>3b</t>
  </si>
  <si>
    <t>3c</t>
  </si>
  <si>
    <t>3d</t>
  </si>
  <si>
    <t>3e</t>
  </si>
  <si>
    <t>4a</t>
  </si>
  <si>
    <t>4b</t>
  </si>
  <si>
    <t>4c</t>
  </si>
  <si>
    <t>4d</t>
  </si>
  <si>
    <t>5a</t>
  </si>
  <si>
    <t>6a</t>
  </si>
  <si>
    <t>7a</t>
  </si>
  <si>
    <t>8a</t>
  </si>
  <si>
    <t>8b</t>
  </si>
  <si>
    <t>8c</t>
  </si>
  <si>
    <t>8d</t>
  </si>
  <si>
    <t>9a</t>
  </si>
  <si>
    <t>9b</t>
  </si>
  <si>
    <t>9c</t>
  </si>
  <si>
    <t>9d</t>
  </si>
  <si>
    <t>10a</t>
  </si>
  <si>
    <t>10b</t>
  </si>
  <si>
    <t>Selection of date of highest HbA1c result in the 2a (274-455 days pre-index) time period</t>
  </si>
  <si>
    <t>11a</t>
  </si>
  <si>
    <t>11b</t>
  </si>
  <si>
    <t>12a</t>
  </si>
  <si>
    <t>12b</t>
  </si>
  <si>
    <t>13a</t>
  </si>
  <si>
    <t>13b</t>
  </si>
  <si>
    <t>14a</t>
  </si>
  <si>
    <t>14b</t>
  </si>
  <si>
    <t>Selection of date of highest HbA1c result in the 2b (456-546 days pre-index) time period</t>
  </si>
  <si>
    <t>Selection of date of highest HbA1c result in the 2c (183-273 days pre-index) time period</t>
  </si>
  <si>
    <t>Selection of date of highest HbA1c result in the 2d (92-182 days pre-index) time period</t>
  </si>
  <si>
    <t>Selection of date of highest HbA1c result in the 2e (547-728 days pre-index) time period</t>
  </si>
  <si>
    <t>7b</t>
  </si>
  <si>
    <t>7c</t>
  </si>
  <si>
    <t>7d</t>
  </si>
  <si>
    <t>No porting of HbA1c (1) value as only result above inclusion threshold is outside of inclusion date range</t>
  </si>
  <si>
    <t>Selection of highest HbA1c result at the start of the 2a (274-455 days pre-index) time period</t>
  </si>
  <si>
    <t>Selection of highest HbA1c result at the start of the 2b (456-546 days pre-index) time period</t>
  </si>
  <si>
    <t>Selection of highest HbA1c result at the start of the 2c (183-273 days pre-index) time period</t>
  </si>
  <si>
    <t>Selection of highest HbA1c result at the start of the 2d (92-182 days pre-index) time period</t>
  </si>
  <si>
    <t>Selection of highest HbA1c result at the start of the 2e (547-728 days pre-index) time period</t>
  </si>
  <si>
    <t>Selection of highest HbA1c result at the end of the 2a (274-455 days pre-index) time period</t>
  </si>
  <si>
    <t>Selection of highest HbA1c result at the end of the 2b (456-546 days pre-index) time period</t>
  </si>
  <si>
    <t>Selection of highest HbA1c result at the end of the 2c (183-273 days pre-index) time period</t>
  </si>
  <si>
    <t>Selection of highest HbA1c result at the end of the 2d (92-182 days pre-index) time period</t>
  </si>
  <si>
    <t>Selection of highest HbA1c result at the end of the 2e (547-728 days pre-index) time period</t>
  </si>
  <si>
    <t>15a</t>
  </si>
  <si>
    <t>15b</t>
  </si>
  <si>
    <t>16a</t>
  </si>
  <si>
    <t>16b</t>
  </si>
  <si>
    <t>17a</t>
  </si>
  <si>
    <t>17b</t>
  </si>
  <si>
    <t>18a</t>
  </si>
  <si>
    <t>18b</t>
  </si>
  <si>
    <t>19a</t>
  </si>
  <si>
    <t>19b</t>
  </si>
  <si>
    <t>20a</t>
  </si>
  <si>
    <t>20b</t>
  </si>
  <si>
    <t>20c</t>
  </si>
  <si>
    <t>20d</t>
  </si>
  <si>
    <t>21a</t>
  </si>
  <si>
    <t>21b</t>
  </si>
  <si>
    <t>21c</t>
  </si>
  <si>
    <t>21d</t>
  </si>
  <si>
    <t>22a</t>
  </si>
  <si>
    <t>22b</t>
  </si>
  <si>
    <t>22c</t>
  </si>
  <si>
    <t>22d</t>
  </si>
  <si>
    <t>23a</t>
  </si>
  <si>
    <t>23b</t>
  </si>
  <si>
    <t>23d</t>
  </si>
  <si>
    <t>23c</t>
  </si>
  <si>
    <t>24a</t>
  </si>
  <si>
    <t>24b</t>
  </si>
  <si>
    <t>24c</t>
  </si>
  <si>
    <t>24d</t>
  </si>
  <si>
    <t>25a</t>
  </si>
  <si>
    <t>25b</t>
  </si>
  <si>
    <t>25c</t>
  </si>
  <si>
    <t>25d</t>
  </si>
  <si>
    <t>25e</t>
  </si>
  <si>
    <t>Selection of HbA1c 2d result on the date cusp of 2d (92 days pre-index) and excluded (91 days pre-index)</t>
  </si>
  <si>
    <t>Selection of HbA1c 2d date on the date cusp of 2d (92 days pre-index) and excluded (91 days pre-index)</t>
  </si>
  <si>
    <t>Selection of HbA1c 2e result on the date cusp of 2e (728 days pre-index) and excluded (729 days pre-index)</t>
  </si>
  <si>
    <t>Selection of HbA1c 2e date on the date cusp of 2e (728 days pre-index) and excluded (729 days pre-index)</t>
  </si>
  <si>
    <t>Selection of HbA1c 2b result on the date cusp of 2a (455 days pre-index) and 2b (456 days pre-index)</t>
  </si>
  <si>
    <t>Selection of HbA1c 2a result on the date cusp of 2a (455 days pre-index) and 2b (456 days pre-index)</t>
  </si>
  <si>
    <t>Selection of HbA1c 2a date on the date cusp of 2a (455 days pre-index) and 2b (456 days pre-index)</t>
  </si>
  <si>
    <t>Selection of HbA1c 2b date on the date cusp of 2a (455 days pre-index) and 2b (456 days pre-index)</t>
  </si>
  <si>
    <t>Selection of HbA1c 2a result on the date cusp of 2a (274 days pre-index) and 2c (273 days pre-index)</t>
  </si>
  <si>
    <t>Selection of HbA1c 2a date on the date cusp of 2a (274 days pre-index) and 2c (273 days pre-index)</t>
  </si>
  <si>
    <t>Selection of HbA1c 2c result on the date cusp of 2a (274 days pre-index) and 2c (273 days pre-index)</t>
  </si>
  <si>
    <t>Selection of HbA1c 2c date on the date cusp of 2a (274 days pre-index) and 2c (273 days pre-index)</t>
  </si>
  <si>
    <t>Selection of HbA1c 2c result on the date cusp of 2c (183 days pre-index) and 2d (182 days pre-index)</t>
  </si>
  <si>
    <t>Selection of HbA1c 2c date on the date cusp of 2c (183 days pre-index) and 2d (182 days pre-index)</t>
  </si>
  <si>
    <t>Selection of HbA1c 2d result on the date cusp of 2c (183 days pre-index) and 2d (182 days pre-index)</t>
  </si>
  <si>
    <t>Selection of HbA1c 2d date on the date cusp of 2c (183 days pre-index) and 2d (182 days pre-index)</t>
  </si>
  <si>
    <t>Selection of HbA1c 2b result on the date cusp of 2b (546 days pre-index) and 2e (547 days pre-index)</t>
  </si>
  <si>
    <t>Selection of HbA1c 2b date on the date cusp of 2b (546 days pre-index) and 2e (547 days pre-index)</t>
  </si>
  <si>
    <t>Selection of HbA1c 2e result on the date cusp of 2b (546 days pre-index) and 2e (547 days pre-index)</t>
  </si>
  <si>
    <t>Selection of HbA1c 2e date on the date cusp of 2b (546 days pre-index) and 2e (547 days pre-index)</t>
  </si>
  <si>
    <t>Selection of HbA1c 2a result (274-455 days pre-index)</t>
  </si>
  <si>
    <t>Selection of HbA1c 2a date (274-455 days pre-index)</t>
  </si>
  <si>
    <t>25f</t>
  </si>
  <si>
    <t>25g</t>
  </si>
  <si>
    <t>25h</t>
  </si>
  <si>
    <t>Selection of HbA1c 2b result (456-546 days pre-index)</t>
  </si>
  <si>
    <t>Selection of HbA1c 2b date (456-546 days pre-index)</t>
  </si>
  <si>
    <t>Selection of HbA1c 2c result (183-273 days pre-index)</t>
  </si>
  <si>
    <t>Selection of HbA1c 2c date (183-273 days pre-index)</t>
  </si>
  <si>
    <t>Selection of HbA1c 2d result (92-182 days pre-index)</t>
  </si>
  <si>
    <t>Selection of HbA1c 2d date (92-182 days pre-index)</t>
  </si>
  <si>
    <t>Selection of HbA1c 2e result (547-728 days pre-index)</t>
  </si>
  <si>
    <t>Selection of HbA1c 2e date (547-728 days pre-index)</t>
  </si>
  <si>
    <t>25i</t>
  </si>
  <si>
    <t>25j</t>
  </si>
  <si>
    <t>26a</t>
  </si>
  <si>
    <t>No non-Index HbA1c values or dates ported as none present</t>
  </si>
  <si>
    <t>HbA1c (2a): Value to HbA1c (2e): Date</t>
  </si>
  <si>
    <t>Weight (1a): Value to Weight (2e): Date</t>
  </si>
  <si>
    <t>BMI (1a): Value to BMI (2e): Date</t>
  </si>
  <si>
    <t>Baseline Height: Value, Baseline Height: Date, Height (1a): Value to Height (2e): Date</t>
  </si>
  <si>
    <t>No CA 19-9 data ported as none present</t>
  </si>
  <si>
    <t>No pancreatic cancer data ported as none present</t>
  </si>
  <si>
    <t>No height data ported as none present</t>
  </si>
  <si>
    <t>No BMI data ported as none present</t>
  </si>
  <si>
    <t>No weight data ported as none present</t>
  </si>
  <si>
    <t>No CEA data ported as none present</t>
  </si>
  <si>
    <t>Cancer antigen 19-9 (CA 19-9): Unit of Measure, Cancer antigen 19-9 (CA 19-9): Unit of Measure, Cancer antigen 19-9 (CA 19-9): Date</t>
  </si>
  <si>
    <t>Pancreatic cancer diagnosis: Date, Pancreatic cancer diagnosis: Patient's Age at Event</t>
  </si>
  <si>
    <t>Carcinoembryonic antigen (CEA): Value, Carcinoembryonic antigen (CEA): Unit of Measure, Carcinoembryonic antigen (CEA): Date</t>
  </si>
  <si>
    <t>3f</t>
  </si>
  <si>
    <t>Retention only of HbA1c value and no unit of measurement (UoM)</t>
  </si>
  <si>
    <t>0 mmol/mol</t>
  </si>
  <si>
    <t>26b</t>
  </si>
  <si>
    <t>26c</t>
  </si>
  <si>
    <t>26d</t>
  </si>
  <si>
    <t>26e</t>
  </si>
  <si>
    <t>26f</t>
  </si>
  <si>
    <t>26g</t>
  </si>
  <si>
    <t>26h</t>
  </si>
  <si>
    <t>26i</t>
  </si>
  <si>
    <t>26j</t>
  </si>
  <si>
    <t>No porting of HbA1c 2a result (274-455 days pre-index) as result = 0</t>
  </si>
  <si>
    <t>No porting of HbA1c 2e date (547-728 days pre-index) as result = 0</t>
  </si>
  <si>
    <t>No porting of HbA1c 2a date (274-455 days pre-index) as result = 0</t>
  </si>
  <si>
    <t>No porting of HbA1c 2b result (456-546 days pre-index) as result = 0</t>
  </si>
  <si>
    <t>No porting of HbA1c 2b date (456-546 days pre-index) as result = 0</t>
  </si>
  <si>
    <t>No porting of HbA1c 2c result (183-273 days pre-index) as result = 0</t>
  </si>
  <si>
    <t>No porting of HbA1c 2c date (183-273 days pre-index) as result = 0</t>
  </si>
  <si>
    <t>No porting of HbA1c 2d result (92-182 days pre-index) as result = 0</t>
  </si>
  <si>
    <t>No porting of HbA1c 2d date (92-182 days pre-index) as result = 0</t>
  </si>
  <si>
    <t>No porting of HbA1c 2e result (547-728 days pre-index) as result = 0</t>
  </si>
  <si>
    <t>27a</t>
  </si>
  <si>
    <t>27b</t>
  </si>
  <si>
    <t>27c</t>
  </si>
  <si>
    <t>27d</t>
  </si>
  <si>
    <t>27e</t>
  </si>
  <si>
    <t>27f</t>
  </si>
  <si>
    <t>27g</t>
  </si>
  <si>
    <t>27h</t>
  </si>
  <si>
    <t>27i</t>
  </si>
  <si>
    <t>27j</t>
  </si>
  <si>
    <t>No porting of HbA1c 2a result (274-455 days pre-index) as date is blank</t>
  </si>
  <si>
    <t>No porting of HbA1c 2a date (274-455 days pre-index) as date is blank</t>
  </si>
  <si>
    <t>No porting of HbA1c 2b result (456-546 days pre-index) as date is blank</t>
  </si>
  <si>
    <t>No porting of HbA1c 2b date (456-546 days pre-index) as date is blank</t>
  </si>
  <si>
    <t>No porting of HbA1c 2c result (183-273 days pre-index) as date is blank</t>
  </si>
  <si>
    <t>No porting of HbA1c 2c date (183-273 days pre-index) as date is blank</t>
  </si>
  <si>
    <t>No porting of HbA1c 2d result (92-182 days pre-index) as date is blank</t>
  </si>
  <si>
    <t>No porting of HbA1c 2d date (92-182 days pre-index) as date is blank</t>
  </si>
  <si>
    <t>No porting of HbA1c 2e result (547-728 days pre-index) as date is blank</t>
  </si>
  <si>
    <t>No porting of HbA1c 2e date (547-728 days pre-index) as date is blank</t>
  </si>
  <si>
    <t>28a</t>
  </si>
  <si>
    <t>28b</t>
  </si>
  <si>
    <t>28c</t>
  </si>
  <si>
    <t>101.5 Kg</t>
  </si>
  <si>
    <t>29a</t>
  </si>
  <si>
    <t>29b</t>
  </si>
  <si>
    <t>29c</t>
  </si>
  <si>
    <t>30a</t>
  </si>
  <si>
    <t>30b</t>
  </si>
  <si>
    <t>30c</t>
  </si>
  <si>
    <t>31a</t>
  </si>
  <si>
    <t>31b</t>
  </si>
  <si>
    <t>31c</t>
  </si>
  <si>
    <t>32a</t>
  </si>
  <si>
    <t>32b</t>
  </si>
  <si>
    <t>Selection of earliest (nearest 0 days) Weight result (normal TPP descending date order) at the start of the 1a (0-91 days post-index) time period</t>
  </si>
  <si>
    <t>Selection of earliest (nearest 0 days) Weight result date (normal TPP descending date order) at the start of the 1a (0-91 days post-index) time period</t>
  </si>
  <si>
    <t>Selection of earliest (nearest 0 days) Weight result (abnormal TPP ascending date order) at the start of the 1a (0-91 days post-index) time period</t>
  </si>
  <si>
    <t>Selection of earliest (nearest 0 days) Weight result UoM (abnormal TPP ascending date order) at the start of the 1a (0-91 days post-index) time period</t>
  </si>
  <si>
    <t>Selection of earliest (nearest 0 days) Weight result date (abnormal TPP ascending date order) at the start of the 1a (0-91 days post-index) time period</t>
  </si>
  <si>
    <t>Selection of latest (nearest 0 days) Weight result (normal TPP descending date order) at the start of the 1b (1-91 days pre-index) time period</t>
  </si>
  <si>
    <t>Selection of latest (nearest 0 days) Weight result date (normal TPP descending date order) at the start of the 1b (1-91 days pre-index) time period</t>
  </si>
  <si>
    <t>Selection of earliest (nearest 364 days) Weight result at the start of the 2a (274-364 days pre-index) time period</t>
  </si>
  <si>
    <t>Selection of earliest (nearest 364 days) Weight result date at the start of the 2a (274-364 days pre-index) time period</t>
  </si>
  <si>
    <t>Selection of latest (nearest 365 days) Weight result at the start of the 2b (365-455 days pre-index) time period</t>
  </si>
  <si>
    <t>Selection of latest (nearest 365 days) Weight result date at the start of the 2b (365-455 days pre-index) time period</t>
  </si>
  <si>
    <t>lb</t>
  </si>
  <si>
    <t>33a</t>
  </si>
  <si>
    <t>33b</t>
  </si>
  <si>
    <t>Selection of latest (nearest 456 days) Weight result date at the start of the 2c (456-546 days pre-index) time period</t>
  </si>
  <si>
    <t>Selection of latest (nearest 456 days) Weight result at the start of the 2c (456-546 days pre-index) time period</t>
  </si>
  <si>
    <t>34a</t>
  </si>
  <si>
    <t>34b</t>
  </si>
  <si>
    <t>35a</t>
  </si>
  <si>
    <t>35b</t>
  </si>
  <si>
    <t>Selection of earliest (nearest 273 days) Weight result at the start of the 2d (92-273 days pre-index) time period</t>
  </si>
  <si>
    <t>Selection of earliest (nearest 273 days) Weight result date at the start of the 2d (92-273 days pre-index) time period</t>
  </si>
  <si>
    <t>36a</t>
  </si>
  <si>
    <t>36b</t>
  </si>
  <si>
    <t>Selection of latest (nearest 547 days) Weight result at the start of the 2e (547-3652 days pre-index) time period</t>
  </si>
  <si>
    <t>Selection of latest (nearest 547 days) Weight result date at the start of the 2e (547-3652 days pre-index) time period</t>
  </si>
  <si>
    <t>Selection of earliest (nearest 364 days) Weight result at the end of the 2a (274-364 days pre-index) time period</t>
  </si>
  <si>
    <t>Selection of earliest (nearest 364 days) Weight result date at the end of the 2a (274-364 days pre-index) time period</t>
  </si>
  <si>
    <t>37a</t>
  </si>
  <si>
    <t>37b</t>
  </si>
  <si>
    <t>38a</t>
  </si>
  <si>
    <t>38b</t>
  </si>
  <si>
    <t>39a</t>
  </si>
  <si>
    <t>39b</t>
  </si>
  <si>
    <t>40a</t>
  </si>
  <si>
    <t>40b</t>
  </si>
  <si>
    <t>41a</t>
  </si>
  <si>
    <t>41b</t>
  </si>
  <si>
    <t>Selection of latest (nearest 365 days) Weight result at the end of the 2b (365-455 days pre-index) time period</t>
  </si>
  <si>
    <t>Selection of latest (nearest 365 days) Weight result date at the end of the 2b (365-455 days pre-index) time period</t>
  </si>
  <si>
    <t>Selection of latest (nearest 456 days) Weight result at the end of the 2c (456-546 days pre-index) time period</t>
  </si>
  <si>
    <t>Selection of latest (nearest 456 days) Weight result date at the end of the 2c (456-546 days pre-index) time period</t>
  </si>
  <si>
    <t>Selection of earliest (nearest 273 days) Weight date at the end of the 2d (92-273 days pre-index) time period</t>
  </si>
  <si>
    <t>Selection of earliest (nearest 273 days) Weight result at the end of the 2d (92-273 days pre-index) time period</t>
  </si>
  <si>
    <t>Selection of latest (nearest 547 days) Weight result at the end of the 2e (547-3652 days pre-index) time period</t>
  </si>
  <si>
    <t>Selection of latest (nearest 547 days) Weight result date at the end of the 2e (547-3652 days pre-index) time period</t>
  </si>
  <si>
    <t>42a</t>
  </si>
  <si>
    <t>42b</t>
  </si>
  <si>
    <t>42c</t>
  </si>
  <si>
    <t>42d</t>
  </si>
  <si>
    <t>43a</t>
  </si>
  <si>
    <t>43b</t>
  </si>
  <si>
    <t>43c</t>
  </si>
  <si>
    <t>43d</t>
  </si>
  <si>
    <t>44a</t>
  </si>
  <si>
    <t>44b</t>
  </si>
  <si>
    <t>44c</t>
  </si>
  <si>
    <t>44d</t>
  </si>
  <si>
    <t>45a</t>
  </si>
  <si>
    <t>45b</t>
  </si>
  <si>
    <t>45c</t>
  </si>
  <si>
    <t>45d</t>
  </si>
  <si>
    <t>46a</t>
  </si>
  <si>
    <t>46b</t>
  </si>
  <si>
    <t>46c</t>
  </si>
  <si>
    <t>46d</t>
  </si>
  <si>
    <t>47a</t>
  </si>
  <si>
    <t>47b</t>
  </si>
  <si>
    <t>47c</t>
  </si>
  <si>
    <t>47d</t>
  </si>
  <si>
    <t>Selection of Weight 2a result on the date cusp of 2a (364) and 2b (365)</t>
  </si>
  <si>
    <t>Selection of Weight 2a result date on the date cusp of 2a (364) and 2b (365)</t>
  </si>
  <si>
    <t>Selection of Weight 2b result on the date cusp of 2a (364) and 2b (365)</t>
  </si>
  <si>
    <t>Selection of Weight 2b result date on the date cusp of 2a (364) and 2b (365)</t>
  </si>
  <si>
    <t>Selection of Weight 2a result on the date cusp of 2a (274) and 2d (273)</t>
  </si>
  <si>
    <t>Selection of Weight 2a date on the date cusp of 2a (274) and 2d (273)</t>
  </si>
  <si>
    <t>Selection of Weight 2d result on the date cusp of 2a (274) and 2d (273)</t>
  </si>
  <si>
    <t>Selection of Weight 2d date on the date cusp of 2a (274) and 2d (273)</t>
  </si>
  <si>
    <t>Selection of Weight 2b result on the date cusp of 2b (455) and 2c (456)</t>
  </si>
  <si>
    <t>Selection of Weight 2b date on the date cusp of 2b (455) and 2c (456)</t>
  </si>
  <si>
    <t>Selection of Weight 2c result on the date cusp of 2b (455) and 2c (456)</t>
  </si>
  <si>
    <t>Selection of Weight 2c date on the date cusp of 2b (455) and 2c (456)</t>
  </si>
  <si>
    <t>Selection of Weight 2c result on the date cusp of 2c (546) and 2e (547)</t>
  </si>
  <si>
    <t>Selection of Weight 2c date on the date cusp of 2c (546) and 2e (547)</t>
  </si>
  <si>
    <t>Selection of Weight 2e result on the date cusp of 2c (546) and 2e (547)</t>
  </si>
  <si>
    <t>Selection of Weight 2e date on the date cusp of 2c (546) and 2e (547)</t>
  </si>
  <si>
    <t>Selection of Weight 2d result on the date cusp of 2d (92) and 1b (91)</t>
  </si>
  <si>
    <t>Selection of Weight 2d date on the date cusp of 2d (92) and 1b (91)</t>
  </si>
  <si>
    <t>Selection of Weight 1b result on the date cusp of 2d (92) and 1b (91)</t>
  </si>
  <si>
    <t>Selection of Weight 1b date on the date cusp of 2d (92) and 1b (91)</t>
  </si>
  <si>
    <t>Selection of Weight 2e result on the date cusp of 2e (3652) and excluded (3653)</t>
  </si>
  <si>
    <t>Selection of Weight 2e date on the date cusp of 2e (3652) and excluded (3653)</t>
  </si>
  <si>
    <t>24e</t>
  </si>
  <si>
    <t>24f</t>
  </si>
  <si>
    <t>Exclusion of HbA1c result after date cusp of 2e (728) and excluded (729)</t>
  </si>
  <si>
    <t>Exclusion of HbA1c date after date cusp of 2e (728 and excluded (729)</t>
  </si>
  <si>
    <t>Exclusion of result after date cusp of 2e (3652) and excluded (3653)</t>
  </si>
  <si>
    <t>Exclusion of date after date cusp of 2e (3652) and excluded (3653)</t>
  </si>
  <si>
    <t>HbA1c (2a) - (2c): Value</t>
  </si>
  <si>
    <t>HbA1c (2a) - (2c): Date</t>
  </si>
  <si>
    <t>Weight (2a) - (2d): Value</t>
  </si>
  <si>
    <t>Weight (2a) - (2d): Date</t>
  </si>
  <si>
    <t>48a</t>
  </si>
  <si>
    <t>48b</t>
  </si>
  <si>
    <t>48c</t>
  </si>
  <si>
    <t>48d</t>
  </si>
  <si>
    <t>49a</t>
  </si>
  <si>
    <t>49b</t>
  </si>
  <si>
    <t>49c</t>
  </si>
  <si>
    <t>49d</t>
  </si>
  <si>
    <t>Selection of Weight 1a result on the date cusp of 1a (0-91 days post-index) and 1b (1-91 days pre-index)</t>
  </si>
  <si>
    <t>Selection of Weight 1a result date on the date cusp of 1a (0-91 days post-index) and 1b (1-91 days pre-index)</t>
  </si>
  <si>
    <t>Selection of Weight 1b result on the date cusp of 1a (0-91 days post-index) and 1b (1-91 days pre-index)</t>
  </si>
  <si>
    <t>Selection of Weight 1b result date on the date cusp of 1a (0-91 days post-index) and 1b (1-91 days pre-index)</t>
  </si>
  <si>
    <t>50a</t>
  </si>
  <si>
    <t>50b</t>
  </si>
  <si>
    <t>50c</t>
  </si>
  <si>
    <t>50d</t>
  </si>
  <si>
    <t>50e</t>
  </si>
  <si>
    <t>50f</t>
  </si>
  <si>
    <t>50g</t>
  </si>
  <si>
    <t>50h</t>
  </si>
  <si>
    <t>50i</t>
  </si>
  <si>
    <t>50j</t>
  </si>
  <si>
    <t>50k</t>
  </si>
  <si>
    <t>50l</t>
  </si>
  <si>
    <t>50m</t>
  </si>
  <si>
    <t>50n</t>
  </si>
  <si>
    <t>Selection of Weight 1a result on the date cusp of 1a (0-91 days post-index) and excluded (92 days post-index)</t>
  </si>
  <si>
    <t>Selection of Weight 1a result date on the date cusp of 1a (0-91 days post-index) and excluded (92 days post-index)</t>
  </si>
  <si>
    <t>Exclusion of result after date cusp of 1a (91) and excluded (92)</t>
  </si>
  <si>
    <t>Exclusion of date after date cusp of 1a (91) and excluded (92)</t>
  </si>
  <si>
    <t>Weight (1b) - (2e): Value</t>
  </si>
  <si>
    <t>Weight (1b) - (2e): Date</t>
  </si>
  <si>
    <t>Selection of Weight 1a result (0-91 days post-index)</t>
  </si>
  <si>
    <t>Selection of Weight 1a result date (0-91 days post-index)</t>
  </si>
  <si>
    <t>Selection of Weight 1b result (1-91 days pre-index)</t>
  </si>
  <si>
    <t>Selection of Weight 1b result date (1-91 days pre-index)</t>
  </si>
  <si>
    <t>Selection of Weight 2a result (274-364 days pre-index)</t>
  </si>
  <si>
    <t>Selection of Weight 2a result date (274-364 days pre-index)</t>
  </si>
  <si>
    <t>Selection of Weight 2b result (365-455 days pre-index)</t>
  </si>
  <si>
    <t>Selection of Weight 2b result date (365-455 days pre-index)</t>
  </si>
  <si>
    <t>Selection of Weight 2c result (456-546 days pre-index)</t>
  </si>
  <si>
    <t>Selection of Weight 2c result date (456-546 days pre-index)</t>
  </si>
  <si>
    <t>Selection of Weight 2d result (92-273 days pre-index)</t>
  </si>
  <si>
    <t>Selection of Weight 2d result date (92-273 days pre-index)</t>
  </si>
  <si>
    <t>Selection of Weight 2e result (547-3652 days pre-index)</t>
  </si>
  <si>
    <t>Selection of Weight 2e result date (547-3652 days pre-index)</t>
  </si>
  <si>
    <t>51a</t>
  </si>
  <si>
    <t>51b</t>
  </si>
  <si>
    <t>51c</t>
  </si>
  <si>
    <t>51d</t>
  </si>
  <si>
    <t>51e</t>
  </si>
  <si>
    <t>51f</t>
  </si>
  <si>
    <t>51g</t>
  </si>
  <si>
    <t>51h</t>
  </si>
  <si>
    <t>51i</t>
  </si>
  <si>
    <t>51j</t>
  </si>
  <si>
    <t>51k</t>
  </si>
  <si>
    <t>51l</t>
  </si>
  <si>
    <t>51m</t>
  </si>
  <si>
    <t>51n</t>
  </si>
  <si>
    <t>No porting of Weight 1a result (0-91 days post-index) as result = 0</t>
  </si>
  <si>
    <t>No porting of Weight 1a result date (0-91 days post-index) as result = 0</t>
  </si>
  <si>
    <t>No porting of Weight 1b result (1-91 days pre-index) as result = 0</t>
  </si>
  <si>
    <t>No porting of Weight 1b result date (1-91 days pre-index) as result = 0</t>
  </si>
  <si>
    <t>No porting of Weight 2a result (274-364 days pre-index) as result = 0</t>
  </si>
  <si>
    <t>No porting of Weight 2a result date (274-364 days pre-index) as result = 0</t>
  </si>
  <si>
    <t>No porting of Weight 2b result (365-455 days pre-index) as result = 0</t>
  </si>
  <si>
    <t>No porting of Weight 2b result date (365-455 days pre-index) as result = 0</t>
  </si>
  <si>
    <t>No porting of Weight 2c result (456-546 days pre-index) as result = 0</t>
  </si>
  <si>
    <t>No porting of Weight 2c result date (456-546 days pre-index) as result = 0</t>
  </si>
  <si>
    <t>No porting of Weight 2d result (92-273 days pre-index) as result = 0</t>
  </si>
  <si>
    <t>No porting of Weight 2d result date (92-273 days pre-index) as result = 0</t>
  </si>
  <si>
    <t>52a</t>
  </si>
  <si>
    <t>52b</t>
  </si>
  <si>
    <t>52c</t>
  </si>
  <si>
    <t>52d</t>
  </si>
  <si>
    <t>52e</t>
  </si>
  <si>
    <t>52f</t>
  </si>
  <si>
    <t>52g</t>
  </si>
  <si>
    <t>52h</t>
  </si>
  <si>
    <t>52i</t>
  </si>
  <si>
    <t>52j</t>
  </si>
  <si>
    <t>52k</t>
  </si>
  <si>
    <t>52l</t>
  </si>
  <si>
    <t>52m</t>
  </si>
  <si>
    <t>52n</t>
  </si>
  <si>
    <t>No porting of Weight 1a result (0-91 days post-index) as date is blank</t>
  </si>
  <si>
    <t>No porting of Weight 1a result date (0-91 days post-index) as date is blank</t>
  </si>
  <si>
    <t>No porting of Weight 1b result (1-91 days pre-index) as date is blank</t>
  </si>
  <si>
    <t>No porting of Weight 1b result date (1-91 days pre-index) as date is blank</t>
  </si>
  <si>
    <t>No porting of Weight 2a result (274-364 days pre-index) as date is blank</t>
  </si>
  <si>
    <t>No porting of Weight 2a result date (274-364 days pre-index) as date is blank</t>
  </si>
  <si>
    <t>No porting of Weight 2b result (365-455 days pre-index) as date is blank</t>
  </si>
  <si>
    <t>No porting of Weight 2b result date (365-455 days pre-index) as date is blank</t>
  </si>
  <si>
    <t>No porting of Weight 2c result (456-546 days pre-index) as date is blank</t>
  </si>
  <si>
    <t>No porting of Weight 2c result date (456-546 days pre-index) as date is blank</t>
  </si>
  <si>
    <t>No porting of Weight 2d result (92-273 days pre-index) as date is blank</t>
  </si>
  <si>
    <t>No porting of Weight 2d result date (92-273 days pre-index) as date is blank</t>
  </si>
  <si>
    <t>No porting of Weight 2e result (547-3652 days pre-index) as date is blank</t>
  </si>
  <si>
    <t>No porting of Weight 2e result date (547-3652 days pre-index) as date is blank</t>
  </si>
  <si>
    <t>200 lb</t>
  </si>
  <si>
    <t>Selection of latest (nearest 0 days) Weight result UoM (missing) (normal TPP descending date order) at the start of the 1b (1-91 days pre-index) time period</t>
  </si>
  <si>
    <t>Selection of latest (nearest 0 days) Weight result UoM (no space between result and UoM) (abnormal TPP asending date order) at the start of the 1b (1-91 days pre-index) time period</t>
  </si>
  <si>
    <t>100.5  Kg</t>
  </si>
  <si>
    <t>101.5  lb</t>
  </si>
  <si>
    <t>Selection of earliest (nearest 0 days) Weight result UoM (with two spaces between result and UoM) (normal TPP descending date order) at the start of the 1a (0-91 days post-index) time period</t>
  </si>
  <si>
    <t>No porting of Weight 2e result date (547-3652 days pre-index) as result = just Kg or missing</t>
  </si>
  <si>
    <t>No porting of Weight 2e result (547-3652 days pre-index) as result = just Kg or missing</t>
  </si>
  <si>
    <t>Selection of Weight 1a result (0-91 days post-index) with index date and result date in different date formats</t>
  </si>
  <si>
    <t>Selection of Weight 1a result date (0-91 days post-index) with index date and result date in different date formats</t>
  </si>
  <si>
    <t>Selection of Weight 1b result (1-91 days pre-index) with index date and result date in different date formats</t>
  </si>
  <si>
    <t>Selection of Weight 1b result date (1-91 days pre-index) with index date and result date in different date formats</t>
  </si>
  <si>
    <t>Selection of Weight 2a result (274-364 days pre-index) with index date and result date in different date formats</t>
  </si>
  <si>
    <t>Selection of Weight 2a result date (274-364 days pre-index) with index date and result date in different date formats</t>
  </si>
  <si>
    <t>Selection of Weight 2b result (365-455 days pre-index) with index date and result date in different date formats</t>
  </si>
  <si>
    <t>Selection of Weight 2b result date (365-455 days pre-index) with index date and result date in different date formats</t>
  </si>
  <si>
    <t>Selection of Weight 2c result (456-546 days pre-index) with index date and result date in different date formats</t>
  </si>
  <si>
    <t>Selection of Weight 2c result date (456-546 days pre-index) with index date and result date in different date formats</t>
  </si>
  <si>
    <t>Selection of Weight 2d result (92-273 days pre-index) with index date and result date in different date formats</t>
  </si>
  <si>
    <t>Selection of Weight 2d result date (92-273 days pre-index) with index date and result date in different date formats</t>
  </si>
  <si>
    <t>Selection of Weight 2e result (547-3652 days pre-index) with index date and result date in different date formats</t>
  </si>
  <si>
    <t>Selection of Weight 2e result date (547-3652 days pre-index) with index date and result date in different date formats</t>
  </si>
  <si>
    <t>53a</t>
  </si>
  <si>
    <t>53b</t>
  </si>
  <si>
    <t>53c</t>
  </si>
  <si>
    <t>53d</t>
  </si>
  <si>
    <t>53e</t>
  </si>
  <si>
    <t>53f</t>
  </si>
  <si>
    <t>53g</t>
  </si>
  <si>
    <t>53h</t>
  </si>
  <si>
    <t>53i</t>
  </si>
  <si>
    <t>53j</t>
  </si>
  <si>
    <t>53k</t>
  </si>
  <si>
    <t>53l</t>
  </si>
  <si>
    <t>53m</t>
  </si>
  <si>
    <t>53n</t>
  </si>
  <si>
    <t>54a</t>
  </si>
  <si>
    <t>54b</t>
  </si>
  <si>
    <t>54c</t>
  </si>
  <si>
    <t>54d</t>
  </si>
  <si>
    <t>54e</t>
  </si>
  <si>
    <t>54f</t>
  </si>
  <si>
    <t>54g</t>
  </si>
  <si>
    <t>54h</t>
  </si>
  <si>
    <t>54i</t>
  </si>
  <si>
    <t>54j</t>
  </si>
  <si>
    <t>54k</t>
  </si>
  <si>
    <t>54l</t>
  </si>
  <si>
    <t>54m</t>
  </si>
  <si>
    <t>54n</t>
  </si>
  <si>
    <t>55a</t>
  </si>
  <si>
    <t>55b</t>
  </si>
  <si>
    <t>55c</t>
  </si>
  <si>
    <t>55d</t>
  </si>
  <si>
    <t>55e</t>
  </si>
  <si>
    <t>55f</t>
  </si>
  <si>
    <t>55g</t>
  </si>
  <si>
    <t>55h</t>
  </si>
  <si>
    <t>55i</t>
  </si>
  <si>
    <t>55j</t>
  </si>
  <si>
    <t>55k</t>
  </si>
  <si>
    <t>55l</t>
  </si>
  <si>
    <t>55m</t>
  </si>
  <si>
    <t>55n</t>
  </si>
  <si>
    <t>56a</t>
  </si>
  <si>
    <t>56b</t>
  </si>
  <si>
    <t>56c</t>
  </si>
  <si>
    <t>56d</t>
  </si>
  <si>
    <t>56e</t>
  </si>
  <si>
    <t>56f</t>
  </si>
  <si>
    <t>56g</t>
  </si>
  <si>
    <t>56h</t>
  </si>
  <si>
    <t>56i</t>
  </si>
  <si>
    <t>56j</t>
  </si>
  <si>
    <t>56k</t>
  </si>
  <si>
    <t>56l</t>
  </si>
  <si>
    <t>56m</t>
  </si>
  <si>
    <t>56n</t>
  </si>
  <si>
    <t>57a</t>
  </si>
  <si>
    <t>57b</t>
  </si>
  <si>
    <t>57c</t>
  </si>
  <si>
    <t>57d</t>
  </si>
  <si>
    <t>57e</t>
  </si>
  <si>
    <t>57f</t>
  </si>
  <si>
    <t>57g</t>
  </si>
  <si>
    <t>57h</t>
  </si>
  <si>
    <t>57i</t>
  </si>
  <si>
    <t>57j</t>
  </si>
  <si>
    <t>57k</t>
  </si>
  <si>
    <t>57l</t>
  </si>
  <si>
    <t>57m</t>
  </si>
  <si>
    <t>57n</t>
  </si>
  <si>
    <t>58a</t>
  </si>
  <si>
    <t>58b</t>
  </si>
  <si>
    <t>58c</t>
  </si>
  <si>
    <t>58d</t>
  </si>
  <si>
    <t>58e</t>
  </si>
  <si>
    <t>58f</t>
  </si>
  <si>
    <t>58g</t>
  </si>
  <si>
    <t>58h</t>
  </si>
  <si>
    <t>58i</t>
  </si>
  <si>
    <t>58j</t>
  </si>
  <si>
    <t>58k</t>
  </si>
  <si>
    <t>58l</t>
  </si>
  <si>
    <t>58m</t>
  </si>
  <si>
    <t>58n</t>
  </si>
  <si>
    <t>59a</t>
  </si>
  <si>
    <t>59b</t>
  </si>
  <si>
    <t>59c</t>
  </si>
  <si>
    <t>59d</t>
  </si>
  <si>
    <t>59e</t>
  </si>
  <si>
    <t>59f</t>
  </si>
  <si>
    <t>59g</t>
  </si>
  <si>
    <t>59h</t>
  </si>
  <si>
    <t>59i</t>
  </si>
  <si>
    <t>59j</t>
  </si>
  <si>
    <t>59k</t>
  </si>
  <si>
    <t>59l</t>
  </si>
  <si>
    <t>59m</t>
  </si>
  <si>
    <t>59n</t>
  </si>
  <si>
    <t>0 Kg/m²</t>
  </si>
  <si>
    <t>Kg/m²</t>
  </si>
  <si>
    <t>20 Kg/m²</t>
  </si>
  <si>
    <t>21.5  Kg/m²</t>
  </si>
  <si>
    <t>20.5  Kg/m²</t>
  </si>
  <si>
    <t>21.5Kg/m²</t>
  </si>
  <si>
    <t>21.5 Kg/m²</t>
  </si>
  <si>
    <t>20.5Kg/m²</t>
  </si>
  <si>
    <t>23 Kg/m²</t>
  </si>
  <si>
    <t>60a</t>
  </si>
  <si>
    <t>60b</t>
  </si>
  <si>
    <t>Selection of earliest (nearest 0 days) BMI result date (normal TPP descending date order) at the start of the 1a (0-91 days post-index) time period</t>
  </si>
  <si>
    <t>Selection of earliest (nearest 0 days) BMI result (abnormal TPP ascending date order) at the start of the 1a (0-91 days post-index) time period</t>
  </si>
  <si>
    <t>Selection of earliest (nearest 0 days) BMI result date (abnormal TPP ascending date order) at the start of the 1a (0-91 days post-index) time period</t>
  </si>
  <si>
    <t>Selection of latest (nearest 0 days) BMI result (normal TPP descending date order) at the start of the 1b (1-91 days pre-index) time period</t>
  </si>
  <si>
    <t>Selection of latest (nearest 0 days) BMI result date (normal TPP descending date order) at the start of the 1b (1-91 days pre-index) time period</t>
  </si>
  <si>
    <t>Selection of earliest (nearest 364 days) BMI result at the start of the 2a (274-364 days pre-index) time period</t>
  </si>
  <si>
    <t>Selection of earliest (nearest 364 days) BMI result date at the start of the 2a (274-364 days pre-index) time period</t>
  </si>
  <si>
    <t>Selection of latest (nearest 365 days) BMI result at the start of the 2b (365-455 days pre-index) time period</t>
  </si>
  <si>
    <t>Selection of latest (nearest 365 days) BMI result date at the start of the 2b (365-455 days pre-index) time period</t>
  </si>
  <si>
    <t>Selection of latest (nearest 456 days) BMI result at the start of the 2c (456-546 days pre-index) time period</t>
  </si>
  <si>
    <t>Selection of latest (nearest 456 days) BMI result date at the start of the 2c (456-546 days pre-index) time period</t>
  </si>
  <si>
    <t>Selection of earliest (nearest 273 days) BMI result at the start of the 2d (92-273 days pre-index) time period</t>
  </si>
  <si>
    <t>Selection of earliest (nearest 273 days) BMI result date at the start of the 2d (92-273 days pre-index) time period</t>
  </si>
  <si>
    <t>Selection of latest (nearest 547 days) BMI result at the start of the 2e (547-3652 days pre-index) time period</t>
  </si>
  <si>
    <t>Selection of latest (nearest 547 days) BMI result date at the start of the 2e (547-3652 days pre-index) time period</t>
  </si>
  <si>
    <t>Selection of earliest (nearest 364 days) BMI result at the end of the 2a (274-364 days pre-index) time period</t>
  </si>
  <si>
    <t>Selection of earliest (nearest 364 days) BMI result date at the end of the 2a (274-364 days pre-index) time period</t>
  </si>
  <si>
    <t>Selection of latest (nearest 365 days) BMI result at the end of the 2b (365-455 days pre-index) time period</t>
  </si>
  <si>
    <t>Selection of latest (nearest 365 days) BMI result date at the end of the 2b (365-455 days pre-index) time period</t>
  </si>
  <si>
    <t>Selection of latest (nearest 456 days) BMI result at the end of the 2c (456-546 days pre-index) time period</t>
  </si>
  <si>
    <t>Selection of latest (nearest 456 days) BMI result date at the end of the 2c (456-546 days pre-index) time period</t>
  </si>
  <si>
    <t>Selection of earliest (nearest 273 days) BMI result at the end of the 2d (92-273 days pre-index) time period</t>
  </si>
  <si>
    <t>Selection of earliest (nearest 273 days) BMI date at the end of the 2d (92-273 days pre-index) time period</t>
  </si>
  <si>
    <t>Selection of latest (nearest 547 days) BMI result at the end of the 2e (547-3652 days pre-index) time period</t>
  </si>
  <si>
    <t>Selection of latest (nearest 547 days) BMI result date at the end of the 2e (547-3652 days pre-index) time period</t>
  </si>
  <si>
    <t>Selection of BMI 2a result on the date cusp of 2a (364) and 2b (365)</t>
  </si>
  <si>
    <t>Selection of BMI 2a result date on the date cusp of 2a (364) and 2b (365)</t>
  </si>
  <si>
    <t>Selection of BMI 2b result on the date cusp of 2a (364) and 2b (365)</t>
  </si>
  <si>
    <t>Selection of BMI 2b result date on the date cusp of 2a (364) and 2b (365)</t>
  </si>
  <si>
    <t>Selection of BMI 2a result on the date cusp of 2a (274) and 2d (273)</t>
  </si>
  <si>
    <t>Selection of BMI 2a date on the date cusp of 2a (274) and 2d (273)</t>
  </si>
  <si>
    <t>Selection of BMI 2d result on the date cusp of 2a (274) and 2d (273)</t>
  </si>
  <si>
    <t>Selection of BMI 2d date on the date cusp of 2a (274) and 2d (273)</t>
  </si>
  <si>
    <t>Selection of BMI 2b result on the date cusp of 2b (455) and 2c (456)</t>
  </si>
  <si>
    <t>Selection of BMI 2b date on the date cusp of 2b (455) and 2c (456)</t>
  </si>
  <si>
    <t>Selection of BMI 2c result on the date cusp of 2b (455) and 2c (456)</t>
  </si>
  <si>
    <t>Selection of BMI 2c date on the date cusp of 2b (455) and 2c (456)</t>
  </si>
  <si>
    <t>Selection of BMI 2c result on the date cusp of 2c (546) and 2e (547)</t>
  </si>
  <si>
    <t>Selection of BMI 2c date on the date cusp of 2c (546) and 2e (547)</t>
  </si>
  <si>
    <t>Selection of BMI 2e result on the date cusp of 2c (546) and 2e (547)</t>
  </si>
  <si>
    <t>Selection of BMI 2e date on the date cusp of 2c (546) and 2e (547)</t>
  </si>
  <si>
    <t>Selection of BMI 2d result on the date cusp of 2d (92) and 1b (91)</t>
  </si>
  <si>
    <t>Selection of BMI 2d date on the date cusp of 2d (92) and 1b (91)</t>
  </si>
  <si>
    <t>Selection of BMI 1b result on the date cusp of 2d (92) and 1b (91)</t>
  </si>
  <si>
    <t>Selection of BMI 1b date on the date cusp of 2d (92) and 1b (91)</t>
  </si>
  <si>
    <t>Selection of BMI 2e result on the date cusp of 2e (3652) and excluded (3653)</t>
  </si>
  <si>
    <t>Selection of BMI 2e date on the date cusp of 2e (3652) and excluded (3653)</t>
  </si>
  <si>
    <t>BMI (2a) - (2d): Value</t>
  </si>
  <si>
    <t>BMI (2a) - (2d): Date</t>
  </si>
  <si>
    <t>Selection of BMI 1a result on the date cusp of 1a (0-91 days post-index) and 1b (1-91 days pre-index)</t>
  </si>
  <si>
    <t>Selection of BMI 1a result date on the date cusp of 1a (0-91 days post-index) and 1b (1-91 days pre-index)</t>
  </si>
  <si>
    <t>Selection of BMI 1b result on the date cusp of 1a (0-91 days post-index) and 1b (1-91 days pre-index)</t>
  </si>
  <si>
    <t>Selection of BMI 1b result date on the date cusp of 1a (0-91 days post-index) and 1b (1-91 days pre-index)</t>
  </si>
  <si>
    <t>Selection of BMI 1a result on the date cusp of 1a (0-91 days post-index) and excluded (92 days post-index)</t>
  </si>
  <si>
    <t>Selection of BMI 1a result date on the date cusp of 1a (0-91 days post-index) and excluded (92 days post-index)</t>
  </si>
  <si>
    <t>BMI (1b) - (2e): Value</t>
  </si>
  <si>
    <t>BMI (1b) - (2e): Date</t>
  </si>
  <si>
    <t>Selection of BMI 1a result (0-91 days post-index)</t>
  </si>
  <si>
    <t>Selection of BMI 1a result date (0-91 days post-index)</t>
  </si>
  <si>
    <t>Selection of BMI 1b result (1-91 days pre-index)</t>
  </si>
  <si>
    <t>Selection of BMI 1b result date (1-91 days pre-index)</t>
  </si>
  <si>
    <t>Selection of BMI 2a result (274-364 days pre-index)</t>
  </si>
  <si>
    <t>Selection of BMI 2a result date (274-364 days pre-index)</t>
  </si>
  <si>
    <t>Selection of BMI 2b result (365-455 days pre-index)</t>
  </si>
  <si>
    <t>Selection of BMI 2b result date (365-455 days pre-index)</t>
  </si>
  <si>
    <t>Selection of BMI 2c result (456-546 days pre-index)</t>
  </si>
  <si>
    <t>Selection of BMI 2c result date (456-546 days pre-index)</t>
  </si>
  <si>
    <t>Selection of BMI 2d result (92-273 days pre-index)</t>
  </si>
  <si>
    <t>Selection of BMI 2d result date (92-273 days pre-index)</t>
  </si>
  <si>
    <t>Selection of BMI 2e result (547-3652 days pre-index)</t>
  </si>
  <si>
    <t>Selection of BMI 2e result date (547-3652 days pre-index)</t>
  </si>
  <si>
    <t>No porting of BMI 1a result (0-91 days post-index) as result = 0</t>
  </si>
  <si>
    <t>No porting of BMI 1a result date (0-91 days post-index) as result = 0</t>
  </si>
  <si>
    <t>No porting of BMI 1b result (1-91 days pre-index) as result = 0</t>
  </si>
  <si>
    <t>No porting of BMI 1b result date (1-91 days pre-index) as result = 0</t>
  </si>
  <si>
    <t>No porting of BMI 2a result (274-364 days pre-index) as result = 0</t>
  </si>
  <si>
    <t>No porting of BMI 2a result date (274-364 days pre-index) as result = 0</t>
  </si>
  <si>
    <t>No porting of BMI 2b result (365-455 days pre-index) as result = 0</t>
  </si>
  <si>
    <t>No porting of BMI 2b result date (365-455 days pre-index) as result = 0</t>
  </si>
  <si>
    <t>No porting of BMI 2c result (456-546 days pre-index) as result = 0</t>
  </si>
  <si>
    <t>No porting of BMI 2c result date (456-546 days pre-index) as result = 0</t>
  </si>
  <si>
    <t>No porting of BMI 2d result (92-273 days pre-index) as result = 0</t>
  </si>
  <si>
    <t>No porting of BMI 2d result date (92-273 days pre-index) as result = 0</t>
  </si>
  <si>
    <t>No porting of BMI 2e result (547-3652 days pre-index) as result = just Kg or missing</t>
  </si>
  <si>
    <t>No porting of BMI 2e result date (547-3652 days pre-index) as result = just Kg or missing</t>
  </si>
  <si>
    <t>No porting of BMI 1a result (0-91 days post-index) as date is blank</t>
  </si>
  <si>
    <t>No porting of BMI 1a result date (0-91 days post-index) as date is blank</t>
  </si>
  <si>
    <t>No porting of BMI 1b result (1-91 days pre-index) as date is blank</t>
  </si>
  <si>
    <t>No porting of BMI 1b result date (1-91 days pre-index) as date is blank</t>
  </si>
  <si>
    <t>No porting of BMI 2a result (274-364 days pre-index) as date is blank</t>
  </si>
  <si>
    <t>No porting of BMI 2a result date (274-364 days pre-index) as date is blank</t>
  </si>
  <si>
    <t>No porting of BMI 2b result (365-455 days pre-index) as date is blank</t>
  </si>
  <si>
    <t>No porting of BMI 2b result date (365-455 days pre-index) as date is blank</t>
  </si>
  <si>
    <t>No porting of BMI 2c result (456-546 days pre-index) as date is blank</t>
  </si>
  <si>
    <t>No porting of BMI 2c result date (456-546 days pre-index) as date is blank</t>
  </si>
  <si>
    <t>No porting of BMI 2d result (92-273 days pre-index) as date is blank</t>
  </si>
  <si>
    <t>No porting of BMI 2d result date (92-273 days pre-index) as date is blank</t>
  </si>
  <si>
    <t>No porting of BMI 2e result (547-3652 days pre-index) as date is blank</t>
  </si>
  <si>
    <t>No porting of BMI 2e result date (547-3652 days pre-index) as date is blank</t>
  </si>
  <si>
    <t>Selection of BMI 1a result (0-91 days post-index) with index date and result date in different date formats</t>
  </si>
  <si>
    <t>Selection of BMI 1a result date (0-91 days post-index) with index date and result date in different date formats</t>
  </si>
  <si>
    <t>Selection of BMI 1b result (1-91 days pre-index) with index date and result date in different date formats</t>
  </si>
  <si>
    <t>Selection of BMI 1b result date (1-91 days pre-index) with index date and result date in different date formats</t>
  </si>
  <si>
    <t>Selection of BMI 2a result (274-364 days pre-index) with index date and result date in different date formats</t>
  </si>
  <si>
    <t>Selection of BMI 2a result date (274-364 days pre-index) with index date and result date in different date formats</t>
  </si>
  <si>
    <t>Selection of BMI 2b result (365-455 days pre-index) with index date and result date in different date formats</t>
  </si>
  <si>
    <t>Selection of BMI 2b result date (365-455 days pre-index) with index date and result date in different date formats</t>
  </si>
  <si>
    <t>Selection of BMI 2c result (456-546 days pre-index) with index date and result date in different date formats</t>
  </si>
  <si>
    <t>Selection of BMI 2c result date (456-546 days pre-index) with index date and result date in different date formats</t>
  </si>
  <si>
    <t>Selection of BMI 2d result (92-273 days pre-index) with index date and result date in different date formats</t>
  </si>
  <si>
    <t>Selection of BMI 2d result date (92-273 days pre-index) with index date and result date in different date formats</t>
  </si>
  <si>
    <t>Selection of BMI 2e result (547-3652 days pre-index) with index date and result date in different date formats</t>
  </si>
  <si>
    <t>Selection of BMI 2e result date (547-3652 days pre-index) with index date and result date in different date formats</t>
  </si>
  <si>
    <t>61a</t>
  </si>
  <si>
    <t>61b</t>
  </si>
  <si>
    <t>62a</t>
  </si>
  <si>
    <t>62b</t>
  </si>
  <si>
    <t>63a</t>
  </si>
  <si>
    <t>63b</t>
  </si>
  <si>
    <t>64a</t>
  </si>
  <si>
    <t>64b</t>
  </si>
  <si>
    <t>65a</t>
  </si>
  <si>
    <t>66b</t>
  </si>
  <si>
    <t>65b</t>
  </si>
  <si>
    <t>66a</t>
  </si>
  <si>
    <t>67a</t>
  </si>
  <si>
    <t>67b</t>
  </si>
  <si>
    <t>68a</t>
  </si>
  <si>
    <t>68b</t>
  </si>
  <si>
    <t>69a</t>
  </si>
  <si>
    <t>69b</t>
  </si>
  <si>
    <t>70a</t>
  </si>
  <si>
    <t>70b</t>
  </si>
  <si>
    <t>71a</t>
  </si>
  <si>
    <t>71b</t>
  </si>
  <si>
    <t>72a</t>
  </si>
  <si>
    <t>72b</t>
  </si>
  <si>
    <t>73a</t>
  </si>
  <si>
    <t>73b</t>
  </si>
  <si>
    <t>74a</t>
  </si>
  <si>
    <t>74b</t>
  </si>
  <si>
    <t>74c</t>
  </si>
  <si>
    <t>74d</t>
  </si>
  <si>
    <t>75a</t>
  </si>
  <si>
    <t>75b</t>
  </si>
  <si>
    <t>75c</t>
  </si>
  <si>
    <t>75d</t>
  </si>
  <si>
    <t>76a</t>
  </si>
  <si>
    <t>76b</t>
  </si>
  <si>
    <t>76c</t>
  </si>
  <si>
    <t>76d</t>
  </si>
  <si>
    <t>77a</t>
  </si>
  <si>
    <t>77b</t>
  </si>
  <si>
    <t>77c</t>
  </si>
  <si>
    <t>77d</t>
  </si>
  <si>
    <t>78a</t>
  </si>
  <si>
    <t>78b</t>
  </si>
  <si>
    <t>78c</t>
  </si>
  <si>
    <t>78d</t>
  </si>
  <si>
    <t>79a</t>
  </si>
  <si>
    <t>79b</t>
  </si>
  <si>
    <t>79c</t>
  </si>
  <si>
    <t>79d</t>
  </si>
  <si>
    <t>80a</t>
  </si>
  <si>
    <t>80b</t>
  </si>
  <si>
    <t>80c</t>
  </si>
  <si>
    <t>80d</t>
  </si>
  <si>
    <t>81a</t>
  </si>
  <si>
    <t>81b</t>
  </si>
  <si>
    <t>81c</t>
  </si>
  <si>
    <t>81d</t>
  </si>
  <si>
    <t>82a</t>
  </si>
  <si>
    <t>82b</t>
  </si>
  <si>
    <t>82c</t>
  </si>
  <si>
    <t>82d</t>
  </si>
  <si>
    <t>82e</t>
  </si>
  <si>
    <t>82f</t>
  </si>
  <si>
    <t>82g</t>
  </si>
  <si>
    <t>82h</t>
  </si>
  <si>
    <t>82i</t>
  </si>
  <si>
    <t>82j</t>
  </si>
  <si>
    <t>82k</t>
  </si>
  <si>
    <t>82l</t>
  </si>
  <si>
    <t>82m</t>
  </si>
  <si>
    <t>82n</t>
  </si>
  <si>
    <t>83a</t>
  </si>
  <si>
    <t>83b</t>
  </si>
  <si>
    <t>83c</t>
  </si>
  <si>
    <t>83d</t>
  </si>
  <si>
    <t>83e</t>
  </si>
  <si>
    <t>83f</t>
  </si>
  <si>
    <t>83g</t>
  </si>
  <si>
    <t>83h</t>
  </si>
  <si>
    <t>83i</t>
  </si>
  <si>
    <t>83j</t>
  </si>
  <si>
    <t>83k</t>
  </si>
  <si>
    <t>83l</t>
  </si>
  <si>
    <t>83m</t>
  </si>
  <si>
    <t>83n</t>
  </si>
  <si>
    <t>84a</t>
  </si>
  <si>
    <t>84b</t>
  </si>
  <si>
    <t>84c</t>
  </si>
  <si>
    <t>84d</t>
  </si>
  <si>
    <t>84e</t>
  </si>
  <si>
    <t>84f</t>
  </si>
  <si>
    <t>84g</t>
  </si>
  <si>
    <t>84h</t>
  </si>
  <si>
    <t>84i</t>
  </si>
  <si>
    <t>84j</t>
  </si>
  <si>
    <t>84k</t>
  </si>
  <si>
    <t>84l</t>
  </si>
  <si>
    <t>84m</t>
  </si>
  <si>
    <t>84n</t>
  </si>
  <si>
    <t>85a</t>
  </si>
  <si>
    <t>85b</t>
  </si>
  <si>
    <t>85c</t>
  </si>
  <si>
    <t>85d</t>
  </si>
  <si>
    <t>85e</t>
  </si>
  <si>
    <t>85f</t>
  </si>
  <si>
    <t>85g</t>
  </si>
  <si>
    <t>85h</t>
  </si>
  <si>
    <t>85i</t>
  </si>
  <si>
    <t>85j</t>
  </si>
  <si>
    <t>85k</t>
  </si>
  <si>
    <t>85l</t>
  </si>
  <si>
    <t>85m</t>
  </si>
  <si>
    <t>85n</t>
  </si>
  <si>
    <t>86a</t>
  </si>
  <si>
    <t>86b</t>
  </si>
  <si>
    <t>86c</t>
  </si>
  <si>
    <t>86d</t>
  </si>
  <si>
    <t>86e</t>
  </si>
  <si>
    <t>86f</t>
  </si>
  <si>
    <t>86g</t>
  </si>
  <si>
    <t>86h</t>
  </si>
  <si>
    <t>86i</t>
  </si>
  <si>
    <t>86j</t>
  </si>
  <si>
    <t>86k</t>
  </si>
  <si>
    <t>86l</t>
  </si>
  <si>
    <t>86m</t>
  </si>
  <si>
    <t>86n</t>
  </si>
  <si>
    <t>87a</t>
  </si>
  <si>
    <t>87b</t>
  </si>
  <si>
    <t>87c</t>
  </si>
  <si>
    <t>87d</t>
  </si>
  <si>
    <t>87e</t>
  </si>
  <si>
    <t>87f</t>
  </si>
  <si>
    <t>87g</t>
  </si>
  <si>
    <t>87h</t>
  </si>
  <si>
    <t>87i</t>
  </si>
  <si>
    <t>87j</t>
  </si>
  <si>
    <t>87k</t>
  </si>
  <si>
    <t>87l</t>
  </si>
  <si>
    <t>87m</t>
  </si>
  <si>
    <t>87n</t>
  </si>
  <si>
    <t>88a</t>
  </si>
  <si>
    <t>88b</t>
  </si>
  <si>
    <t>88c</t>
  </si>
  <si>
    <t>88d</t>
  </si>
  <si>
    <t>88e</t>
  </si>
  <si>
    <t>88f</t>
  </si>
  <si>
    <t>88g</t>
  </si>
  <si>
    <t>88h</t>
  </si>
  <si>
    <t>88i</t>
  </si>
  <si>
    <t>88j</t>
  </si>
  <si>
    <t>88k</t>
  </si>
  <si>
    <t>88l</t>
  </si>
  <si>
    <t>88m</t>
  </si>
  <si>
    <t>88n</t>
  </si>
  <si>
    <t>89a</t>
  </si>
  <si>
    <t>89b</t>
  </si>
  <si>
    <t>89c</t>
  </si>
  <si>
    <t>89d</t>
  </si>
  <si>
    <t>89e</t>
  </si>
  <si>
    <t>89f</t>
  </si>
  <si>
    <t>89g</t>
  </si>
  <si>
    <t>89h</t>
  </si>
  <si>
    <t>89i</t>
  </si>
  <si>
    <t>89j</t>
  </si>
  <si>
    <t>89k</t>
  </si>
  <si>
    <t>89l</t>
  </si>
  <si>
    <t>89m</t>
  </si>
  <si>
    <t>89n</t>
  </si>
  <si>
    <t>90a</t>
  </si>
  <si>
    <t>90b</t>
  </si>
  <si>
    <t>90c</t>
  </si>
  <si>
    <t>90d</t>
  </si>
  <si>
    <t>90e</t>
  </si>
  <si>
    <t>90f</t>
  </si>
  <si>
    <t>90g</t>
  </si>
  <si>
    <t>90h</t>
  </si>
  <si>
    <t>90i</t>
  </si>
  <si>
    <t>90j</t>
  </si>
  <si>
    <t>90k</t>
  </si>
  <si>
    <t>90l</t>
  </si>
  <si>
    <t>90m</t>
  </si>
  <si>
    <t>90n</t>
  </si>
  <si>
    <t>91a</t>
  </si>
  <si>
    <t>91b</t>
  </si>
  <si>
    <t>91c</t>
  </si>
  <si>
    <t>91d</t>
  </si>
  <si>
    <t>91e</t>
  </si>
  <si>
    <t>91f</t>
  </si>
  <si>
    <t>91g</t>
  </si>
  <si>
    <t>91h</t>
  </si>
  <si>
    <t>91i</t>
  </si>
  <si>
    <t>91j</t>
  </si>
  <si>
    <t>91k</t>
  </si>
  <si>
    <t>91l</t>
  </si>
  <si>
    <t>91m</t>
  </si>
  <si>
    <t>91n</t>
  </si>
  <si>
    <t>Selection of earliest (nearest 0 days) BMI result (with two spaces between result and UoM) (normal TPP descending date order) at the start of the 1a (0-91 days post-index) time period</t>
  </si>
  <si>
    <t>Selection of latest (nearest 0 days) BMI result date (abnormal TPP ascending date order) at the start of the 1b (1-91 days pre-index) time period</t>
  </si>
  <si>
    <t>Selection of latest (nearest 0 days) Weight result date (abnormal TPP ascending date order) at the start of the 1b (1-91 days pre-index) time period</t>
  </si>
  <si>
    <t>Selection of latest (nearest 0 days) Weight result (abnormal TPP ascending date order) at the start of the 1b (1-91 days pre-index) time period</t>
  </si>
  <si>
    <t>170 cm</t>
  </si>
  <si>
    <t>171 cm</t>
  </si>
  <si>
    <t>1.70 m</t>
  </si>
  <si>
    <t>171.5 cm</t>
  </si>
  <si>
    <t>170.5 cm</t>
  </si>
  <si>
    <t>Selection of earliest (nearest 0 days) Height result (normal TPP descending date order) at the start of the 1a (0-91 days post-index) time period</t>
  </si>
  <si>
    <t>Selection of earliest (nearest 0 days) Height result UoM (with two spaces between result and UoM) (normal TPP descending date order) at the start of the 1a (0-91 days post-index) time period</t>
  </si>
  <si>
    <t>Selection of earliest (nearest 0 days) Height result date (normal TPP descending date order) at the start of the 1a (0-91 days post-index) time period</t>
  </si>
  <si>
    <t>Selection of earliest (nearest 0 days) Height result (abnormal TPP ascending date order) at the start of the 1a (0-91 days post-index) time period</t>
  </si>
  <si>
    <t>Selection of earliest (nearest 0 days) Height result UoM (abnormal TPP ascending date order) at the start of the 1a (0-91 days post-index) time period</t>
  </si>
  <si>
    <t>Selection of earliest (nearest 0 days) Height result date (abnormal TPP ascending date order) at the start of the 1a (0-91 days post-index) time period</t>
  </si>
  <si>
    <t>Selection of latest (nearest 0 days) Height result (normal TPP descending date order) at the start of the 1b (1-91 days pre-index) time period</t>
  </si>
  <si>
    <t>Selection of latest (nearest 0 days) Height result UoM (missing) (normal TPP descending date order) at the start of the 1b (1-91 days pre-index) time period</t>
  </si>
  <si>
    <t>Selection of latest (nearest 0 days) Height result date (normal TPP descending date order) at the start of the 1b (1-91 days pre-index) time period</t>
  </si>
  <si>
    <t>Selection of latest (nearest 0 days) Height result (abnormal TPP ascending date order) at the start of the 1b (1-91 days pre-index) time period</t>
  </si>
  <si>
    <t>Selection of latest (nearest 0 days) Height result UoM (no space between result and UoM) (abnormal TPP asending date order) at the start of the 1b (1-91 days pre-index) time period</t>
  </si>
  <si>
    <t>Selection of latest (nearest 0 days) Height result date (abnormal TPP ascending date order) at the start of the 1b (1-91 days pre-index) time period</t>
  </si>
  <si>
    <t>Selection of earliest (nearest 364 days) Height result at the start of the 2a (274-364 days pre-index) time period</t>
  </si>
  <si>
    <t>Selection of earliest (nearest 364 days) Height result date at the start of the 2a (274-364 days pre-index) time period</t>
  </si>
  <si>
    <t>Selection of latest (nearest 365 days) Height result at the start of the 2b (365-455 days pre-index) time period</t>
  </si>
  <si>
    <t>Selection of latest (nearest 365 days) Height result date at the start of the 2b (365-455 days pre-index) time period</t>
  </si>
  <si>
    <t>Selection of latest (nearest 456 days) Height result at the start of the 2c (456-546 days pre-index) time period</t>
  </si>
  <si>
    <t>Selection of latest (nearest 456 days) Height result date at the start of the 2c (456-546 days pre-index) time period</t>
  </si>
  <si>
    <t>Selection of earliest (nearest 273 days) Height result at the start of the 2d (92-273 days pre-index) time period</t>
  </si>
  <si>
    <t>Selection of earliest (nearest 273 days) Height result date at the start of the 2d (92-273 days pre-index) time period</t>
  </si>
  <si>
    <t>Selection of latest (nearest 547 days) Height result at the start of the 2e (547-3652 days pre-index) time period</t>
  </si>
  <si>
    <t>Selection of latest (nearest 547 days) Height result date at the start of the 2e (547-3652 days pre-index) time period</t>
  </si>
  <si>
    <t>Selection of earliest (nearest 364 days) Height result at the end of the 2a (274-364 days pre-index) time period</t>
  </si>
  <si>
    <t>Selection of earliest (nearest 364 days) Height result date at the end of the 2a (274-364 days pre-index) time period</t>
  </si>
  <si>
    <t>Selection of latest (nearest 365 days) Height result at the end of the 2b (365-455 days pre-index) time period</t>
  </si>
  <si>
    <t>Selection of latest (nearest 365 days) Height result date at the end of the 2b (365-455 days pre-index) time period</t>
  </si>
  <si>
    <t>Selection of latest (nearest 456 days) Height result at the end of the 2c (456-546 days pre-index) time period</t>
  </si>
  <si>
    <t>Selection of latest (nearest 456 days) Height result date at the end of the 2c (456-546 days pre-index) time period</t>
  </si>
  <si>
    <t>Selection of earliest (nearest 273 days) Height result at the end of the 2d (92-273 days pre-index) time period</t>
  </si>
  <si>
    <t>Selection of earliest (nearest 273 days) Height date at the end of the 2d (92-273 days pre-index) time period</t>
  </si>
  <si>
    <t>Selection of latest (nearest 547 days) Height result at the end of the 2e (547-3652 days pre-index) time period</t>
  </si>
  <si>
    <t>Selection of latest (nearest 547 days) Height result date at the end of the 2e (547-3652 days pre-index) time period</t>
  </si>
  <si>
    <t>Selection of Height 2a result on the date cusp of 2a (364) and 2b (365)</t>
  </si>
  <si>
    <t>Selection of Height 2a result date on the date cusp of 2a (364) and 2b (365)</t>
  </si>
  <si>
    <t>Selection of Height 2b result on the date cusp of 2a (364) and 2b (365)</t>
  </si>
  <si>
    <t>Selection of Height 2b result date on the date cusp of 2a (364) and 2b (365)</t>
  </si>
  <si>
    <t>Selection of Height 2a result on the date cusp of 2a (274) and 2d (273)</t>
  </si>
  <si>
    <t>Selection of Height 2a date on the date cusp of 2a (274) and 2d (273)</t>
  </si>
  <si>
    <t>Selection of Height 2d result on the date cusp of 2a (274) and 2d (273)</t>
  </si>
  <si>
    <t>Selection of Height 2d date on the date cusp of 2a (274) and 2d (273)</t>
  </si>
  <si>
    <t>Selection of Height 2b result on the date cusp of 2b (455) and 2c (456)</t>
  </si>
  <si>
    <t>Selection of Height 2b date on the date cusp of 2b (455) and 2c (456)</t>
  </si>
  <si>
    <t>Selection of Height 2c result on the date cusp of 2b (455) and 2c (456)</t>
  </si>
  <si>
    <t>Selection of Height 2c date on the date cusp of 2b (455) and 2c (456)</t>
  </si>
  <si>
    <t>Selection of Height 2c result on the date cusp of 2c (546) and 2e (547)</t>
  </si>
  <si>
    <t>Selection of Height 2c date on the date cusp of 2c (546) and 2e (547)</t>
  </si>
  <si>
    <t>Selection of Height 2e result on the date cusp of 2c (546) and 2e (547)</t>
  </si>
  <si>
    <t>Selection of Height 2e date on the date cusp of 2c (546) and 2e (547)</t>
  </si>
  <si>
    <t>Selection of Height 2d result on the date cusp of 2d (92) and 1b (91)</t>
  </si>
  <si>
    <t>Selection of Height 2d date on the date cusp of 2d (92) and 1b (91)</t>
  </si>
  <si>
    <t>Selection of Height 1b result on the date cusp of 2d (92) and 1b (91)</t>
  </si>
  <si>
    <t>Selection of Height 1b date on the date cusp of 2d (92) and 1b (91)</t>
  </si>
  <si>
    <t>Selection of Height 2e result on the date cusp of 2e (3652) and excluded (3653)</t>
  </si>
  <si>
    <t>Selection of Height 2e date on the date cusp of 2e (3652) and excluded (3653)</t>
  </si>
  <si>
    <t>Height (2a) - (2d): Value</t>
  </si>
  <si>
    <t>Height (2a) - (2d): Date</t>
  </si>
  <si>
    <t>Selection of Height 1a result on the date cusp of 1a (0-91 days post-index) and 1b (1-91 days pre-index)</t>
  </si>
  <si>
    <t>Selection of Height 1a result date on the date cusp of 1a (0-91 days post-index) and 1b (1-91 days pre-index)</t>
  </si>
  <si>
    <t>Selection of Height 1b result on the date cusp of 1a (0-91 days post-index) and 1b (1-91 days pre-index)</t>
  </si>
  <si>
    <t>Selection of Height 1b result date on the date cusp of 1a (0-91 days post-index) and 1b (1-91 days pre-index)</t>
  </si>
  <si>
    <t>Selection of Height 1a result on the date cusp of 1a (0-91 days post-index) and excluded (92 days post-index)</t>
  </si>
  <si>
    <t>Selection of Height 1a result date on the date cusp of 1a (0-91 days post-index) and excluded (92 days post-index)</t>
  </si>
  <si>
    <t>Height (1b) - (2e): Value</t>
  </si>
  <si>
    <t>Height (1b) - (2e): Date</t>
  </si>
  <si>
    <t>Selection of Height 1a result (0-91 days post-index)</t>
  </si>
  <si>
    <t>Selection of Height 1a result date (0-91 days post-index)</t>
  </si>
  <si>
    <t>Selection of Height 1b result (1-91 days pre-index)</t>
  </si>
  <si>
    <t>Selection of Height 1b result date (1-91 days pre-index)</t>
  </si>
  <si>
    <t>Selection of Height 2a result (274-364 days pre-index)</t>
  </si>
  <si>
    <t>Selection of Height 2a result date (274-364 days pre-index)</t>
  </si>
  <si>
    <t>Selection of Height 2b result (365-455 days pre-index)</t>
  </si>
  <si>
    <t>Selection of Height 2b result date (365-455 days pre-index)</t>
  </si>
  <si>
    <t>Selection of Height 2c result (456-546 days pre-index)</t>
  </si>
  <si>
    <t>Selection of Height 2c result date (456-546 days pre-index)</t>
  </si>
  <si>
    <t>Selection of Height 2d result (92-273 days pre-index)</t>
  </si>
  <si>
    <t>Selection of Height 2d result date (92-273 days pre-index)</t>
  </si>
  <si>
    <t>Selection of Height 2e result (547-3652 days pre-index)</t>
  </si>
  <si>
    <t>Selection of Height 2e result date (547-3652 days pre-index)</t>
  </si>
  <si>
    <t>No porting of Height 1a result (0-91 days post-index) as result = 0</t>
  </si>
  <si>
    <t>No porting of Height 1a result date (0-91 days post-index) as result = 0</t>
  </si>
  <si>
    <t>No porting of Height 1b result (1-91 days pre-index) as result = 0</t>
  </si>
  <si>
    <t>No porting of Height 1b result date (1-91 days pre-index) as result = 0</t>
  </si>
  <si>
    <t>No porting of Height 2a result (274-364 days pre-index) as result = 0</t>
  </si>
  <si>
    <t>No porting of Height 2a result date (274-364 days pre-index) as result = 0</t>
  </si>
  <si>
    <t>No porting of Height 2b result (365-455 days pre-index) as result = 0</t>
  </si>
  <si>
    <t>No porting of Height 2b result date (365-455 days pre-index) as result = 0</t>
  </si>
  <si>
    <t>No porting of Height 2c result (456-546 days pre-index) as result = 0</t>
  </si>
  <si>
    <t>No porting of Height 2c result date (456-546 days pre-index) as result = 0</t>
  </si>
  <si>
    <t>No porting of Height 2d result (92-273 days pre-index) as result = 0</t>
  </si>
  <si>
    <t>No porting of Height 2d result date (92-273 days pre-index) as result = 0</t>
  </si>
  <si>
    <t>No porting of Height 2e result (547-3652 days pre-index) as result = just Kg or missing</t>
  </si>
  <si>
    <t>No porting of Height 2e result date (547-3652 days pre-index) as result = just Kg or missing</t>
  </si>
  <si>
    <t>No porting of Height 1a result (0-91 days post-index) as date is blank</t>
  </si>
  <si>
    <t>No porting of Height 1a result date (0-91 days post-index) as date is blank</t>
  </si>
  <si>
    <t>No porting of Height 1b result (1-91 days pre-index) as date is blank</t>
  </si>
  <si>
    <t>No porting of Height 1b result date (1-91 days pre-index) as date is blank</t>
  </si>
  <si>
    <t>No porting of Height 2a result (274-364 days pre-index) as date is blank</t>
  </si>
  <si>
    <t>No porting of Height 2a result date (274-364 days pre-index) as date is blank</t>
  </si>
  <si>
    <t>No porting of Height 2b result (365-455 days pre-index) as date is blank</t>
  </si>
  <si>
    <t>No porting of Height 2b result date (365-455 days pre-index) as date is blank</t>
  </si>
  <si>
    <t>No porting of Height 2c result (456-546 days pre-index) as date is blank</t>
  </si>
  <si>
    <t>No porting of Height 2c result date (456-546 days pre-index) as date is blank</t>
  </si>
  <si>
    <t>No porting of Height 2d result (92-273 days pre-index) as date is blank</t>
  </si>
  <si>
    <t>No porting of Height 2d result date (92-273 days pre-index) as date is blank</t>
  </si>
  <si>
    <t>No porting of Height 2e result (547-3652 days pre-index) as date is blank</t>
  </si>
  <si>
    <t>No porting of Height 2e result date (547-3652 days pre-index) as date is blank</t>
  </si>
  <si>
    <t>Selection of Height 1a result (0-91 days post-index) with index date and result date in different date formats</t>
  </si>
  <si>
    <t>Selection of Height 1a result date (0-91 days post-index) with index date and result date in different date formats</t>
  </si>
  <si>
    <t>Selection of Height 1b result (1-91 days pre-index) with index date and result date in different date formats</t>
  </si>
  <si>
    <t>Selection of Height 1b result date (1-91 days pre-index) with index date and result date in different date formats</t>
  </si>
  <si>
    <t>Selection of Height 2a result (274-364 days pre-index) with index date and result date in different date formats</t>
  </si>
  <si>
    <t>Selection of Height 2a result date (274-364 days pre-index) with index date and result date in different date formats</t>
  </si>
  <si>
    <t>Selection of Height 2b result (365-455 days pre-index) with index date and result date in different date formats</t>
  </si>
  <si>
    <t>Selection of Height 2b result date (365-455 days pre-index) with index date and result date in different date formats</t>
  </si>
  <si>
    <t>Selection of Height 2c result (456-546 days pre-index) with index date and result date in different date formats</t>
  </si>
  <si>
    <t>Selection of Height 2c result date (456-546 days pre-index) with index date and result date in different date formats</t>
  </si>
  <si>
    <t>Selection of Height 2d result (92-273 days pre-index) with index date and result date in different date formats</t>
  </si>
  <si>
    <t>Selection of Height 2d result date (92-273 days pre-index) with index date and result date in different date formats</t>
  </si>
  <si>
    <t>Selection of Height 2e result (547-3652 days pre-index) with index date and result date in different date formats</t>
  </si>
  <si>
    <t>Selection of Height 2e result date (547-3652 days pre-index) with index date and result date in different date formats</t>
  </si>
  <si>
    <t>92a</t>
  </si>
  <si>
    <t>92b</t>
  </si>
  <si>
    <t>92c</t>
  </si>
  <si>
    <t>93a</t>
  </si>
  <si>
    <t>93b</t>
  </si>
  <si>
    <t>93c</t>
  </si>
  <si>
    <t>94a</t>
  </si>
  <si>
    <t>94b</t>
  </si>
  <si>
    <t>94c</t>
  </si>
  <si>
    <t>95a</t>
  </si>
  <si>
    <t>95b</t>
  </si>
  <si>
    <t>95c</t>
  </si>
  <si>
    <t>96a</t>
  </si>
  <si>
    <t>96b</t>
  </si>
  <si>
    <t>97a</t>
  </si>
  <si>
    <t>97b</t>
  </si>
  <si>
    <t>98a</t>
  </si>
  <si>
    <t>98b</t>
  </si>
  <si>
    <t>99a</t>
  </si>
  <si>
    <t>99b</t>
  </si>
  <si>
    <t>100a</t>
  </si>
  <si>
    <t>100b</t>
  </si>
  <si>
    <t>101a</t>
  </si>
  <si>
    <t>101b</t>
  </si>
  <si>
    <t>102a</t>
  </si>
  <si>
    <t>102b</t>
  </si>
  <si>
    <t>103a</t>
  </si>
  <si>
    <t>103b</t>
  </si>
  <si>
    <t>104a</t>
  </si>
  <si>
    <t>104b</t>
  </si>
  <si>
    <t>105a</t>
  </si>
  <si>
    <t>105b</t>
  </si>
  <si>
    <t>106a</t>
  </si>
  <si>
    <t>106b</t>
  </si>
  <si>
    <t>106c</t>
  </si>
  <si>
    <t>106d</t>
  </si>
  <si>
    <t>107a</t>
  </si>
  <si>
    <t>107b</t>
  </si>
  <si>
    <t>107c</t>
  </si>
  <si>
    <t>107d</t>
  </si>
  <si>
    <t>108a</t>
  </si>
  <si>
    <t>108b</t>
  </si>
  <si>
    <t>108c</t>
  </si>
  <si>
    <t>108d</t>
  </si>
  <si>
    <t>109a</t>
  </si>
  <si>
    <t>109b</t>
  </si>
  <si>
    <t>109c</t>
  </si>
  <si>
    <t>109d</t>
  </si>
  <si>
    <t>110a</t>
  </si>
  <si>
    <t>110b</t>
  </si>
  <si>
    <t>110c</t>
  </si>
  <si>
    <t>110d</t>
  </si>
  <si>
    <t>111a</t>
  </si>
  <si>
    <t>111c</t>
  </si>
  <si>
    <t>111b</t>
  </si>
  <si>
    <t>111d</t>
  </si>
  <si>
    <t>112a</t>
  </si>
  <si>
    <t>112b</t>
  </si>
  <si>
    <t>112c</t>
  </si>
  <si>
    <t>112d</t>
  </si>
  <si>
    <t>113a</t>
  </si>
  <si>
    <t>113b</t>
  </si>
  <si>
    <t>113c</t>
  </si>
  <si>
    <t>113d</t>
  </si>
  <si>
    <t>114a</t>
  </si>
  <si>
    <t>114b</t>
  </si>
  <si>
    <t>114c</t>
  </si>
  <si>
    <t>114d</t>
  </si>
  <si>
    <t>114e</t>
  </si>
  <si>
    <t>114f</t>
  </si>
  <si>
    <t>114g</t>
  </si>
  <si>
    <t>114h</t>
  </si>
  <si>
    <t>114i</t>
  </si>
  <si>
    <t>114j</t>
  </si>
  <si>
    <t>114k</t>
  </si>
  <si>
    <t>114l</t>
  </si>
  <si>
    <t>114m</t>
  </si>
  <si>
    <t>114n</t>
  </si>
  <si>
    <t>115a</t>
  </si>
  <si>
    <t>115b</t>
  </si>
  <si>
    <t>115c</t>
  </si>
  <si>
    <t>115d</t>
  </si>
  <si>
    <t>115e</t>
  </si>
  <si>
    <t>115f</t>
  </si>
  <si>
    <t>115g</t>
  </si>
  <si>
    <t>115h</t>
  </si>
  <si>
    <t>115i</t>
  </si>
  <si>
    <t>115j</t>
  </si>
  <si>
    <t>115k</t>
  </si>
  <si>
    <t>115l</t>
  </si>
  <si>
    <t>115m</t>
  </si>
  <si>
    <t>115n</t>
  </si>
  <si>
    <t>116a</t>
  </si>
  <si>
    <t>116b</t>
  </si>
  <si>
    <t>116c</t>
  </si>
  <si>
    <t>116d</t>
  </si>
  <si>
    <t>116e</t>
  </si>
  <si>
    <t>116f</t>
  </si>
  <si>
    <t>116g</t>
  </si>
  <si>
    <t>116h</t>
  </si>
  <si>
    <t>116i</t>
  </si>
  <si>
    <t>116j</t>
  </si>
  <si>
    <t>116k</t>
  </si>
  <si>
    <t>116l</t>
  </si>
  <si>
    <t>116m</t>
  </si>
  <si>
    <t>116n</t>
  </si>
  <si>
    <t>117a</t>
  </si>
  <si>
    <t>117b</t>
  </si>
  <si>
    <t>117c</t>
  </si>
  <si>
    <t>117d</t>
  </si>
  <si>
    <t>117e</t>
  </si>
  <si>
    <t>117f</t>
  </si>
  <si>
    <t>117g</t>
  </si>
  <si>
    <t>117h</t>
  </si>
  <si>
    <t>117i</t>
  </si>
  <si>
    <t>117j</t>
  </si>
  <si>
    <t>117k</t>
  </si>
  <si>
    <t>117l</t>
  </si>
  <si>
    <t>117m</t>
  </si>
  <si>
    <t>117n</t>
  </si>
  <si>
    <t>118a</t>
  </si>
  <si>
    <t>118b</t>
  </si>
  <si>
    <t>118c</t>
  </si>
  <si>
    <t>118d</t>
  </si>
  <si>
    <t>118e</t>
  </si>
  <si>
    <t>118f</t>
  </si>
  <si>
    <t>118g</t>
  </si>
  <si>
    <t>118h</t>
  </si>
  <si>
    <t>118i</t>
  </si>
  <si>
    <t>118j</t>
  </si>
  <si>
    <t>118k</t>
  </si>
  <si>
    <t>118l</t>
  </si>
  <si>
    <t>118m</t>
  </si>
  <si>
    <t>118n</t>
  </si>
  <si>
    <t>119a</t>
  </si>
  <si>
    <t>119b</t>
  </si>
  <si>
    <t>119c</t>
  </si>
  <si>
    <t>119d</t>
  </si>
  <si>
    <t>119e</t>
  </si>
  <si>
    <t>119f</t>
  </si>
  <si>
    <t>119g</t>
  </si>
  <si>
    <t>119h</t>
  </si>
  <si>
    <t>119i</t>
  </si>
  <si>
    <t>119j</t>
  </si>
  <si>
    <t>119k</t>
  </si>
  <si>
    <t>119l</t>
  </si>
  <si>
    <t>119m</t>
  </si>
  <si>
    <t>119n</t>
  </si>
  <si>
    <t>120a</t>
  </si>
  <si>
    <t>120b</t>
  </si>
  <si>
    <t>120c</t>
  </si>
  <si>
    <t>120d</t>
  </si>
  <si>
    <t>120e</t>
  </si>
  <si>
    <t>120f</t>
  </si>
  <si>
    <t>120g</t>
  </si>
  <si>
    <t>120h</t>
  </si>
  <si>
    <t>120i</t>
  </si>
  <si>
    <t>120j</t>
  </si>
  <si>
    <t>120k</t>
  </si>
  <si>
    <t>120l</t>
  </si>
  <si>
    <t>120m</t>
  </si>
  <si>
    <t>120n</t>
  </si>
  <si>
    <t>121a</t>
  </si>
  <si>
    <t>121b</t>
  </si>
  <si>
    <t>121c</t>
  </si>
  <si>
    <t>121d</t>
  </si>
  <si>
    <t>121e</t>
  </si>
  <si>
    <t>121f</t>
  </si>
  <si>
    <t>121g</t>
  </si>
  <si>
    <t>121h</t>
  </si>
  <si>
    <t>121i</t>
  </si>
  <si>
    <t>121j</t>
  </si>
  <si>
    <t>121k</t>
  </si>
  <si>
    <t>121l</t>
  </si>
  <si>
    <t>121m</t>
  </si>
  <si>
    <t>121n</t>
  </si>
  <si>
    <t>122a</t>
  </si>
  <si>
    <t>122b</t>
  </si>
  <si>
    <t>122c</t>
  </si>
  <si>
    <t>122d</t>
  </si>
  <si>
    <t>122e</t>
  </si>
  <si>
    <t>122f</t>
  </si>
  <si>
    <t>122g</t>
  </si>
  <si>
    <t>122h</t>
  </si>
  <si>
    <t>122i</t>
  </si>
  <si>
    <t>122j</t>
  </si>
  <si>
    <t>122k</t>
  </si>
  <si>
    <t>122l</t>
  </si>
  <si>
    <t>122m</t>
  </si>
  <si>
    <t>122n</t>
  </si>
  <si>
    <t>123a</t>
  </si>
  <si>
    <t>123b</t>
  </si>
  <si>
    <t>123c</t>
  </si>
  <si>
    <t>123d</t>
  </si>
  <si>
    <t>123e</t>
  </si>
  <si>
    <t>123f</t>
  </si>
  <si>
    <t>123g</t>
  </si>
  <si>
    <t>123h</t>
  </si>
  <si>
    <t>123i</t>
  </si>
  <si>
    <t>123j</t>
  </si>
  <si>
    <t>123k</t>
  </si>
  <si>
    <t>123l</t>
  </si>
  <si>
    <t>123m</t>
  </si>
  <si>
    <t>123n</t>
  </si>
  <si>
    <t>cm</t>
  </si>
  <si>
    <t>123o</t>
  </si>
  <si>
    <t>122o</t>
  </si>
  <si>
    <t>117o</t>
  </si>
  <si>
    <t>119o</t>
  </si>
  <si>
    <t>120o</t>
  </si>
  <si>
    <t>121o</t>
  </si>
  <si>
    <t>Selection of Baseline Height result (earliest dated result in range aged 18+) with index date and result date in different date formats</t>
  </si>
  <si>
    <t>117p</t>
  </si>
  <si>
    <t>Selection of Baseline Height result UoM (earliest dated result in range aged 18+) with index date and result date in different date formats</t>
  </si>
  <si>
    <t>118o</t>
  </si>
  <si>
    <t>118p</t>
  </si>
  <si>
    <t>119p</t>
  </si>
  <si>
    <t>120p</t>
  </si>
  <si>
    <t>121p</t>
  </si>
  <si>
    <t>122p</t>
  </si>
  <si>
    <t>123p</t>
  </si>
  <si>
    <t>124a</t>
  </si>
  <si>
    <t>124b</t>
  </si>
  <si>
    <t>Selection of Baseline Height result (earliest dated result in range aged 18+) on cusp of aged 18</t>
  </si>
  <si>
    <t>Selection of Baseline Height result UoM (earliest dated result in range aged 18+) on cusp of aged 18</t>
  </si>
  <si>
    <t>125a</t>
  </si>
  <si>
    <t>125b</t>
  </si>
  <si>
    <t>Selection of Baseline Height result (earliest dated result in range aged 18+) both when aged 18</t>
  </si>
  <si>
    <t>Selection of Baseline Height result UoM (earliest dated result in range aged 18+) both when aged 18</t>
  </si>
  <si>
    <t>5b</t>
  </si>
  <si>
    <t>Replacement of Index Date: Patient's Age at Event with 'DoB or Index dates missing or invalid format'</t>
  </si>
  <si>
    <t>DoB or Index dates missing or invalid format</t>
  </si>
  <si>
    <t>Row pass?</t>
  </si>
  <si>
    <t>126a</t>
  </si>
  <si>
    <t>126b</t>
  </si>
  <si>
    <t>126c</t>
  </si>
  <si>
    <t>126d</t>
  </si>
  <si>
    <t>126e</t>
  </si>
  <si>
    <t>126f</t>
  </si>
  <si>
    <t>0 u/mL</t>
  </si>
  <si>
    <t>0 ug/L</t>
  </si>
  <si>
    <t>0.01 u/mL</t>
  </si>
  <si>
    <t>0.01 ug/L</t>
  </si>
  <si>
    <t>u/mL</t>
  </si>
  <si>
    <t>ug/L</t>
  </si>
  <si>
    <t>Selection of earliest CA 19-9 result date</t>
  </si>
  <si>
    <t>0.02 u/mL</t>
  </si>
  <si>
    <t>0.02 ug/L</t>
  </si>
  <si>
    <t>&gt;0.02ug/L</t>
  </si>
  <si>
    <t>127a</t>
  </si>
  <si>
    <t>127b</t>
  </si>
  <si>
    <t>127c</t>
  </si>
  <si>
    <t>127d</t>
  </si>
  <si>
    <t>127e</t>
  </si>
  <si>
    <t>127f</t>
  </si>
  <si>
    <t>128a</t>
  </si>
  <si>
    <t>128b</t>
  </si>
  <si>
    <t>128c</t>
  </si>
  <si>
    <t>128d</t>
  </si>
  <si>
    <t>128e</t>
  </si>
  <si>
    <t>128f</t>
  </si>
  <si>
    <t>&lt;1u/mL</t>
  </si>
  <si>
    <t>&gt;0.01ug/L</t>
  </si>
  <si>
    <t>Selection of earliest CA 19-9 result with date (with comparator symbol and no spacing)</t>
  </si>
  <si>
    <t>Selection of earliest CEA result with date (with comparator symbol and no spacing)</t>
  </si>
  <si>
    <t>Selection of earliest CA 19-9 result UoM (with comparator symbol and no spacing)</t>
  </si>
  <si>
    <t>No porting of CA 19-9 result with date as only date present</t>
  </si>
  <si>
    <t>No porting of CA 19-9 result UoM as only date present</t>
  </si>
  <si>
    <t>No porting of CA 19-9 result date as only date present</t>
  </si>
  <si>
    <t>No porting of CEA result with date as only date present</t>
  </si>
  <si>
    <t>129a</t>
  </si>
  <si>
    <t>129b</t>
  </si>
  <si>
    <t>129c</t>
  </si>
  <si>
    <t>129d</t>
  </si>
  <si>
    <t>129e</t>
  </si>
  <si>
    <t>129f</t>
  </si>
  <si>
    <t>130a</t>
  </si>
  <si>
    <t>130b</t>
  </si>
  <si>
    <t>130c</t>
  </si>
  <si>
    <t>130d</t>
  </si>
  <si>
    <t>130e</t>
  </si>
  <si>
    <t>130f</t>
  </si>
  <si>
    <t>&lt;2u/mL</t>
  </si>
  <si>
    <t>Selection of  earliest CA 19-9 result UoM  (with comparator symbol and all spacing, in abnormal TPP ascending date order)</t>
  </si>
  <si>
    <t>Selection of  earliest CA 19-9 result date  (with comparator symbol and all spacing, in abnormal TPP ascending date order)</t>
  </si>
  <si>
    <t>Selection of earliest CA 19-9 result UoM (in normal TPP descending date order)</t>
  </si>
  <si>
    <t>Selection of earliest CA 19-9 result date (in normal TPP descending date order)</t>
  </si>
  <si>
    <t>Selection of CA 19-9 result with date (result of 0 and UoM present, two results same date)</t>
  </si>
  <si>
    <t>Selection of CA 19-9 result UoM (result of 0 and UoM present, two results same date)</t>
  </si>
  <si>
    <t>Selection of CA 19-9 result date (result of 0 and UoM present, two results same date)</t>
  </si>
  <si>
    <t>Selection of CEA result with date (result of 0 and UoM present, two results same date)</t>
  </si>
  <si>
    <t>&lt; 2</t>
  </si>
  <si>
    <t>&gt; 0.02</t>
  </si>
  <si>
    <t>131a</t>
  </si>
  <si>
    <t>131b</t>
  </si>
  <si>
    <t>Malignant tumour of pancreas</t>
  </si>
  <si>
    <t>B17..</t>
  </si>
  <si>
    <t>723401000006118</t>
  </si>
  <si>
    <t>Correct age calculation for pancreatic cancer result date</t>
  </si>
  <si>
    <t>132a</t>
  </si>
  <si>
    <t>132b</t>
  </si>
  <si>
    <t>133a</t>
  </si>
  <si>
    <t>133b</t>
  </si>
  <si>
    <t>134a</t>
  </si>
  <si>
    <t>134b</t>
  </si>
  <si>
    <t>135a</t>
  </si>
  <si>
    <t>135b</t>
  </si>
  <si>
    <t>Selection of earliest pancreatic cancer result date (in normal TPP descending date order) with verbal description</t>
  </si>
  <si>
    <t>Selection of earliest pancreatic cancer result date (in abnormal TPP ascending date order) with CTV3 code</t>
  </si>
  <si>
    <t>No porting of pancreatic cancer result date as no text present</t>
  </si>
  <si>
    <t>No age calculation for pancreatic cancer result date as no text present</t>
  </si>
  <si>
    <t>5c</t>
  </si>
  <si>
    <t>Selection of Index HbA1c value (with very unlikely decimal)</t>
  </si>
  <si>
    <t>51.5 mmol/mol</t>
  </si>
  <si>
    <t>Selection of Weight 1a result UoM (0-91 days post-index)</t>
  </si>
  <si>
    <t>Selection of Weight 1b result UoM (1-91 days pre-index)</t>
  </si>
  <si>
    <t>Selection of Weight 2a result UoM (274-364 days pre-index)</t>
  </si>
  <si>
    <t>Selection of Weight 2b result UoM (365-455 days pre-index)</t>
  </si>
  <si>
    <t>Selection of Weight 2c result UoM (456-546 days pre-index)</t>
  </si>
  <si>
    <t>Selection of Weight 2d result UoM (92-273 days pre-index)</t>
  </si>
  <si>
    <t>Selection of Weight 2e result UoM (547-3652 days pre-index)</t>
  </si>
  <si>
    <t>Selection of Height 1a result UoM (0-91 days post-index)</t>
  </si>
  <si>
    <t>Selection of Height 1b result UoM (1-91 days pre-index)</t>
  </si>
  <si>
    <t>Selection of Height 2a result UoM (274-364 days pre-index)</t>
  </si>
  <si>
    <t>Selection of Height 2b result UoM (365-455 days pre-index)</t>
  </si>
  <si>
    <t>Selection of Height 2c result UoM (456-546 days pre-index)</t>
  </si>
  <si>
    <t>Selection of Height 2d result UoM (92-273 days pre-index)</t>
  </si>
  <si>
    <t>Selection of Height 2e result UoM (547-3652 days pre-index)</t>
  </si>
  <si>
    <t>Selection of earliest pancreatic cancer result date</t>
  </si>
  <si>
    <t>Selection of CA 19-9 result with date</t>
  </si>
  <si>
    <t>Selection of CA 19-9 result UoM</t>
  </si>
  <si>
    <t>Selection of CA 19-9 result date</t>
  </si>
  <si>
    <t>Selection of CEA result with date</t>
  </si>
  <si>
    <t>Z9876543210</t>
  </si>
  <si>
    <t>Selection of Index HbA1c date (earliest result in the defined 3-year period at 48 mmol/mol or greater) in abnormal TPP ascending date order</t>
  </si>
  <si>
    <t>Selection of Index HbA1c date (earliest result in the defined 3-year period at 48 mmol/mol or greater) in normal TPP descending date order</t>
  </si>
  <si>
    <t>4e</t>
  </si>
  <si>
    <t>No porting of HbA1c 2 etc. results as all occurred after index</t>
  </si>
  <si>
    <t>HbA1c (2a): Value - HbA1c (2e): Date</t>
  </si>
  <si>
    <t>Replacement of Organisation Code with 'No valid Index HbA1c &gt;= 48 in date window' as all HbA1cs present fail to meet inclusion criteria</t>
  </si>
  <si>
    <t>Replacement of Organisation Code with 'No valid Index HbA1c &gt;= 48 in date window' as single HbA1c meets threshold but outside date range</t>
  </si>
  <si>
    <t>Removal of Gender as no HbA1c meeting inclusion criteria</t>
  </si>
  <si>
    <t xml:space="preserve">Replacement of Organisation Code with 'No valid Index HbA1c &gt;= 48 in date window' as single HbA1c is in date range but below threshold </t>
  </si>
  <si>
    <t>2.09 u/mL</t>
  </si>
  <si>
    <t>1.09 u/mL</t>
  </si>
  <si>
    <t>100.09 ug/L</t>
  </si>
  <si>
    <t>200.09 ug/L</t>
  </si>
  <si>
    <t>723401000006118 Malignant tumour of pancreas</t>
  </si>
  <si>
    <t>B17.. Malignant tumour of pancreas</t>
  </si>
  <si>
    <t>No porting of pancreatic cancer result date as no date present</t>
  </si>
  <si>
    <t>No age calculation for pancreatic cancer result date as no date present</t>
  </si>
  <si>
    <t>Malignant tumour of pancreas (B17..)</t>
  </si>
  <si>
    <t>Selection of pancreatic cancer result with date (three results same day)</t>
  </si>
  <si>
    <t>Selection of  earliest CA 19-9 result with date (with comparator symbol and all spacing, in abnormal TPP ascending date order) with decimal ,</t>
  </si>
  <si>
    <t>Selection of  earliest CEA result with date (with comparator symbol and all spacing, in abnormal TPP ascending date order) with decimal ,</t>
  </si>
  <si>
    <t>Selection of earliest CA 19-9 result with date (in normal TPP descending date order) with decimal (.)</t>
  </si>
  <si>
    <t>Selection of earliest CEA result with date (in normal TPP descending date order) with decimal (.)</t>
  </si>
  <si>
    <t>&gt; 0,01</t>
  </si>
  <si>
    <t>&gt; 0,01 ug/L</t>
  </si>
  <si>
    <t>&gt; 0,02 ug/L</t>
  </si>
  <si>
    <t>&lt; 1,0 u/mL</t>
  </si>
  <si>
    <t>&lt; 2,0 u/mL</t>
  </si>
  <si>
    <t>&lt; 1,0</t>
  </si>
  <si>
    <t>&lt; 1,71m</t>
  </si>
  <si>
    <t>&lt; 1,70m</t>
  </si>
  <si>
    <t>&lt; 100,5Kg</t>
  </si>
  <si>
    <t>&lt; 101,5lb</t>
  </si>
  <si>
    <t>&lt; 100,5</t>
  </si>
  <si>
    <t>&lt; 1,70</t>
  </si>
  <si>
    <t>&lt; 20,1 Kg/m²</t>
  </si>
  <si>
    <t>&lt; 21,2 Kg/m²</t>
  </si>
  <si>
    <t>&lt; 20,1</t>
  </si>
  <si>
    <t>Retention of Organisation ID as Organisation Code in letter and number format</t>
  </si>
  <si>
    <t>Retention of Organisation ID as Organisation Code in number and letter format</t>
  </si>
  <si>
    <t>Retention of Organisation ID as Organisation Code with multiple words with dash and full stop</t>
  </si>
  <si>
    <t>Selection of CEA result UoM</t>
  </si>
  <si>
    <t>Selection of CEA result date</t>
  </si>
  <si>
    <t>No porting of CEA result date as only date present</t>
  </si>
  <si>
    <t>No porting of CEA result UoM as only date present</t>
  </si>
  <si>
    <t>Selection of CEA result UoM (result of 0 and UoM present, two results same date)</t>
  </si>
  <si>
    <t>Selection of CEA result date (result of 0 and UoM present, two results same date)</t>
  </si>
  <si>
    <t>Selection of earliest CEA result date (with comparator symbol and all spacing, in abnormal TPP ascending date order)</t>
  </si>
  <si>
    <t>Selection of  earliest CEA result UoM (with comparator symbol and all spacing, in abnormal TPP ascending date order)</t>
  </si>
  <si>
    <t>Selection of earliest CEA result date</t>
  </si>
  <si>
    <t>Selection of earliest CEA result UoM (with comparator symbol and no spacing)</t>
  </si>
  <si>
    <t>Selection of earliest CEA result UoM (in normal TPP descending date order)</t>
  </si>
  <si>
    <t>Selection of earliest CEA result date (in normal TPP descending date order)</t>
  </si>
  <si>
    <t>Present</t>
  </si>
  <si>
    <t>70-74</t>
  </si>
  <si>
    <t>100-104</t>
  </si>
  <si>
    <t>Valid</t>
  </si>
  <si>
    <t>Valid 6-9</t>
  </si>
  <si>
    <t>Valid 18-24</t>
  </si>
  <si>
    <t>Equidistant</t>
  </si>
  <si>
    <t>Valid 3-6</t>
  </si>
  <si>
    <t>Valid 24-10yr</t>
  </si>
  <si>
    <t>Closer</t>
  </si>
  <si>
    <t>Further</t>
  </si>
  <si>
    <t>Before index</t>
  </si>
  <si>
    <t>On index</t>
  </si>
  <si>
    <t>60-64</t>
  </si>
  <si>
    <t>After index</t>
  </si>
  <si>
    <t xml:space="preserve"> </t>
  </si>
  <si>
    <t>Removal of HbA1c 2b result on the date cusp of 2a (455 days pre-index) and 2b (456 days pre-index)</t>
  </si>
  <si>
    <t>Evaluation of HbA1c 2b date on the date cusp of 2a (455 days pre-index) and 2b (456 days pre-index) as 'Valid'</t>
  </si>
  <si>
    <t>Evaluation of HbA1c 2c date on the date cusp of 2a (274 days pre-index) and 2c (273 days pre-index) as 'Valid'</t>
  </si>
  <si>
    <t>Evaluation of HbA1c 2a date on the date cusp of 2a (455 days pre-index) and 2b (456 days pre-index) as 'Valid'</t>
  </si>
  <si>
    <t>Removal of HbA1c 2c result on the date cusp of 2a (274 days pre-index) and 2c (273 days pre-index)</t>
  </si>
  <si>
    <t>Evaluation of HbA1c 2a date on the date cusp of 2a (274 days pre-index) and 2c (273 days pre-index) as 'Valid'</t>
  </si>
  <si>
    <t>Removal of HbA1c 2d result on the date cusp of 2c (183 days pre-index) and 2d (182 days pre-index)</t>
  </si>
  <si>
    <t>Evaluation of HbA1c 2d date on the date cusp of 2c (183 days pre-index) and 2d (182 days pre-index) as 'Valid'</t>
  </si>
  <si>
    <t>Evaluation of HbA1c 2c date on the date cusp of 2c (183 days pre-index) and 2d (182 days pre-index) as 'Valid'</t>
  </si>
  <si>
    <t>Evaluation of HbA1c 2b date on the date cusp of 2b (546 days pre-index) and 2e (547 days pre-index) as 'Valid'</t>
  </si>
  <si>
    <t>Evaluation of HbA1c 2e date on the date cusp of 2b (546 days pre-index) and 2e (547 days pre-index) as 'Valid'</t>
  </si>
  <si>
    <t>Removal of HbA1c 2e result on the date cusp of 2b (546 days pre-index) and 2e (547 days pre-index)</t>
  </si>
  <si>
    <t>Evaluation of HbA1c 2d date on the date cusp of 2d (92 days pre-index) and excluded (91 days pre-index) as 'Valid'</t>
  </si>
  <si>
    <t>Removal of HbA1c 2e result on the date cusp of 2e (728 days pre-index) and excluded (729 days pre-index)</t>
  </si>
  <si>
    <t>Evaluation of HbA1c 2e date on the date cusp of 2e (728 days pre-index) and excluded (729 days pre-index) as 'Valid'</t>
  </si>
  <si>
    <t>Evaluation of HbA1c 2a date (274-455 days pre-index) as 'Valid'</t>
  </si>
  <si>
    <t>Evaluation of HbA1c 2b date (456-546 days pre-index) as 'Valid'</t>
  </si>
  <si>
    <t>Evaluation of HbA1c 2c date (183-273 days pre-index) as 'Valid'</t>
  </si>
  <si>
    <t>Evaluation of HbA1c 2d date (92-182 days pre-index) as 'Valid'</t>
  </si>
  <si>
    <t>Evaluation of HbA1c 2e date (547-728 days pre-index) as 'Valid'</t>
  </si>
  <si>
    <t>Removal of HbA1c 2e result (547-728 days pre-index)</t>
  </si>
  <si>
    <t>Removal of HbA1c 2d result (92-182 days pre-index)</t>
  </si>
  <si>
    <t>Removal of HbA1c 2c result (183-273 days pre-index)</t>
  </si>
  <si>
    <t>Removal of HbA1c 2b result (456-546 days pre-index)</t>
  </si>
  <si>
    <t>Retention of blank HbA1c 2a result (274-455 days pre-index)</t>
  </si>
  <si>
    <t>Retention of blank HbA1c 2c result (183-273 days pre-index)</t>
  </si>
  <si>
    <t>Retention of blank HbA1c 2c date (183-273 days pre-index)</t>
  </si>
  <si>
    <t>Retention of blank HbA1c 2d result (92-182 days pre-index)</t>
  </si>
  <si>
    <t>Retention of blank HbA1c 2d date (92-182 days pre-index)</t>
  </si>
  <si>
    <t>Retention of blank HbA1c 2e result (547-728 days pre-index)</t>
  </si>
  <si>
    <t>Retention of blank HbA1c 2e date (547-728 days pre-index)</t>
  </si>
  <si>
    <t>Retention of blank HbA1c 2a date (274-455 days pre-index)</t>
  </si>
  <si>
    <t>Retention of blank  HbA1c 2b result (456-546 days pre-index)</t>
  </si>
  <si>
    <t>Retention of blank  HbA1c 2b date (456-546 days pre-index)</t>
  </si>
  <si>
    <t>Retention of blank HbA1c 2b result (456-546 days pre-index)</t>
  </si>
  <si>
    <t>Retention of blank HbA1c 2b date (456-546 days pre-index)</t>
  </si>
  <si>
    <t>Retention of HbA1c 2a result on the date cusp of 2a (455 days pre-index)</t>
  </si>
  <si>
    <t>Retention of HbA1c 2a result on the date cusp of 2a (274 days pre-index) and 2c (273 days pre-index)</t>
  </si>
  <si>
    <t>Retention of HbA1c 2c result on the date cusp of 2c (183 days pre-index) and 2d (182 days pre-index)</t>
  </si>
  <si>
    <t>Retention of HbA1c 2b result on the date cusp of 2b (546 days pre-index) and 2e (547 days pre-index)</t>
  </si>
  <si>
    <t>Retention of HbA1c 2d result on the date cusp of 2d (92 days pre-index) and excluded (91 days pre-index)</t>
  </si>
  <si>
    <t>Retention of HbA1c result at the start of the 2a (274-455 days pre-index) time period</t>
  </si>
  <si>
    <t>Retention of HbA1c result at the start of the 2b (456-546 days pre-index) time period</t>
  </si>
  <si>
    <t>Retention of HbA1c result at the start of the 2c (183-273 days pre-index) time period</t>
  </si>
  <si>
    <t>Retention of HbA1c result at the start of the 2d (92-182 days pre-index) time period</t>
  </si>
  <si>
    <t>Retention of HbA1c result at the start of the 2e (547-728 days pre-index) time period</t>
  </si>
  <si>
    <t>Retention of HbA1c result at the end of the 2a (274-455 days pre-index) time period</t>
  </si>
  <si>
    <t>Retention of HbA1c result at the end of the 2b (456-546 days pre-index) time period</t>
  </si>
  <si>
    <t>Retention of HbA1c result at the end of the 2c (183-273 days pre-index) time period</t>
  </si>
  <si>
    <t>Retention of HbA1c result at the end of the 2d (92-182 days pre-index) time period</t>
  </si>
  <si>
    <t>Retention of HbA1c result at the end of the 2e (547-728 days pre-index) time period</t>
  </si>
  <si>
    <t>Evaluation of date of HbA1c result in the 2a (274-455 days pre-index) time period as 'Valid'</t>
  </si>
  <si>
    <t>Evaluation of date of HbA1c result in the 2b (456-546 days pre-index) time period as 'Valid'</t>
  </si>
  <si>
    <t>Evaluation of date of HbA1c result in the 2c (183-273 days pre-index) time period as 'Valid'</t>
  </si>
  <si>
    <t>Evaluation of date of HbA1c result in the 2d (92-182 days pre-index) time period as 'Valid'</t>
  </si>
  <si>
    <t>Evaluation of date of HbA1c result in the 2e (547-728 days pre-index) time period as 'Valid'</t>
  </si>
  <si>
    <t>Retention of Weight result at the start of the 1a (0-91 days post-index) time period</t>
  </si>
  <si>
    <t>Retention of Weight result UoM at the start of the 1a (0-91 days post-index) time period</t>
  </si>
  <si>
    <t>Evaluation of Weight result date at the start of the 1a (0-91 days post-index) time period as 'Valid'</t>
  </si>
  <si>
    <t>Retention of Weight result at the start of the 1b (1-91 days pre-index) time period</t>
  </si>
  <si>
    <t>Retention of Weight result UoM (missing) at the start of the 1b (1-91 days pre-index) time period</t>
  </si>
  <si>
    <t>Evaluation of Weight result date at the start of the 1b (1-91 days pre-index) time period as 'Valid'</t>
  </si>
  <si>
    <t>Retentio of Weight result UoM at the start of the 1b (1-91 days pre-index) time period</t>
  </si>
  <si>
    <t>Retention of Weight result at the start of the 2a (274-364 days pre-index) time period</t>
  </si>
  <si>
    <t>Evaluation of Weight result date at the start of the 2a (274-364 days pre-index) time period as 'Valid'</t>
  </si>
  <si>
    <t>Retention of Weight result at the start of the 2b (365-455 days pre-index) time period</t>
  </si>
  <si>
    <t>Evaluation of Weight result date at the start of the 2b (365-455 days pre-index) time period as 'Valid'</t>
  </si>
  <si>
    <t>Retention of Weight result at the start of the 2c (456-546 days pre-index) time period</t>
  </si>
  <si>
    <t>Evaluation of Weight result date at the start of the 2c (456-546 days pre-index) time period as 'Valid'</t>
  </si>
  <si>
    <t>Retention of Weight result at the start of the 2d (92-273 days pre-index) time period</t>
  </si>
  <si>
    <t>Evaluation of Weight result date at the start of the 2d (92-273 days pre-index) time period as 'Valid 6-9'</t>
  </si>
  <si>
    <t>Retention of Weight result at the start of the 2e (547-3652 days pre-index) time period</t>
  </si>
  <si>
    <t>Evaluation of Weight result date at the start of the 2e (547-3652 days pre-index) time period as 'Valid 18-24'</t>
  </si>
  <si>
    <t>Retention of Weight result at the end of the 2a (274-364 days pre-index) time period</t>
  </si>
  <si>
    <t>Evaluation of Weight result date at the end of the 2a (274-364 days pre-index) time period as 'Valid'</t>
  </si>
  <si>
    <t>Removal of Weight result at the end of the 2b (365-455 days pre-index) time period in presence of equidistant 2a</t>
  </si>
  <si>
    <t>Evaluation of Weight result date at the end of the 2b (365-455 days pre-index) time period as 'Equidistant'</t>
  </si>
  <si>
    <t>Retention of Weight result at the end of the 2c (456-546 days pre-index) time period</t>
  </si>
  <si>
    <t>Evaluation of Weight result date at the end of the 2c (456-546 days pre-index) time period as 'Valid'</t>
  </si>
  <si>
    <t>Retention of Weight result at the end of the 2d (92-273 days pre-index) time period</t>
  </si>
  <si>
    <t>Evaluation of Weight date at the end of the 2d (92-273 days pre-index) time period as 'Valid 6-9'</t>
  </si>
  <si>
    <t>Retention of Weight result at the end of the 2e (547-3652 days pre-index) time period</t>
  </si>
  <si>
    <t>Evaluation of Weight result date at the end of the 2e (547-3652 days pre-index) time period as 'Valid 18-24'</t>
  </si>
  <si>
    <t>Evaluation of Weight 2a result date on the date cusp of 2a (364) and 2b (365) as 'Equidistant'</t>
  </si>
  <si>
    <t>Removal of Weight 2b result on the date cusp of 2a (364) and 2b (365) in presence of equidistant 2a</t>
  </si>
  <si>
    <t>Evaluation of Weight 2b result date on the date cusp of 2a (364) and 2b (365) as 'Equidistant'</t>
  </si>
  <si>
    <t>Retention of Weight 2a result on the date cusp of 2a (364) and 2b (365) in presence of equidistant 2b</t>
  </si>
  <si>
    <t>Retention of Weight 2a result on the date cusp of 2a (274) and 2d (273)</t>
  </si>
  <si>
    <t>Removal of Weight 2d result on the date cusp of 2a (274) and 2d (273)</t>
  </si>
  <si>
    <t>Evaluation of Weight 2d date on the date cusp of 2a (274) and 2d (273) as 'Valid 6-9'</t>
  </si>
  <si>
    <t>Evaluation of Weight 2a date on the date cusp of 2a (274) and 2d (273) as 'Valid'</t>
  </si>
  <si>
    <t>Retention of Weight 2b result on the date cusp of 2b (455) and 2c (456)</t>
  </si>
  <si>
    <t>Evaluation of Weight 2b date on the date cusp of 2b (455) and 2c (456) as 'Valid'</t>
  </si>
  <si>
    <t>Removal of Weight 2c result on the date cusp of 2b (455) and 2c (456)</t>
  </si>
  <si>
    <t>Evaluation of Weight 2c date on the date cusp of 2b (455) and 2c (456) as 'Valid'</t>
  </si>
  <si>
    <t>Retention of Weight 2c result on the date cusp of 2c (546) and 2e (547)</t>
  </si>
  <si>
    <t>Evaluation of Weight 2c date on the date cusp of 2c (546) and 2e (547) as 'Valid'</t>
  </si>
  <si>
    <t>Removal of Weight 2e result on the date cusp of 2c (546) and 2e (547)</t>
  </si>
  <si>
    <t>Evaluation of Weight 2e date on the date cusp of 2c (546) and 2e (547) as 'Valid 18-24'</t>
  </si>
  <si>
    <t>Retention of Weight 2d result on the date cusp of 2d (92) and 1b (91)</t>
  </si>
  <si>
    <t>Evaluation of Weight 2d date on the date cusp of 2d (92) and 1b (91) as 'Valid 3-6'</t>
  </si>
  <si>
    <t>Evaluation of Weight 1b date on the date cusp of 2d (92) and 1b (91) as 'Valid'</t>
  </si>
  <si>
    <t>Retention of Weight 2e result on the date cusp of 2e (3652) and excluded (3653)</t>
  </si>
  <si>
    <t>Evaluation of Weight 2e date on the date cusp of 2e (3652) and excluded (3653) as 'Valid 24-10yr'</t>
  </si>
  <si>
    <t>Retention of Weight 1a result on the date cusp of 1a (0-91 days post-index) and 1b (1-91 days pre-index)</t>
  </si>
  <si>
    <t>Evaluation of Weight 1a result date on the date cusp of 1a (0-91 days post-index) and 1b (1-91 days pre-index) as 'Closer'</t>
  </si>
  <si>
    <t>Removal of Weight 1b result on the date cusp of 1a (0-91 days post-index) and 1b (1-91 days pre-index)</t>
  </si>
  <si>
    <t>Evaluation of Weight 1b result date on the date cusp of 1a (0-91 days post-index) and 1b (1-91 days pre-index) as 'Further'</t>
  </si>
  <si>
    <t>Retention of Weight 1a result on the date cusp of 1a (0-91 days post-index) and excluded (92 days post-index)</t>
  </si>
  <si>
    <t>Evaluation of Weight 1a result date on the date cusp of 1a (0-91 days post-index) and excluded (92 days post-index) as 'Valid'</t>
  </si>
  <si>
    <t>Retention of Weight 1a result (0-91 days post-index)</t>
  </si>
  <si>
    <t>Evaluation of Weight 1a result date (0-91 days post-index) as 'Closer'</t>
  </si>
  <si>
    <t>Evaluation of Weight 1b result date (1-91 days pre-index) as 'Further'</t>
  </si>
  <si>
    <t>Removal of Weight 1b result (1-91 days pre-index)</t>
  </si>
  <si>
    <t>Retention of Weight 1b result on the date cusp of 2d (92) and 1b (91)</t>
  </si>
  <si>
    <t>Removal of Weight 2a result (274-364 days pre-index)</t>
  </si>
  <si>
    <t>Evaluation of Weight 2a result date (274-364 days pre-index) as 'Further'</t>
  </si>
  <si>
    <t>Retention of Weight 2b result (365-455 days pre-index)</t>
  </si>
  <si>
    <t>Evaluation of Weight 2b result date (365-455 days pre-index) as 'Closer'</t>
  </si>
  <si>
    <t>Removal of Weight 2c result (456-546 days pre-index)</t>
  </si>
  <si>
    <t>Evaluation of Weight 2c result date (456-546 days pre-index) as 'Valid'</t>
  </si>
  <si>
    <t>Removal of Weight 2d result (92-273 days pre-index)</t>
  </si>
  <si>
    <t>Evaluation of Weight 2d result date (92-273 days pre-index) as 'Valid 3-6'</t>
  </si>
  <si>
    <t>Evaluation of Weight 2e result date (547-3652 days pre-index) as 'Valid 18-24'</t>
  </si>
  <si>
    <t>Removal of Weight 2e result (547-3652 days pre-index)</t>
  </si>
  <si>
    <t>Retention of blank Weight 1a result (0-91 days post-index)</t>
  </si>
  <si>
    <t>Retention of blank Weight 1a result date (0-91 days post-index)</t>
  </si>
  <si>
    <t>Retention of blank Weight 1b result (1-91 days pre-index)</t>
  </si>
  <si>
    <t>Retention of blank Weight 1b result date (1-91 days pre-index)</t>
  </si>
  <si>
    <t>Retention of blank Weight 2a result (274-364 days pre-index)</t>
  </si>
  <si>
    <t>Retention of blank Weight 2a result date (274-364 days pre-index)</t>
  </si>
  <si>
    <t>Retention of blank Weight 2b result (365-455 days pre-index)</t>
  </si>
  <si>
    <t>Retention of blank Weight 2b result date (365-455 days pre-index)</t>
  </si>
  <si>
    <t>Retention of blank Weight 2c result (456-546 days pre-index)</t>
  </si>
  <si>
    <t>Retention of blank Weight 2c result date (456-546 days pre-index)</t>
  </si>
  <si>
    <t>Retention of blank Weight 2d result (92-273 days pre-index)</t>
  </si>
  <si>
    <t>Retention of blank Weight 2d result date (92-273 days pre-index)</t>
  </si>
  <si>
    <t>Retention of blank Weight 2e result (547-3652 days pre-index)</t>
  </si>
  <si>
    <t>Retention of blank Weight 2e result date (547-3652 days pre-index)</t>
  </si>
  <si>
    <t>Retention of Weight 1a result (0-91 days post-index) with original TPP index date and result date in different date formats</t>
  </si>
  <si>
    <t>Evaluation of Weight 1a result date (0-91 days post-index) with original TPP index date and result date in different date formats as 'Closer'</t>
  </si>
  <si>
    <t>Removal of Weight 1b result (1-91 days pre-index) with original TPP index date and result date in different date formats</t>
  </si>
  <si>
    <t>Selection of Weight 2c result (456-546 days pre-index) with original TPP index date and result date in different date formats</t>
  </si>
  <si>
    <t>Evaluation of Weight 1b result date (1-91 days pre-index) with original TPP index date and result date in different date formats as 'Further'</t>
  </si>
  <si>
    <t>Removal of Weight 2a result (274-364 days pre-index) with original TPP index date and result date in different date formats</t>
  </si>
  <si>
    <t>Evaluation of Weight 2a result date (274-364 days pre-index) with original TPP index date and result date in different date formats as 'Further'</t>
  </si>
  <si>
    <t>Retention of Weight 2b result (365-455 days pre-index) with original TPP index date and result date in different date formats</t>
  </si>
  <si>
    <t>Evaluation of Weight 2b result date (365-455 days pre-index) with original TPP index date and result date in different date formats as 'Closer'</t>
  </si>
  <si>
    <t>Removal of Weight 2e result (547-3652 days pre-index) with original TPP index date and result date in different date formats</t>
  </si>
  <si>
    <t>Removal of Weight 2d result (92-273 days pre-index) with original TPP index date and result date in different date formats</t>
  </si>
  <si>
    <t>Evaluation of Weight 2c result date (456-546 days pre-index) with original TPP index date and result date in different date formats as 'Valid'</t>
  </si>
  <si>
    <t>Evaluation of Weight 2d result date (92-273 days pre-index) with original TPP index date and result date in different date formats as 'Valid 3-6'</t>
  </si>
  <si>
    <t>Evaluation of Weight 2e result date (547-3652 days pre-index) with original TPP index date and result date in different date formats as 'Valid 18-24'</t>
  </si>
  <si>
    <t>Removal of Weight 2c result (456-546 days pre-index) with original TPP index date and result date in different date formats</t>
  </si>
  <si>
    <t>Retention of  BMI result at the start of the 1a (0-91 days post-index) time period</t>
  </si>
  <si>
    <t>Evaluation of BMI result date at the start of the 1a (0-91 days post-index) time period as 'Valid'</t>
  </si>
  <si>
    <t>Evaluation of latest (nearest 0 days) BMI result date (abnormal TPP ascending date order) at the start of the 1b (1-91 days pre-index) time period as 'Valid'</t>
  </si>
  <si>
    <t>Removal of BMI result at the end of the 2b (365-455 days pre-index) time period in presence of equidistant 2a</t>
  </si>
  <si>
    <t>Retention of BMI result at the start of the 1b (1-91 days pre-index) time period</t>
  </si>
  <si>
    <t>Evaluation of BMI result date at the start of the 1b (1-91 days pre-index) time period as 'Valid'</t>
  </si>
  <si>
    <t>Retention of latest (nearest 0 days) BMI result (abnormal TPP ascending date order) at the start of the 1b (1-91 days pre-index) time period as</t>
  </si>
  <si>
    <t>Selection of latest (nearest 0 days) BMI result (abnormal TPP ascending date order) at the start of the 1b (1-91 days pre-index) time period as</t>
  </si>
  <si>
    <t>Retention of BMI result at the start of the 2a (274-364 days pre-index) time period</t>
  </si>
  <si>
    <t>Evaluation of BMI result date at the start of the 2a (274-364 days pre-index) time period as 'Valid'</t>
  </si>
  <si>
    <t>Retention of BMI result at the start of the 2b (365-455 days pre-index) time period</t>
  </si>
  <si>
    <t>Evaluation of BMI result date at the start of the 2b (365-455 days pre-index) time period as 'Valid'</t>
  </si>
  <si>
    <t>Retention of BMI result at the start of the 2c (456-546 days pre-index) time period</t>
  </si>
  <si>
    <t>Evaluation of BMI result date at the start of the 2c (456-546 days pre-index) time period as 'Valid'</t>
  </si>
  <si>
    <t>Retention of BMI result at the start of the 2d (92-273 days pre-index) time period</t>
  </si>
  <si>
    <t>Evaluation of BMI result date at the start of the 2d (92-273 days pre-index) time period as 'Valid 6-9'</t>
  </si>
  <si>
    <t>Retention of BMI result at the start of the 2e (547-3652 days pre-index) time period</t>
  </si>
  <si>
    <t>Evaluation of BMI result date at the start of the 2e (547-3652 days pre-index) time period as 'Valid 18-24'</t>
  </si>
  <si>
    <t>Retention of BMI result at the end of the 2a (274-364 days pre-index) time period</t>
  </si>
  <si>
    <t>Evaluation of BMI result date at the end of the 2a (274-364 days pre-index) time period as 'Valid'</t>
  </si>
  <si>
    <t>Evaluation of BMI result date at the end of the 2b (365-455 days pre-index) time period as 'Equidistant'</t>
  </si>
  <si>
    <t>Retention of BMI result at the start of the 1a (0-91 days post-index) time period with comparator</t>
  </si>
  <si>
    <t>Retention of Weight result at the start of the 1b (1-91 days pre-index) time period with comparator</t>
  </si>
  <si>
    <t>Evaluation of BMI result date at the end of the 2e (547-3652 days pre-index) time period as 'Valid 18-24'</t>
  </si>
  <si>
    <t>Retention of BMI result at the end of the 2e (547-3652 days pre-index) time period</t>
  </si>
  <si>
    <t>Retention of BMI result at the end of the 2d (92-273 days pre-index) time period</t>
  </si>
  <si>
    <t>Evaluation of BMI date at the end of the 2d (92-273 days pre-index) time period as 'Valid 6-9'</t>
  </si>
  <si>
    <t>Evaluation of BMI result date at the end of the 2c (456-546 days pre-index) time period as 'Valid'</t>
  </si>
  <si>
    <t>Retention of BMI result at the end of the 2c (456-546 days pre-index) time period</t>
  </si>
  <si>
    <t>Retention of BMI 2a result on the date cusp of 2a (364) and 2b (365)</t>
  </si>
  <si>
    <t>Retention of BMI 2a result on the date cusp of 2a (274) and 2d (273)</t>
  </si>
  <si>
    <t>Retention of BMI 2b result on the date cusp of 2b (455) and 2c (456)</t>
  </si>
  <si>
    <t>Retention of BMI 2c result on the date cusp of 2c (546) and 2e (547)</t>
  </si>
  <si>
    <t>Retention of BMI 2d result on the date cusp of 2d (92) and 1b (91)</t>
  </si>
  <si>
    <t>Retention of BMI 2e result on the date cusp of 2e (3652) and excluded (3653)</t>
  </si>
  <si>
    <t>Retention of BMI 1a result on the date cusp of 1a (0-91 days post-index) and 1b (1-91 days pre-index)</t>
  </si>
  <si>
    <t>Retention of BMI 1a result on the date cusp of 1a (0-91 days post-index) and excluded (92 days post-index)</t>
  </si>
  <si>
    <t>Retention of BMI 1a result (0-91 days post-index)</t>
  </si>
  <si>
    <t>Retention of BMI 2b result (365-455 days pre-index)</t>
  </si>
  <si>
    <t>Removal of BMI 2b result on the date cusp of 2a (364) and 2b (365)</t>
  </si>
  <si>
    <t>Removal of BMI 2d result on the date cusp of 2a (274) and 2d (273)</t>
  </si>
  <si>
    <t>Removal of BMI 2c result on the date cusp of 2b (455) and 2c (456)</t>
  </si>
  <si>
    <t>Removal of BMI 2e result on the date cusp of 2c (546) and 2e (547)</t>
  </si>
  <si>
    <t>Removal of BMI 1b result on the date cusp of 1a (0-91 days post-index) and 1b (1-91 days pre-index)</t>
  </si>
  <si>
    <t>Removal of BMI 1b result (1-91 days pre-index)</t>
  </si>
  <si>
    <t>Removal of BMI 2a result (274-364 days pre-index)</t>
  </si>
  <si>
    <t>Removal of BMI 2c result (456-546 days pre-index)</t>
  </si>
  <si>
    <t>Removal of BMI 2d result (92-273 days pre-index)</t>
  </si>
  <si>
    <t>Removal of BMI 2e result (547-3652 days pre-index)</t>
  </si>
  <si>
    <t>Evaluation of BMI 2a result date on the date cusp of 2a (364) and 2b (365) as 'Equidistant'</t>
  </si>
  <si>
    <t>Evaluation of BMI 2b result date on the date cusp of 2a (364) and 2b (365) as 'Equidistant'</t>
  </si>
  <si>
    <t>Evaluation of BMI 2a date on the date cusp of 2a (274) and 2d (273) as 'Valid'</t>
  </si>
  <si>
    <t>Evaluation of BMI 2b date on the date cusp of 2b (455) and 2c (456) as 'Valid'</t>
  </si>
  <si>
    <t>Evaluation of BMI 2c date on the date cusp of 2b (455) and 2c (456) as 'Valid'</t>
  </si>
  <si>
    <t>Evaluation of BMI 2c date on the date cusp of 2c (546) and 2e (547) as 'Valid'</t>
  </si>
  <si>
    <t>Evaluation of BMI 1b date on the date cusp of 2d (92) and 1b (91) as 'Valid'</t>
  </si>
  <si>
    <t>Evaluation of BMI 2e date on the date cusp of 2e (3652) and excluded (3653) as 'Valid 24-10yr'</t>
  </si>
  <si>
    <t>Evaluation of BMI 2d date on the date cusp of 2a (274) and 2d (273) as 'Valid 6-9'</t>
  </si>
  <si>
    <t>Retention of BMI 1b result on the date cusp of 2d (92) and 1b (91)</t>
  </si>
  <si>
    <t>Evaluation of BMI 2e date on the date cusp of 2c (546) and 2e (547) as 'Valid 18-24'</t>
  </si>
  <si>
    <t>Evaluation of BMI 2d date on the date cusp of 2d (92) and 1b (91) as 'Valid 3-6'</t>
  </si>
  <si>
    <t>Evaluation of BMI 1a result date on the date cusp of 1a (0-91 days post-index) and 1b (1-91 days pre-index) as 'Closer'</t>
  </si>
  <si>
    <t>Evaluation of BMI 1b result date on the date cusp of 1a (0-91 days post-index) and 1b (1-91 days pre-index) as 'Further'</t>
  </si>
  <si>
    <t>Evaluation of BMI 1a result date on the date cusp of 1a (0-91 days post-index) and excluded (92 days post-index) as 'Valid'</t>
  </si>
  <si>
    <t>Evaluation of BMI 1a result date (0-91 days post-index) as 'Closer'</t>
  </si>
  <si>
    <t>Evaluation of BMI 1b result date (1-91 days pre-index) as 'Further'</t>
  </si>
  <si>
    <t>Evaluation of BMI 2a result date (274-364 days pre-index) as 'Further'</t>
  </si>
  <si>
    <t>Evaluation of BMI 2c result date (456-546 days pre-index) as 'Valid'</t>
  </si>
  <si>
    <t>Evaluation of BMI 2b result date (365-455 days pre-index) as 'Closer'</t>
  </si>
  <si>
    <t>Evaluation of BMI 2d result date (92-273 days pre-index) as 'Valid 3-6'</t>
  </si>
  <si>
    <t>Evaluation of BMI 2e result date (547-3652 days pre-index) as 'Valid 18-24'</t>
  </si>
  <si>
    <t xml:space="preserve">Retention of blank BMI 1a result (0-91 days post-index) </t>
  </si>
  <si>
    <t xml:space="preserve">Retention of blank BMI 1a result date (0-91 days post-index) </t>
  </si>
  <si>
    <t xml:space="preserve">Retention of blank BMI 1b result (1-91 days pre-index) </t>
  </si>
  <si>
    <t xml:space="preserve">Retention of blank BMI 1b result date (1-91 days pre-index) </t>
  </si>
  <si>
    <t xml:space="preserve">Retention of blank BMI 2a result (274-364 days pre-index) </t>
  </si>
  <si>
    <t xml:space="preserve">Retention of blank BMI 2a result date (274-364 days pre-index) </t>
  </si>
  <si>
    <t xml:space="preserve">Retention of blank BMI 2b result (365-455 days pre-index) </t>
  </si>
  <si>
    <t xml:space="preserve">Retention of blank BMI 2b result date (365-455 days pre-index) </t>
  </si>
  <si>
    <t xml:space="preserve">Retention of blank BMI 2c result (456-546 days pre-index) </t>
  </si>
  <si>
    <t xml:space="preserve">Retention of blank BMI 2c result date (456-546 days pre-index) </t>
  </si>
  <si>
    <t xml:space="preserve">Retention of blank BMI 2d result (92-273 days pre-index) </t>
  </si>
  <si>
    <t xml:space="preserve">Retention of blank BMI 2d result date (92-273 days pre-index) </t>
  </si>
  <si>
    <t>Retention of blank BMI 2e result (547-3652 days pre-index)</t>
  </si>
  <si>
    <t>Retention of blank BMI 2e result date (547-3652 days pre-index)</t>
  </si>
  <si>
    <t xml:space="preserve">Retention of blank BMI 2e result (547-3652 days pre-index) </t>
  </si>
  <si>
    <t xml:space="preserve">Retention of blank BMI 2e result date (547-3652 days pre-index) </t>
  </si>
  <si>
    <t>Retention of Height 2a result on the date cusp of 2a (364) and 2b (365)</t>
  </si>
  <si>
    <t>Retention of Height 2a result on the date cusp of 2a (274) and 2d (273)</t>
  </si>
  <si>
    <t>Retention of Height 2b result on the date cusp of 2b (455) and 2c (456)</t>
  </si>
  <si>
    <t>Retention of Height 2c result on the date cusp of 2c (546) and 2e (547)</t>
  </si>
  <si>
    <t>Retention of Height 2d result on the date cusp of 2d (92) and 1b (91)</t>
  </si>
  <si>
    <t>Retention of Height 1b result on the date cusp of 2d (92) and 1b (91)</t>
  </si>
  <si>
    <t>Retention of Height 2e result on the date cusp of 2e (3652) and excluded (3653)</t>
  </si>
  <si>
    <t>Retention of Height 1a result on the date cusp of 1a (0-91 days post-index) and 1b (1-91 days pre-index)</t>
  </si>
  <si>
    <t>Retention of Height 1a result on the date cusp of 1a (0-91 days post-index) and excluded (92 days post-index)</t>
  </si>
  <si>
    <t>Retention of Height 1a result (0-91 days post-index)</t>
  </si>
  <si>
    <t>Retention of Height 2b result (365-455 days pre-index)</t>
  </si>
  <si>
    <t>Removal of Height 2d result on the date cusp of 2a (274) and 2d (273)</t>
  </si>
  <si>
    <t>Removal of Height 2c result on the date cusp of 2b (455) and 2c (456)</t>
  </si>
  <si>
    <t>Removal of Height 2e result on the date cusp of 2c (546) and 2e (547)</t>
  </si>
  <si>
    <t>Removal of Height 1b result on the date cusp of 1a (0-91 days post-index) and 1b (1-91 days pre-index)</t>
  </si>
  <si>
    <t>Removal of Height 2a result (274-364 days pre-index)</t>
  </si>
  <si>
    <t>Removal of Height 2c result (456-546 days pre-index)</t>
  </si>
  <si>
    <t>Removal of Height 2d result (92-273 days pre-index)</t>
  </si>
  <si>
    <t>Removal of Height 2e result (547-3652 days pre-index)</t>
  </si>
  <si>
    <t>Evaluation of Height 1a result date on the date cusp of 1a (0-91 days post-index) and 1b (1-91 days pre-index) as 'Closer'</t>
  </si>
  <si>
    <t>Evaluation of Height 1a result date (0-91 days post-index) as 'Closer'</t>
  </si>
  <si>
    <t>Evaluation of Height 2b result date (365-455 days pre-index) as 'Closer'</t>
  </si>
  <si>
    <t>Evaluation of Height 1b result date on the date cusp of 1a (0-91 days post-index) and 1b (1-91 days pre-index) 'Further'</t>
  </si>
  <si>
    <t>Evaluation of Height 1b result date (1-91 days pre-index) as 'Further'</t>
  </si>
  <si>
    <t>Evaluation of Height 2a result date (274-364 days pre-index) as 'Further'</t>
  </si>
  <si>
    <t>Evaluation of Height 2d date on the date cusp of 2d (92) and 1b (91) as 'Valid 3-6'</t>
  </si>
  <si>
    <t>Evaluation of Height 2d result date (92-273 days pre-index) as 'Valid 3-6'</t>
  </si>
  <si>
    <t>Evaluation of Height 2c result date (456-546 days pre-index) as 'Valid'</t>
  </si>
  <si>
    <t>Evaluation of Height 1a result date on the date cusp of 1a (0-91 days post-index) and excluded (92 days post-index) as 'Valid'</t>
  </si>
  <si>
    <t>Evaluation of Height 1b date on the date cusp of 2d (92) and 1b (91) as 'Valid'</t>
  </si>
  <si>
    <t>Evaluation of Height 2c date on the date cusp of 2c (546) and 2e (547) as 'Valid'</t>
  </si>
  <si>
    <t>Evaluation of Height 2c date on the date cusp of 2b (455) and 2c (456) as 'Valid'</t>
  </si>
  <si>
    <t>Evaluation of Height 2b date on the date cusp of 2b (455) and 2c (456) as 'Valid'</t>
  </si>
  <si>
    <t>Evaluation of Height 2a date on the date cusp of 2a (274) and 2d (273) as 'Valid'</t>
  </si>
  <si>
    <t>Evaluation of Height 2e date on the date cusp of 2c (546) and 2e (547) as 'Valid 18-24'</t>
  </si>
  <si>
    <t>Evaluation of Height 2e result date (547-3652 days pre-index) as 'Valid 18-24'</t>
  </si>
  <si>
    <t>Retention of Baseline Height result (earliest dated result in range aged 18+) on cusp of aged 18</t>
  </si>
  <si>
    <t>Retention of Baseline Height result UoM (earliest dated result in range aged 18+) on cusp of aged 18</t>
  </si>
  <si>
    <t>Evaluation of Height 2e date on the date cusp of 2e (3652) and excluded (3653) as 'Valid 24-10yr'</t>
  </si>
  <si>
    <t>Retention of BMI 1a result (0-91 days post-index) with orginal TPP index date and result date in different date formats</t>
  </si>
  <si>
    <t>Evaluation of BMI 1a result date (0-91 days post-index) with orginal TPP index date and result date in different date formats as 'Closer'</t>
  </si>
  <si>
    <t>Removal of BMI 1b result (1-91 days pre-index) with orginal TPP index date and result date in different date formats</t>
  </si>
  <si>
    <t>Evaluation of BMI 1b result date (1-91 days pre-index) with orginal TPP index date and result date in different date formats</t>
  </si>
  <si>
    <t>Removal of BMI 2a result (274-364 days pre-index) with orginal TPP index date and result date in different date formats</t>
  </si>
  <si>
    <t>Evaluation of BMI 2a result date (274-364 days pre-index) with orginal TPP index date and result date in different date formats</t>
  </si>
  <si>
    <t>Retention of BMI 2b result (365-455 days pre-index) with orginal TPP index date and result date in different date formats</t>
  </si>
  <si>
    <t>Evaluation of BMI 2b result date (365-455 days pre-index) with orginal TPP index date and result date in different date formats as 'Closer'</t>
  </si>
  <si>
    <t>Removal of BMI 2c result (456-546 days pre-index) with orginal TPP index date and result date in different date formats</t>
  </si>
  <si>
    <t>Evaluation of BMI 2c result date (456-546 days pre-index) with orginal TPP index date and result date in different date formats as 'Valid'</t>
  </si>
  <si>
    <t>Removal of BMI 2d result (92-273 days pre-index) with orginal TPP index date and result date in different date formats</t>
  </si>
  <si>
    <t>Evaluation of BMI 2d result date (92-273 days pre-index) with orginal TPP index date and result date in different date formats as 'Valid 3-6'</t>
  </si>
  <si>
    <t>Removal of BMI 2e result (547-3652 days pre-index) with orginal TPP index date and result date in different date formats</t>
  </si>
  <si>
    <t>Evaluation of BMI 2e result date (547-3652 days pre-index) with orginal TPP index date and result date in different date formats as 'Valid 18-24'</t>
  </si>
  <si>
    <t>Evaluation of BMI 1b result date (1-91 days pre-index) with orginal TPP index date and result date in different date formats as 'Further'</t>
  </si>
  <si>
    <t>Evaluation of BMI 2a result date (274-364 days pre-index) with orginal TPP index date and result date in different date formats as 'Further'</t>
  </si>
  <si>
    <t>Evaluation of Height 2a result date on the date cusp of 2a (364) and 2b (365) as 'Equidistant'</t>
  </si>
  <si>
    <t>Evaluation of Height 2b result date on the date cusp of 2a (364) and 2b (365) as 'Equidistant'</t>
  </si>
  <si>
    <t>Evaluation of Height 2d date on the date cusp of 2a (274) and 2d (273) as 'Valid 6-9'</t>
  </si>
  <si>
    <t>Removal of Height 2b result on the date cusp of 2a (364) and 2b (365) in presence of equidistant 2a</t>
  </si>
  <si>
    <t>Retention of Height result at the start of the 1a (0-91 days post-index) time period</t>
  </si>
  <si>
    <t>Retention of Height result UoM at the start of the 1a (0-91 days post-index) time period</t>
  </si>
  <si>
    <t>Evaluation of Height result date at the start of the 1a (0-91 days post-index) time period</t>
  </si>
  <si>
    <t>Evaluation of Height result date at the start of the 1a (0-91 days post-index) time period as 'Valid'</t>
  </si>
  <si>
    <t>Retention of Height result at the start of the 1b (1-91 days pre-index) time period</t>
  </si>
  <si>
    <t>Retention of blank Height result UoM at the start of the 1b (1-91 days pre-index) time period</t>
  </si>
  <si>
    <t>Evaluation of Height result date at the start of the 1b (1-91 days pre-index) time period as 'Valid'</t>
  </si>
  <si>
    <t>Retention of Height result UoM at the start of the 1b (1-91 days pre-index) time period</t>
  </si>
  <si>
    <t>Removal of Height 1b result (1-91 days pre-index)</t>
  </si>
  <si>
    <t>Retention of blank Height 1a result (0-91 days post-index)</t>
  </si>
  <si>
    <t>Retention of blank Height 1a result date (0-91 days post-index)</t>
  </si>
  <si>
    <t>Retention of blank Height 1b result (1-91 days pre-index)</t>
  </si>
  <si>
    <t>Retention of blank Height 1b result date (1-91 days pre-index)</t>
  </si>
  <si>
    <t>Retention of blank Height 2a result (274-364 days pre-index)</t>
  </si>
  <si>
    <t>Retention of blank Height 2a result date (274-364 days pre-index)</t>
  </si>
  <si>
    <t>Retention of blank Height 2b result (365-455 days pre-index)</t>
  </si>
  <si>
    <t>Retention of blank Height 2b result date (365-455 days pre-index)</t>
  </si>
  <si>
    <t>Retention of blank Height 2c result (456-546 days pre-index)</t>
  </si>
  <si>
    <t>Retention of blank Height 2c result date (456-546 days pre-index)</t>
  </si>
  <si>
    <t>Retention of blank Height 2d result (92-273 days pre-index)</t>
  </si>
  <si>
    <t>Retention of blank Height 2d result date (92-273 days pre-index)</t>
  </si>
  <si>
    <t>Retention of blank Height 2e result (547-3652 days pre-index)</t>
  </si>
  <si>
    <t>Retention of blank Height 2e result date (547-3652 days pre-index)</t>
  </si>
  <si>
    <t>Retention of Height 1a result (0-91 days post-index) with original TPP index date and result date in different date formats</t>
  </si>
  <si>
    <t>Evaluation of Height 1a result date (0-91 days post-index) with original TPP index date and result date in different date formats as 'Closer'</t>
  </si>
  <si>
    <t>Removal of Height 1b result (1-91 days pre-index) with original TPP index date and result date in different date formats</t>
  </si>
  <si>
    <t>Evaluation of Height 1b result date (1-91 days pre-index) with original TPP index date and result date in different date formats as 'Further'</t>
  </si>
  <si>
    <t>Removal of Height 2a result (274-364 days pre-index) with original TPP index date and result date in different date formats</t>
  </si>
  <si>
    <t>Evaluation of Height 2a result date (274-364 days pre-index) with original TPP index date and result date in different date formats as 'Further'</t>
  </si>
  <si>
    <t>Retention of Height 2b result (365-455 days pre-index) with original TPP index date and result date in different date formats</t>
  </si>
  <si>
    <t>Evaluation of Height 2b result date (365-455 days pre-index) with original TPP index date and result date in different date formats as 'Closer'</t>
  </si>
  <si>
    <t>Removal of Height 2c result (456-546 days pre-index) with original TPP index date and result date in different date formats</t>
  </si>
  <si>
    <t>Evaluation of Height 2c result date (456-546 days pre-index) with original TPP index date and result date in different date formats as 'Valid'</t>
  </si>
  <si>
    <t>Removal of Height 2d result (92-273 days pre-index) with original TPP index date and result date in different date formats</t>
  </si>
  <si>
    <t>Evaluation of Height 2d result date (92-273 days pre-index) with original TPP index date and result date in different date formats as 'Valid 3-6'</t>
  </si>
  <si>
    <t>Removal of Height 2e result (547-3652 days pre-index) with original TPP index date and result date in different date formats</t>
  </si>
  <si>
    <t>Evaluation of Height 2e result date (547-3652 days pre-index) with original TPP index date and result date in different date formats as 'Valid 18-24'</t>
  </si>
  <si>
    <t>Retention of Baseline Height result (earliest dated result in range aged 18+) with original TPP index date and result date in different date formats</t>
  </si>
  <si>
    <t>Retention of Baseline Height result UoM (earliest dated result in range aged 18+) with original TPP index date and result date in different date formats</t>
  </si>
  <si>
    <t>Retention of Height result at the start of the 2a (274-364 days pre-index) time period</t>
  </si>
  <si>
    <t>Evaluation of Height result date at the start of the 2a (274-364 days pre-index) time period as 'Valid'</t>
  </si>
  <si>
    <t>Retention of Height result at the start of the 2b (365-455 days pre-index) time period</t>
  </si>
  <si>
    <t>Evaluation of Height result date at the start of the 2b (365-455 days pre-index) time period as 'Valid'</t>
  </si>
  <si>
    <t>Retention of Height result at the start of the 2c (456-546 days pre-index) time period</t>
  </si>
  <si>
    <t>Evaluation of Height result date at the start of the 2c (456-546 days pre-index) time period as 'Valid'</t>
  </si>
  <si>
    <t>Retention of Height result at the start of the 2d (92-273 days pre-index) time period</t>
  </si>
  <si>
    <t>Evaluation of Height result date at the start of the 2d (92-273 days pre-index) time period as 'Valid 6-9'</t>
  </si>
  <si>
    <t>Retention of Height result at the start of the 2e (547-3652 days pre-index) time period</t>
  </si>
  <si>
    <t>Evaluation of Height result date at the start of the 2e (547-3652 days pre-index) time period as 'Valid 18-24'</t>
  </si>
  <si>
    <t>Retention of Height result at the end of the 2a (274-364 days pre-index) time period</t>
  </si>
  <si>
    <t>Evaluation of Height result date at the end of the 2a (274-364 days pre-index) time period as 'Valid'</t>
  </si>
  <si>
    <t>Removal of Height result at the end of the 2b (365-455 days pre-index) time period in presence of equidistant 2a</t>
  </si>
  <si>
    <t>Evaluation of Height result date at the end of the 2b (365-455 days pre-index) time period as 'Equidistant'</t>
  </si>
  <si>
    <t>Retention of Height result at the end of the 2c (456-546 days pre-index) time period</t>
  </si>
  <si>
    <t>Evaluation of Height result date at the end of the 2c (456-546 days pre-index) time period as 'Valid'</t>
  </si>
  <si>
    <t>Retention of Height result at the end of the 2d (92-273 days pre-index) time period</t>
  </si>
  <si>
    <t>Evaluation of Height date at the end of the 2d (92-273 days pre-index) time period as 'Valid 6-9'</t>
  </si>
  <si>
    <t>Retention of Height result at the end of the 2e (547-3652 days pre-index) time period</t>
  </si>
  <si>
    <t>Evaluation of Height result date at the end of the 2e (547-3652 days pre-index) time period as 'Valid 18-24'</t>
  </si>
  <si>
    <t>Retention of Baseline Height result with original TPP index date and result date in different date formats</t>
  </si>
  <si>
    <t>Retention of Baseline Height result UoM with original TPP index date and result date in different date formats</t>
  </si>
  <si>
    <t>Retention of Baseline Height result (earliest dated result in range aged 18+)</t>
  </si>
  <si>
    <t>Retention of Baseline Height result UoM (earliest dated result in range aged 18+)</t>
  </si>
  <si>
    <t>Retention of  CA 19-9 result decimal (.)</t>
  </si>
  <si>
    <t>Retention of CA 19-9 result UoM</t>
  </si>
  <si>
    <t>Evaluation of CA 19-9 result date as 'Before index'</t>
  </si>
  <si>
    <t>Retention of CEA result with decimal (.)</t>
  </si>
  <si>
    <t>Retention of CEA result UoM</t>
  </si>
  <si>
    <t>Evaluation of CEA result date as 'Before index'</t>
  </si>
  <si>
    <t>Retention of CA 19-9 result (with comparator symbol and no spacing)</t>
  </si>
  <si>
    <t>Evaluation of CA 19-9 result date</t>
  </si>
  <si>
    <t>Retention of  earliest CA 19-9 result UoM</t>
  </si>
  <si>
    <t>Retention of CEA result (with comparator symbol and spacing)</t>
  </si>
  <si>
    <t>Retention of CEA result with date (with comparator symbol, spacing and comma decimal)</t>
  </si>
  <si>
    <t>Retention of CA 19-9 result with date (with comparator symbol, spacing, and comma decimal)</t>
  </si>
  <si>
    <t>Evaluation of CA 19-9 result date as 'On index'</t>
  </si>
  <si>
    <t>Evaluation of CEA result date as 'On index'</t>
  </si>
  <si>
    <t>Retention of CEA result with date (result of 0)</t>
  </si>
  <si>
    <t>Retention of CA 19-9 result with date (result of 0)</t>
  </si>
  <si>
    <t>Retention of blank CA 19-9 result</t>
  </si>
  <si>
    <t>Retention of blank CA 19-9 result UoM</t>
  </si>
  <si>
    <t>Retention of blank CA 19-9 result date</t>
  </si>
  <si>
    <t>Retention of blank CEA result</t>
  </si>
  <si>
    <t>Retention of blank CEA result UoM</t>
  </si>
  <si>
    <t>Retention of blank CEA result date</t>
  </si>
  <si>
    <t>Correct age grouping for pancreatic cancer result date</t>
  </si>
  <si>
    <t>Retention of 'DoB or Index dates missing or invalid format'</t>
  </si>
  <si>
    <t>Retention of Index HbA1c value (with very unlikely decimal)</t>
  </si>
  <si>
    <t>Retention of Index HbA1c value</t>
  </si>
  <si>
    <t>Evaluation of Index HbA1c date as 'Present'</t>
  </si>
  <si>
    <t>Retention of blank HbA1c 2 etc. results</t>
  </si>
  <si>
    <t>Retention of blank Gender</t>
  </si>
  <si>
    <t>Retention of 'No valid Index HbA1c &gt;= 48 in date window'</t>
  </si>
  <si>
    <t>Retention of  blank Gender</t>
  </si>
  <si>
    <t>Retention of blan Gender</t>
  </si>
  <si>
    <t>Retention of blank non-Index HbA1c values and dates</t>
  </si>
  <si>
    <t>Retention of blank weight data</t>
  </si>
  <si>
    <t>Retention of blank BMI data</t>
  </si>
  <si>
    <t>Retention of blank height data</t>
  </si>
  <si>
    <t>Retention of blank pancreatic cancer data</t>
  </si>
  <si>
    <t>Retention of blank CA 19-9 data</t>
  </si>
  <si>
    <t>Retention of blank CEA data</t>
  </si>
  <si>
    <t>Evaluation of earliest pancreatic cancer result date as 'Before index'</t>
  </si>
  <si>
    <t>Retention of blank pancreatic cancer result date</t>
  </si>
  <si>
    <t>Retenion of blank pancreatic cancer result date</t>
  </si>
  <si>
    <t>Evaluation of pancreatic cancer result date as 'Before index'</t>
  </si>
  <si>
    <t>Retention of blank pancreatic cancer result date age</t>
  </si>
  <si>
    <t>Retention of blank Anonymised Identifier</t>
  </si>
  <si>
    <t>Retention of HbA1c 2a result (274-455 days pre-index)</t>
  </si>
  <si>
    <t>Retention of CA 19-9 result with date</t>
  </si>
  <si>
    <t>Retention of CEA result with date</t>
  </si>
  <si>
    <t>Correct age grouping at index HbA1c</t>
  </si>
  <si>
    <t>Retention of Height 2e result UoM (547-3652 days pre-index)</t>
  </si>
  <si>
    <t>Retention of Height 2d result UoM (92-273 days pre-index)</t>
  </si>
  <si>
    <t>Retention of Height 2c result UoM (456-546 days pre-index)</t>
  </si>
  <si>
    <t>Retention of Height 2b result UoM (365-455 days pre-index)</t>
  </si>
  <si>
    <t>Retention of Height 2a result UoM (274-364 days pre-index)</t>
  </si>
  <si>
    <t>Retention of Height 1b result UoM (1-91 days pre-index)</t>
  </si>
  <si>
    <t>Retention of Height 1a result UoM (0-91 days post-index)</t>
  </si>
  <si>
    <t>Retention of Weight 2e result UoM (547-3652 days pre-index)</t>
  </si>
  <si>
    <t>Retention of Weight 2d result UoM (92-273 days pre-index)</t>
  </si>
  <si>
    <t>Retention of Weight 2c result UoM (456-546 days pre-index)</t>
  </si>
  <si>
    <t>Retention of Weight 2b result UoM (365-455 days pre-index)</t>
  </si>
  <si>
    <t>Retention of Weight 2a result UoM (274-364 days pre-index)</t>
  </si>
  <si>
    <t>Retention of Weight 1b result UoM (1-91 days pre-index)</t>
  </si>
  <si>
    <t>Retention of Weight 1a result UoM (0-91 days post-index)</t>
  </si>
  <si>
    <t>Evaluation of earliest pancreatic cancer result date as 'After index'</t>
  </si>
  <si>
    <t>Retain header Organisation Code</t>
  </si>
  <si>
    <t>Retain header Anonymised Identifier</t>
  </si>
  <si>
    <t>Retain header Baseline Height: Value</t>
  </si>
  <si>
    <t>Retain header Baseline Height: Unit of Measure</t>
  </si>
  <si>
    <t>Retain header Index Date: Value</t>
  </si>
  <si>
    <t>Retain header Index Date: Date</t>
  </si>
  <si>
    <t>Retain header Index Date: Patient's Age at Event</t>
  </si>
  <si>
    <t>Retain header Gender</t>
  </si>
  <si>
    <t>Retain header HbA1c (2a): Value</t>
  </si>
  <si>
    <t>Retain header HbA1c (2a): Date</t>
  </si>
  <si>
    <t>Retain header HbA1c (2b): Value</t>
  </si>
  <si>
    <t>Retain header HbA1c (2b): Date</t>
  </si>
  <si>
    <t>Retain header HbA1c (2c): Value</t>
  </si>
  <si>
    <t>Retain header HbA1c (2c): Date</t>
  </si>
  <si>
    <t>Retain header HbA1c (2d): Value</t>
  </si>
  <si>
    <t>Retain header HbA1c (2d): Date</t>
  </si>
  <si>
    <t>Retain header HbA1c (2e): Value</t>
  </si>
  <si>
    <t>Retain header HbA1c (2e): Date</t>
  </si>
  <si>
    <t>Retain header Weight (1a): Value</t>
  </si>
  <si>
    <t>Retain header Weight (1a): Unit of Measure</t>
  </si>
  <si>
    <t>Retain header Weight (1a): Date</t>
  </si>
  <si>
    <t>Retain header Weight (1b): Value</t>
  </si>
  <si>
    <t>Retain header Weight (1b): Unit of Measure</t>
  </si>
  <si>
    <t>Retain header Weight (1b): Date</t>
  </si>
  <si>
    <t>Retain header Weight (2a): Value</t>
  </si>
  <si>
    <t>Retain header Weight (2a): Unit of Measure</t>
  </si>
  <si>
    <t>Retain header Weight (2a): Date</t>
  </si>
  <si>
    <t>Retain header Weight (2b): Value</t>
  </si>
  <si>
    <t>Retain header Weight (2b): Unit of Measure</t>
  </si>
  <si>
    <t>Retain header Weight (2b): Date</t>
  </si>
  <si>
    <t>Retain header Weight (2c): Value</t>
  </si>
  <si>
    <t>Retain header Weight (2c): Unit of Measure</t>
  </si>
  <si>
    <t>Retain header Weight (2c): Date</t>
  </si>
  <si>
    <t>Retain header Weight (2d): Value</t>
  </si>
  <si>
    <t>Retain header Weight (2d): Unit of Measure</t>
  </si>
  <si>
    <t>Retain header Weight (2d): Date</t>
  </si>
  <si>
    <t>Retain header Weight (2e): Value</t>
  </si>
  <si>
    <t>Retain header Weight (2e): Unit of Measure</t>
  </si>
  <si>
    <t>Retain header Weight (2e): Date</t>
  </si>
  <si>
    <t>Retain header BMI (1a): Value</t>
  </si>
  <si>
    <t>Retain header BMI (1a): Date</t>
  </si>
  <si>
    <t>Retain header BMI (1b): Value</t>
  </si>
  <si>
    <t>Retain header BMI (1b): Date</t>
  </si>
  <si>
    <t>Retain header BMI (2a): Value</t>
  </si>
  <si>
    <t>Retain header BMI (2a): Date</t>
  </si>
  <si>
    <t>Retain header BMI (2b): Value</t>
  </si>
  <si>
    <t>Retain header BMI (2b): Date</t>
  </si>
  <si>
    <t>Retain header BMI (2c): Value</t>
  </si>
  <si>
    <t>Retain header BMI (2c): Date</t>
  </si>
  <si>
    <t>Retain header BMI (2d): Value</t>
  </si>
  <si>
    <t>Retain header BMI (2d): Date</t>
  </si>
  <si>
    <t>Retain header BMI (2e): Value</t>
  </si>
  <si>
    <t>Retain header BMI (2e): Date</t>
  </si>
  <si>
    <t>Retain header Height (1a): Value</t>
  </si>
  <si>
    <t>Retain header Height (1a): Unit of Measure</t>
  </si>
  <si>
    <t>Retain header Height (1a): Date</t>
  </si>
  <si>
    <t>Retain header Height (1b): Value</t>
  </si>
  <si>
    <t>Retain header Height (1b): Unit of Measure</t>
  </si>
  <si>
    <t>Retain header Height (1b): Date</t>
  </si>
  <si>
    <t>Retain header Height (2a): Value</t>
  </si>
  <si>
    <t>Retain header Height (2a): Unit of Measure</t>
  </si>
  <si>
    <t>Retain header Height (2a): Date</t>
  </si>
  <si>
    <t>Retain header Height (2b): Value</t>
  </si>
  <si>
    <t>Retain header Height (2b): Unit of Measure</t>
  </si>
  <si>
    <t>Retain header Height (2b): Date</t>
  </si>
  <si>
    <t>Retain header Height (2c): Value</t>
  </si>
  <si>
    <t>Retain header Height (2c): Unit of Measure</t>
  </si>
  <si>
    <t>Retain header Height (2c): Date</t>
  </si>
  <si>
    <t>Retain header Height (2d): Value</t>
  </si>
  <si>
    <t>Retain header Height (2d): Unit of Measure</t>
  </si>
  <si>
    <t>Retain header Height (2d): Date</t>
  </si>
  <si>
    <t>Retain header Height (2e): Value</t>
  </si>
  <si>
    <t>Retain header Height (2e): Unit of Measure</t>
  </si>
  <si>
    <t>Retain header Height (2e): Date</t>
  </si>
  <si>
    <t>Retain header Pancreatic cancer diagnosis: Date</t>
  </si>
  <si>
    <t>Retain header Pancreatic cancer diagnosis: Patient's Age at Event</t>
  </si>
  <si>
    <t>Retain header Cancer antigen 19-9 (CA 19-9): Value</t>
  </si>
  <si>
    <t>Retain header Cancer antigen 19-9 (CA 19-9): Unit of Measure</t>
  </si>
  <si>
    <t>Retain header Cancer antigen 19-9 (CA 19-9): Date</t>
  </si>
  <si>
    <t>Retain header Carcinoembryonic antigen (CEA): Value</t>
  </si>
  <si>
    <t>Retain header Carcinoembryonic antigen (CEA): Unit of Measure</t>
  </si>
  <si>
    <t>Retain header Carcinoembryonic antigen (CEA): Date</t>
  </si>
  <si>
    <r>
      <t xml:space="preserve">All passed? </t>
    </r>
    <r>
      <rPr>
        <b/>
        <sz val="11"/>
        <color rgb="FF00B050"/>
        <rFont val="Aptos Narrow"/>
        <family val="2"/>
        <scheme val="minor"/>
      </rPr>
      <t>Green YES</t>
    </r>
    <r>
      <rPr>
        <b/>
        <sz val="11"/>
        <color theme="1"/>
        <rFont val="Aptos Narrow"/>
        <family val="2"/>
        <scheme val="minor"/>
      </rPr>
      <t xml:space="preserve">, </t>
    </r>
    <r>
      <rPr>
        <b/>
        <sz val="11"/>
        <color rgb="FFC00000"/>
        <rFont val="Aptos Narrow"/>
        <family val="2"/>
        <scheme val="minor"/>
      </rPr>
      <t>red NO</t>
    </r>
  </si>
  <si>
    <r>
      <t xml:space="preserve">All passed? </t>
    </r>
    <r>
      <rPr>
        <b/>
        <sz val="11"/>
        <color rgb="FF00B050"/>
        <rFont val="Aptos Narrow"/>
        <family val="2"/>
        <scheme val="minor"/>
      </rPr>
      <t>Green</t>
    </r>
    <r>
      <rPr>
        <b/>
        <sz val="11"/>
        <color theme="1"/>
        <rFont val="Aptos Narrow"/>
        <family val="2"/>
        <scheme val="minor"/>
      </rPr>
      <t xml:space="preserve"> </t>
    </r>
    <r>
      <rPr>
        <b/>
        <sz val="11"/>
        <color rgb="FF00B050"/>
        <rFont val="Aptos Narrow"/>
        <family val="2"/>
        <scheme val="minor"/>
      </rPr>
      <t>YES</t>
    </r>
    <r>
      <rPr>
        <b/>
        <sz val="11"/>
        <color theme="1"/>
        <rFont val="Aptos Narrow"/>
        <family val="2"/>
        <scheme val="minor"/>
      </rPr>
      <t xml:space="preserve">, </t>
    </r>
    <r>
      <rPr>
        <b/>
        <sz val="11"/>
        <color rgb="FFC00000"/>
        <rFont val="Aptos Narrow"/>
        <family val="2"/>
        <scheme val="minor"/>
      </rPr>
      <t>red</t>
    </r>
    <r>
      <rPr>
        <b/>
        <sz val="11"/>
        <color theme="1"/>
        <rFont val="Aptos Narrow"/>
        <family val="2"/>
        <scheme val="minor"/>
      </rPr>
      <t xml:space="preserve"> </t>
    </r>
    <r>
      <rPr>
        <b/>
        <sz val="11"/>
        <color rgb="FFC00000"/>
        <rFont val="Aptos Narrow"/>
        <family val="2"/>
        <scheme val="minor"/>
      </rPr>
      <t>NO</t>
    </r>
  </si>
  <si>
    <t>Please copy and paste your data into this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</si>
</sst>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/mm/yyyy;@"/>
    <numFmt numFmtId="165" formatCode="[$-F800]dddd\,\ mmmm\ dd\,\ yyyy"/>
    <numFmt numFmtId="166" formatCode="dd/mm/yy;@"/>
    <numFmt numFmtId="167" formatCode="d\.m\.yy;@"/>
    <numFmt numFmtId="168" formatCode="yyyy\-mm\-dd;@"/>
    <numFmt numFmtId="169" formatCode="d/m/yy;@"/>
    <numFmt numFmtId="170" formatCode="[$-809]d\ mmmm\ yyyy;@"/>
    <numFmt numFmtId="171" formatCode="0.0"/>
  </numFmts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b/>
      <sz val="11"/>
      <color rgb="FF00B050"/>
      <name val="Aptos Narrow"/>
      <family val="2"/>
      <scheme val="minor"/>
    </font>
    <font>
      <b/>
      <sz val="11"/>
      <color rgb="FFC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5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14" fontId="0" fillId="0" borderId="0" xfId="0" applyNumberFormat="1"/>
    <xf numFmtId="0" fontId="4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1" fontId="0" fillId="0" borderId="0" xfId="0" applyNumberFormat="1"/>
    <xf numFmtId="49" fontId="0" fillId="0" borderId="0" xfId="0" applyNumberFormat="1"/>
    <xf numFmtId="171" fontId="0" fillId="0" borderId="0" xfId="0" applyNumberFormat="1"/>
    <xf numFmtId="0" fontId="3" fillId="2" borderId="1" xfId="0" applyFont="1" applyFill="1" applyBorder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6</xdr:row>
          <xdr:rowOff>114300</xdr:rowOff>
        </xdr:from>
        <xdr:to>
          <xdr:col>4</xdr:col>
          <xdr:colOff>390525</xdr:colOff>
          <xdr:row>12</xdr:row>
          <xdr:rowOff>95250</xdr:rowOff>
        </xdr:to>
        <xdr:sp macro="" textlink="">
          <xdr:nvSpPr>
            <xdr:cNvPr id="1025" name="btnRunTP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1: TRANSFORM TPP DATA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After you have pasted your TPP data into the top left-hand cell (A1), please left click this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14</xdr:row>
          <xdr:rowOff>95250</xdr:rowOff>
        </xdr:from>
        <xdr:to>
          <xdr:col>4</xdr:col>
          <xdr:colOff>390525</xdr:colOff>
          <xdr:row>20</xdr:row>
          <xdr:rowOff>104775</xdr:rowOff>
        </xdr:to>
        <xdr:sp macro="" textlink="">
          <xdr:nvSpPr>
            <xdr:cNvPr id="1026" name="btnRunD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2: PROCESS TRANSFORMED DATA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Once Button 1's processing is complete, please left click this button for the processing and anonymisation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2E865-97F2-4971-8CF1-1657CF5E442C}">
  <sheetPr codeName="Sheet1"/>
  <dimension ref="A1"/>
  <sheetViews>
    <sheetView workbookViewId="0"/>
  </sheetViews>
  <sheetFormatPr defaultColWidth="11.28515625" defaultRowHeight="15" x14ac:dyDescent="0.25"/>
  <cols>
    <col min="1" max="1" width="41.7109375" customWidth="1"/>
    <col min="2" max="82" width="10.42578125" customWidth="1"/>
  </cols>
  <sheetData>
    <row r="1" spans="1:1" ht="15.75" thickBot="1" x14ac:dyDescent="0.3">
      <c r="A1" s="16" t="s">
        <v>2184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unTPP">
              <controlPr defaultSize="0" print="0" autoFill="0" autoPict="0" macro="[0]!A_TransformTPPtoEMIS">
                <anchor>
                  <from>
                    <xdr:col>1</xdr:col>
                    <xdr:colOff>161925</xdr:colOff>
                    <xdr:row>6</xdr:row>
                    <xdr:rowOff>114300</xdr:rowOff>
                  </from>
                  <to>
                    <xdr:col>4</xdr:col>
                    <xdr:colOff>390525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RunDP">
              <controlPr defaultSize="0" print="0" disabled="1" autoFill="0" autoPict="0" macro="[0]!AA_RunThisForDEFENDPRIME">
                <anchor>
                  <from>
                    <xdr:col>1</xdr:col>
                    <xdr:colOff>152400</xdr:colOff>
                    <xdr:row>14</xdr:row>
                    <xdr:rowOff>95250</xdr:rowOff>
                  </from>
                  <to>
                    <xdr:col>4</xdr:col>
                    <xdr:colOff>390525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1D170-46FA-4789-B56D-AE0A4B0F8462}">
  <sheetPr codeName="Sheet2"/>
  <dimension ref="A1:CK136"/>
  <sheetViews>
    <sheetView tabSelected="1" workbookViewId="0"/>
  </sheetViews>
  <sheetFormatPr defaultColWidth="11.28515625" defaultRowHeight="15" x14ac:dyDescent="0.25"/>
  <cols>
    <col min="2" max="2" width="11.28515625" style="2"/>
    <col min="5" max="5" width="17.140625" style="2" customWidth="1"/>
    <col min="6" max="6" width="11.28515625" customWidth="1"/>
    <col min="7" max="7" width="14" style="2" customWidth="1"/>
    <col min="8" max="8" width="11.28515625" customWidth="1"/>
    <col min="9" max="9" width="11.28515625" style="2" customWidth="1"/>
    <col min="10" max="10" width="11.28515625" customWidth="1"/>
    <col min="11" max="11" width="11.28515625" style="2" customWidth="1"/>
    <col min="12" max="12" width="11.28515625" customWidth="1"/>
    <col min="13" max="13" width="11.28515625" style="2" customWidth="1"/>
    <col min="14" max="14" width="11.28515625" customWidth="1"/>
    <col min="15" max="15" width="11.28515625" style="2" customWidth="1"/>
    <col min="16" max="16" width="11.28515625" customWidth="1"/>
    <col min="17" max="17" width="11.28515625" style="2" customWidth="1"/>
    <col min="18" max="18" width="11.28515625" customWidth="1"/>
    <col min="19" max="19" width="11.28515625" style="2" customWidth="1"/>
    <col min="20" max="20" width="11.28515625" customWidth="1"/>
    <col min="21" max="21" width="11.28515625" style="2" customWidth="1"/>
    <col min="23" max="23" width="16.85546875" style="2" bestFit="1" customWidth="1"/>
    <col min="25" max="25" width="11.28515625" style="2"/>
    <col min="27" max="27" width="11.28515625" style="2"/>
    <col min="29" max="29" width="11.28515625" style="2"/>
    <col min="31" max="31" width="11.28515625" style="2"/>
    <col min="33" max="33" width="11.28515625" style="2"/>
    <col min="35" max="35" width="11.28515625" style="2"/>
    <col min="37" max="37" width="11.28515625" style="2"/>
    <col min="39" max="39" width="11.28515625" style="2"/>
    <col min="41" max="41" width="11.28515625" style="2" customWidth="1"/>
    <col min="43" max="43" width="11.28515625" style="2"/>
    <col min="45" max="45" width="11.28515625" style="2"/>
    <col min="47" max="47" width="11.28515625" style="2"/>
    <col min="49" max="49" width="11.28515625" style="2"/>
    <col min="51" max="51" width="11.28515625" style="2"/>
    <col min="53" max="53" width="11.28515625" style="2"/>
    <col min="55" max="55" width="11.28515625" style="2"/>
    <col min="57" max="57" width="11.28515625" style="2"/>
    <col min="59" max="59" width="20.28515625" style="2" customWidth="1"/>
    <col min="61" max="61" width="11.28515625" style="2"/>
    <col min="63" max="63" width="11.28515625" style="2"/>
    <col min="65" max="65" width="11.28515625" style="2"/>
    <col min="67" max="67" width="11.28515625" style="2"/>
    <col min="69" max="69" width="11.28515625" style="2"/>
    <col min="71" max="71" width="11.28515625" style="2"/>
    <col min="73" max="73" width="16.85546875" style="2" customWidth="1"/>
    <col min="75" max="75" width="11.85546875" style="2" bestFit="1" customWidth="1"/>
    <col min="77" max="77" width="11.28515625" style="2"/>
    <col min="79" max="79" width="11.28515625" style="2"/>
    <col min="81" max="81" width="11.28515625" style="2"/>
    <col min="83" max="83" width="11.28515625" style="2"/>
    <col min="85" max="85" width="11.28515625" style="2"/>
    <col min="87" max="87" width="11.28515625" style="2"/>
    <col min="89" max="89" width="11.28515625" style="2"/>
  </cols>
  <sheetData>
    <row r="1" spans="1:89" x14ac:dyDescent="0.25">
      <c r="A1" t="s">
        <v>115</v>
      </c>
      <c r="B1" s="2" t="s">
        <v>0</v>
      </c>
      <c r="C1" s="3" t="s">
        <v>112</v>
      </c>
      <c r="D1" t="s">
        <v>1</v>
      </c>
      <c r="E1" s="2" t="s">
        <v>2</v>
      </c>
      <c r="F1" t="s">
        <v>3</v>
      </c>
      <c r="G1" s="2" t="s">
        <v>4</v>
      </c>
      <c r="H1" t="s">
        <v>5</v>
      </c>
      <c r="I1" s="2" t="s">
        <v>6</v>
      </c>
      <c r="J1" t="s">
        <v>7</v>
      </c>
      <c r="K1" s="2" t="s">
        <v>8</v>
      </c>
      <c r="L1" t="s">
        <v>9</v>
      </c>
      <c r="M1" s="2" t="s">
        <v>10</v>
      </c>
      <c r="N1" t="s">
        <v>11</v>
      </c>
      <c r="O1" s="2" t="s">
        <v>12</v>
      </c>
      <c r="P1" t="s">
        <v>13</v>
      </c>
      <c r="Q1" s="2" t="s">
        <v>14</v>
      </c>
      <c r="R1" t="s">
        <v>15</v>
      </c>
      <c r="S1" s="2" t="s">
        <v>16</v>
      </c>
      <c r="T1" t="s">
        <v>17</v>
      </c>
      <c r="U1" s="2" t="s">
        <v>18</v>
      </c>
      <c r="V1" t="s">
        <v>19</v>
      </c>
      <c r="W1" s="2" t="s">
        <v>2</v>
      </c>
      <c r="X1" t="s">
        <v>20</v>
      </c>
      <c r="Y1" s="2" t="s">
        <v>4</v>
      </c>
      <c r="Z1" t="s">
        <v>21</v>
      </c>
      <c r="AA1" s="2" t="s">
        <v>6</v>
      </c>
      <c r="AB1" t="s">
        <v>22</v>
      </c>
      <c r="AC1" s="2" t="s">
        <v>8</v>
      </c>
      <c r="AD1" t="s">
        <v>23</v>
      </c>
      <c r="AE1" s="2" t="s">
        <v>10</v>
      </c>
      <c r="AF1" t="s">
        <v>24</v>
      </c>
      <c r="AG1" s="2" t="s">
        <v>12</v>
      </c>
      <c r="AH1" t="s">
        <v>25</v>
      </c>
      <c r="AI1" s="2" t="s">
        <v>14</v>
      </c>
      <c r="AJ1" t="s">
        <v>26</v>
      </c>
      <c r="AK1" s="2" t="s">
        <v>16</v>
      </c>
      <c r="AL1" t="s">
        <v>27</v>
      </c>
      <c r="AM1" s="2" t="s">
        <v>18</v>
      </c>
      <c r="AN1" t="s">
        <v>28</v>
      </c>
      <c r="AO1" s="2" t="s">
        <v>29</v>
      </c>
      <c r="AP1" t="s">
        <v>30</v>
      </c>
      <c r="AQ1" s="2" t="s">
        <v>31</v>
      </c>
      <c r="AR1" t="s">
        <v>32</v>
      </c>
      <c r="AS1" s="2" t="s">
        <v>33</v>
      </c>
      <c r="AT1" t="s">
        <v>34</v>
      </c>
      <c r="AU1" s="2" t="s">
        <v>35</v>
      </c>
      <c r="AV1" t="s">
        <v>36</v>
      </c>
      <c r="AW1" s="2" t="s">
        <v>37</v>
      </c>
      <c r="AX1" t="s">
        <v>38</v>
      </c>
      <c r="AY1" s="2" t="s">
        <v>39</v>
      </c>
      <c r="AZ1" t="s">
        <v>40</v>
      </c>
      <c r="BA1" s="2" t="s">
        <v>41</v>
      </c>
      <c r="BB1" t="s">
        <v>42</v>
      </c>
      <c r="BC1" s="2" t="s">
        <v>43</v>
      </c>
      <c r="BD1" t="s">
        <v>44</v>
      </c>
      <c r="BE1" s="2" t="s">
        <v>45</v>
      </c>
      <c r="BF1" t="s">
        <v>46</v>
      </c>
      <c r="BG1" s="2" t="s">
        <v>2</v>
      </c>
      <c r="BH1" t="s">
        <v>47</v>
      </c>
      <c r="BI1" s="2" t="s">
        <v>4</v>
      </c>
      <c r="BJ1" t="s">
        <v>48</v>
      </c>
      <c r="BK1" s="2" t="s">
        <v>6</v>
      </c>
      <c r="BL1" t="s">
        <v>49</v>
      </c>
      <c r="BM1" s="2" t="s">
        <v>8</v>
      </c>
      <c r="BN1" t="s">
        <v>50</v>
      </c>
      <c r="BO1" s="2" t="s">
        <v>10</v>
      </c>
      <c r="BP1" t="s">
        <v>51</v>
      </c>
      <c r="BQ1" s="2" t="s">
        <v>12</v>
      </c>
      <c r="BR1" t="s">
        <v>52</v>
      </c>
      <c r="BS1" s="2" t="s">
        <v>14</v>
      </c>
      <c r="BT1" t="s">
        <v>53</v>
      </c>
      <c r="BU1" s="2" t="s">
        <v>16</v>
      </c>
      <c r="BV1" t="s">
        <v>54</v>
      </c>
      <c r="BW1" s="2" t="s">
        <v>18</v>
      </c>
      <c r="BX1" t="s">
        <v>55</v>
      </c>
      <c r="BY1" s="2" t="s">
        <v>56</v>
      </c>
      <c r="BZ1" t="s">
        <v>57</v>
      </c>
      <c r="CA1" s="2" t="s">
        <v>58</v>
      </c>
      <c r="CB1" t="s">
        <v>59</v>
      </c>
      <c r="CC1" s="2" t="s">
        <v>60</v>
      </c>
      <c r="CD1" t="s">
        <v>61</v>
      </c>
      <c r="CE1" s="2" t="s">
        <v>62</v>
      </c>
      <c r="CF1" t="s">
        <v>63</v>
      </c>
      <c r="CG1" s="2" t="s">
        <v>64</v>
      </c>
      <c r="CH1" t="s">
        <v>65</v>
      </c>
      <c r="CI1" s="2" t="s">
        <v>66</v>
      </c>
      <c r="CJ1" t="s">
        <v>67</v>
      </c>
      <c r="CK1" s="2" t="s">
        <v>68</v>
      </c>
    </row>
    <row r="2" spans="1:89" x14ac:dyDescent="0.25">
      <c r="A2" t="s">
        <v>121</v>
      </c>
      <c r="B2" s="2">
        <v>18264</v>
      </c>
      <c r="C2" s="1" t="s">
        <v>114</v>
      </c>
      <c r="D2" t="s">
        <v>83</v>
      </c>
      <c r="E2" s="2">
        <v>45627</v>
      </c>
      <c r="F2" t="s">
        <v>82</v>
      </c>
      <c r="G2" s="2">
        <v>45626</v>
      </c>
    </row>
    <row r="3" spans="1:89" x14ac:dyDescent="0.25">
      <c r="A3" t="s">
        <v>204</v>
      </c>
      <c r="B3" s="2">
        <v>7306</v>
      </c>
      <c r="C3" s="1" t="s">
        <v>113</v>
      </c>
      <c r="D3" t="s">
        <v>77</v>
      </c>
      <c r="E3" s="2">
        <v>45627</v>
      </c>
      <c r="F3" t="s">
        <v>69</v>
      </c>
      <c r="G3" s="2">
        <v>45261</v>
      </c>
      <c r="H3" t="s">
        <v>83</v>
      </c>
      <c r="I3" s="2">
        <v>44896</v>
      </c>
      <c r="J3" t="s">
        <v>82</v>
      </c>
      <c r="K3" s="2">
        <v>44531</v>
      </c>
    </row>
    <row r="4" spans="1:89" x14ac:dyDescent="0.25">
      <c r="A4" t="s">
        <v>203</v>
      </c>
      <c r="B4" s="2">
        <v>18264</v>
      </c>
      <c r="C4" s="1"/>
      <c r="D4" t="s">
        <v>82</v>
      </c>
      <c r="E4" s="2">
        <v>44530</v>
      </c>
      <c r="F4" t="s">
        <v>83</v>
      </c>
      <c r="G4" s="2">
        <v>44531</v>
      </c>
      <c r="H4" t="s">
        <v>69</v>
      </c>
      <c r="I4" s="2">
        <v>44896</v>
      </c>
      <c r="J4" t="s">
        <v>77</v>
      </c>
      <c r="K4" s="2">
        <v>45261</v>
      </c>
      <c r="L4" t="s">
        <v>70</v>
      </c>
      <c r="M4" s="2">
        <v>45627</v>
      </c>
    </row>
    <row r="5" spans="1:89" x14ac:dyDescent="0.25">
      <c r="B5" s="2">
        <v>18599</v>
      </c>
      <c r="C5" s="1" t="s">
        <v>114</v>
      </c>
      <c r="D5" t="s">
        <v>1583</v>
      </c>
      <c r="E5" s="2">
        <v>45627</v>
      </c>
    </row>
    <row r="6" spans="1:89" x14ac:dyDescent="0.25">
      <c r="A6" t="s">
        <v>121</v>
      </c>
      <c r="C6" t="s">
        <v>113</v>
      </c>
      <c r="D6" t="s">
        <v>82</v>
      </c>
      <c r="E6" s="2">
        <v>45627</v>
      </c>
    </row>
    <row r="7" spans="1:89" x14ac:dyDescent="0.25">
      <c r="A7" t="s">
        <v>121</v>
      </c>
      <c r="B7" s="2">
        <v>7306</v>
      </c>
      <c r="C7" s="1" t="s">
        <v>114</v>
      </c>
      <c r="D7" t="s">
        <v>82</v>
      </c>
      <c r="E7" s="2">
        <v>44530</v>
      </c>
      <c r="F7" t="s">
        <v>72</v>
      </c>
      <c r="G7" s="2">
        <v>44531</v>
      </c>
      <c r="H7" t="s">
        <v>71</v>
      </c>
      <c r="I7" s="2">
        <v>44896</v>
      </c>
      <c r="J7" t="s">
        <v>76</v>
      </c>
      <c r="K7" s="2">
        <v>45261</v>
      </c>
      <c r="L7" t="s">
        <v>86</v>
      </c>
      <c r="M7" s="2">
        <v>45627</v>
      </c>
      <c r="BF7" t="s">
        <v>85</v>
      </c>
      <c r="BG7" s="2">
        <v>36693</v>
      </c>
    </row>
    <row r="8" spans="1:89" x14ac:dyDescent="0.25">
      <c r="A8" t="s">
        <v>121</v>
      </c>
      <c r="C8" t="s">
        <v>113</v>
      </c>
      <c r="D8" t="s">
        <v>72</v>
      </c>
      <c r="E8" s="2">
        <v>45627</v>
      </c>
    </row>
    <row r="9" spans="1:89" x14ac:dyDescent="0.25">
      <c r="A9" t="s">
        <v>121</v>
      </c>
      <c r="B9" s="2">
        <v>18264</v>
      </c>
      <c r="C9" t="s">
        <v>113</v>
      </c>
      <c r="D9" t="s">
        <v>82</v>
      </c>
      <c r="E9" s="2">
        <v>44530</v>
      </c>
    </row>
    <row r="10" spans="1:89" x14ac:dyDescent="0.25">
      <c r="A10" t="s">
        <v>121</v>
      </c>
      <c r="B10" s="2">
        <v>18264</v>
      </c>
      <c r="C10" t="s">
        <v>114</v>
      </c>
      <c r="D10" t="s">
        <v>82</v>
      </c>
      <c r="E10" s="2">
        <v>44531</v>
      </c>
      <c r="F10" t="s">
        <v>72</v>
      </c>
      <c r="G10" s="2">
        <v>44257</v>
      </c>
      <c r="H10" t="s">
        <v>71</v>
      </c>
      <c r="I10" s="2">
        <v>44257</v>
      </c>
    </row>
    <row r="11" spans="1:89" x14ac:dyDescent="0.25">
      <c r="A11" t="s">
        <v>121</v>
      </c>
      <c r="B11" s="2">
        <v>18264</v>
      </c>
      <c r="C11" t="s">
        <v>114</v>
      </c>
      <c r="D11" t="s">
        <v>82</v>
      </c>
      <c r="E11" s="2">
        <v>44531</v>
      </c>
      <c r="F11" t="s">
        <v>72</v>
      </c>
      <c r="G11" s="2">
        <f>E11-456</f>
        <v>44075</v>
      </c>
      <c r="H11" t="s">
        <v>71</v>
      </c>
      <c r="I11" s="2">
        <v>44075</v>
      </c>
    </row>
    <row r="12" spans="1:89" x14ac:dyDescent="0.25">
      <c r="A12" t="s">
        <v>121</v>
      </c>
      <c r="B12" s="2">
        <v>18264</v>
      </c>
      <c r="C12" t="s">
        <v>113</v>
      </c>
      <c r="D12" t="s">
        <v>82</v>
      </c>
      <c r="E12" s="2">
        <v>44531</v>
      </c>
      <c r="F12" t="s">
        <v>72</v>
      </c>
      <c r="G12" s="2">
        <f>E12-183</f>
        <v>44348</v>
      </c>
      <c r="H12" t="s">
        <v>71</v>
      </c>
      <c r="I12" s="2">
        <v>44348</v>
      </c>
    </row>
    <row r="13" spans="1:89" x14ac:dyDescent="0.25">
      <c r="A13" t="s">
        <v>121</v>
      </c>
      <c r="B13" s="2">
        <v>18264</v>
      </c>
      <c r="C13" t="s">
        <v>113</v>
      </c>
      <c r="D13" t="s">
        <v>82</v>
      </c>
      <c r="E13" s="2">
        <v>44531</v>
      </c>
      <c r="F13" t="s">
        <v>72</v>
      </c>
      <c r="G13" s="2">
        <f>E13-92</f>
        <v>44439</v>
      </c>
      <c r="H13" t="s">
        <v>71</v>
      </c>
      <c r="I13" s="2">
        <v>44439</v>
      </c>
    </row>
    <row r="14" spans="1:89" x14ac:dyDescent="0.25">
      <c r="A14" t="s">
        <v>121</v>
      </c>
      <c r="B14" s="2">
        <v>18264</v>
      </c>
      <c r="C14" t="s">
        <v>113</v>
      </c>
      <c r="D14" t="s">
        <v>82</v>
      </c>
      <c r="E14" s="2">
        <v>44531</v>
      </c>
      <c r="F14" t="s">
        <v>72</v>
      </c>
      <c r="G14" s="2">
        <f>E14-547</f>
        <v>43984</v>
      </c>
      <c r="H14" t="s">
        <v>71</v>
      </c>
      <c r="I14" s="2">
        <v>43984</v>
      </c>
    </row>
    <row r="15" spans="1:89" x14ac:dyDescent="0.25">
      <c r="A15" t="s">
        <v>121</v>
      </c>
      <c r="B15" s="2">
        <v>18264</v>
      </c>
      <c r="C15" t="s">
        <v>114</v>
      </c>
      <c r="D15" t="s">
        <v>82</v>
      </c>
      <c r="E15" s="2">
        <v>44531</v>
      </c>
      <c r="F15" t="s">
        <v>72</v>
      </c>
      <c r="G15" s="2">
        <f>E15-455</f>
        <v>44076</v>
      </c>
      <c r="H15" t="s">
        <v>71</v>
      </c>
      <c r="I15" s="2">
        <f>E15-455</f>
        <v>44076</v>
      </c>
    </row>
    <row r="16" spans="1:89" x14ac:dyDescent="0.25">
      <c r="A16" t="s">
        <v>121</v>
      </c>
      <c r="B16" s="2">
        <v>18264</v>
      </c>
      <c r="C16" t="s">
        <v>114</v>
      </c>
      <c r="D16" t="s">
        <v>82</v>
      </c>
      <c r="E16" s="2">
        <v>44531</v>
      </c>
      <c r="F16" t="s">
        <v>72</v>
      </c>
      <c r="G16" s="2">
        <f>E16-546</f>
        <v>43985</v>
      </c>
      <c r="H16" t="s">
        <v>71</v>
      </c>
      <c r="I16" s="2">
        <f>E16-546</f>
        <v>43985</v>
      </c>
    </row>
    <row r="17" spans="1:25" x14ac:dyDescent="0.25">
      <c r="A17" t="s">
        <v>121</v>
      </c>
      <c r="B17" s="2">
        <v>18264</v>
      </c>
      <c r="C17" t="s">
        <v>113</v>
      </c>
      <c r="D17" t="s">
        <v>82</v>
      </c>
      <c r="E17" s="2">
        <v>44531</v>
      </c>
      <c r="F17" t="s">
        <v>72</v>
      </c>
      <c r="G17" s="2">
        <f>E17-273</f>
        <v>44258</v>
      </c>
      <c r="H17" t="s">
        <v>71</v>
      </c>
      <c r="I17" s="2">
        <f>E17-273</f>
        <v>44258</v>
      </c>
    </row>
    <row r="18" spans="1:25" x14ac:dyDescent="0.25">
      <c r="A18" t="s">
        <v>121</v>
      </c>
      <c r="B18" s="2">
        <v>18264</v>
      </c>
      <c r="C18" t="s">
        <v>113</v>
      </c>
      <c r="D18" t="s">
        <v>82</v>
      </c>
      <c r="E18" s="2">
        <v>44531</v>
      </c>
      <c r="F18" t="s">
        <v>72</v>
      </c>
      <c r="G18" s="2">
        <f>E18-182</f>
        <v>44349</v>
      </c>
      <c r="H18" t="s">
        <v>71</v>
      </c>
      <c r="I18" s="2">
        <f>E18-182</f>
        <v>44349</v>
      </c>
    </row>
    <row r="19" spans="1:25" x14ac:dyDescent="0.25">
      <c r="A19" t="s">
        <v>121</v>
      </c>
      <c r="B19" s="2">
        <v>18264</v>
      </c>
      <c r="C19" t="s">
        <v>113</v>
      </c>
      <c r="D19" t="s">
        <v>82</v>
      </c>
      <c r="E19" s="2">
        <v>44531</v>
      </c>
      <c r="F19" t="s">
        <v>72</v>
      </c>
      <c r="G19" s="2">
        <f>E19-728</f>
        <v>43803</v>
      </c>
      <c r="H19" t="s">
        <v>71</v>
      </c>
      <c r="I19" s="2">
        <f>E19-728</f>
        <v>43803</v>
      </c>
    </row>
    <row r="20" spans="1:25" x14ac:dyDescent="0.25">
      <c r="A20" t="s">
        <v>121</v>
      </c>
      <c r="B20" s="2">
        <v>18264</v>
      </c>
      <c r="C20" t="s">
        <v>113</v>
      </c>
      <c r="D20" t="s">
        <v>82</v>
      </c>
      <c r="E20" s="2">
        <v>44531</v>
      </c>
      <c r="F20" t="s">
        <v>72</v>
      </c>
      <c r="G20" s="2">
        <f>E20-455</f>
        <v>44076</v>
      </c>
      <c r="H20" t="s">
        <v>71</v>
      </c>
      <c r="I20" s="2">
        <f>E20-456</f>
        <v>44075</v>
      </c>
    </row>
    <row r="21" spans="1:25" x14ac:dyDescent="0.25">
      <c r="A21" t="s">
        <v>121</v>
      </c>
      <c r="B21" s="2">
        <v>18264</v>
      </c>
      <c r="C21" t="s">
        <v>113</v>
      </c>
      <c r="D21" t="s">
        <v>82</v>
      </c>
      <c r="E21" s="2">
        <v>44531</v>
      </c>
      <c r="F21" t="s">
        <v>72</v>
      </c>
      <c r="G21" s="2">
        <f>E21-273</f>
        <v>44258</v>
      </c>
      <c r="H21" t="s">
        <v>71</v>
      </c>
      <c r="I21" s="2">
        <f>E21-274</f>
        <v>44257</v>
      </c>
    </row>
    <row r="22" spans="1:25" x14ac:dyDescent="0.25">
      <c r="A22" t="s">
        <v>121</v>
      </c>
      <c r="B22" s="2">
        <v>18264</v>
      </c>
      <c r="C22" t="s">
        <v>113</v>
      </c>
      <c r="D22" t="s">
        <v>82</v>
      </c>
      <c r="E22" s="2">
        <v>44531</v>
      </c>
      <c r="F22" t="s">
        <v>72</v>
      </c>
      <c r="G22" s="2">
        <f>E22-182</f>
        <v>44349</v>
      </c>
      <c r="H22" t="s">
        <v>71</v>
      </c>
      <c r="I22" s="2">
        <f>E22-183</f>
        <v>44348</v>
      </c>
    </row>
    <row r="23" spans="1:25" x14ac:dyDescent="0.25">
      <c r="A23" t="s">
        <v>121</v>
      </c>
      <c r="B23" s="2">
        <v>18264</v>
      </c>
      <c r="C23" t="s">
        <v>113</v>
      </c>
      <c r="D23" t="s">
        <v>82</v>
      </c>
      <c r="E23" s="2">
        <v>44531</v>
      </c>
      <c r="F23" t="s">
        <v>72</v>
      </c>
      <c r="G23" s="2">
        <f>E23-546</f>
        <v>43985</v>
      </c>
      <c r="H23" t="s">
        <v>71</v>
      </c>
      <c r="I23" s="2">
        <f>E23-547</f>
        <v>43984</v>
      </c>
    </row>
    <row r="24" spans="1:25" x14ac:dyDescent="0.25">
      <c r="A24" t="s">
        <v>121</v>
      </c>
      <c r="B24" s="2">
        <v>18264</v>
      </c>
      <c r="C24" t="s">
        <v>113</v>
      </c>
      <c r="D24" t="s">
        <v>82</v>
      </c>
      <c r="E24" s="2">
        <v>44531</v>
      </c>
      <c r="F24" t="s">
        <v>72</v>
      </c>
      <c r="G24" s="2">
        <f>E24-91</f>
        <v>44440</v>
      </c>
      <c r="H24" t="s">
        <v>71</v>
      </c>
      <c r="I24" s="2">
        <f>E24-92</f>
        <v>44439</v>
      </c>
      <c r="J24" t="s">
        <v>76</v>
      </c>
      <c r="K24" s="2">
        <f>E24-728</f>
        <v>43803</v>
      </c>
      <c r="L24" t="s">
        <v>86</v>
      </c>
      <c r="M24" s="2">
        <f>E24-729</f>
        <v>43802</v>
      </c>
    </row>
    <row r="25" spans="1:25" x14ac:dyDescent="0.25">
      <c r="A25" t="s">
        <v>121</v>
      </c>
      <c r="B25" s="2">
        <v>18264</v>
      </c>
      <c r="C25" t="s">
        <v>113</v>
      </c>
      <c r="D25" t="s">
        <v>82</v>
      </c>
      <c r="E25" s="2">
        <v>44531</v>
      </c>
      <c r="F25" t="s">
        <v>72</v>
      </c>
      <c r="G25" s="2">
        <f>E25-92</f>
        <v>44439</v>
      </c>
      <c r="H25" t="s">
        <v>71</v>
      </c>
      <c r="I25" s="2">
        <f>E25-183</f>
        <v>44348</v>
      </c>
      <c r="J25" t="s">
        <v>76</v>
      </c>
      <c r="K25" s="2">
        <f>E25-274</f>
        <v>44257</v>
      </c>
      <c r="L25" t="s">
        <v>86</v>
      </c>
      <c r="M25" s="2">
        <f>E25-456</f>
        <v>44075</v>
      </c>
      <c r="N25" t="s">
        <v>90</v>
      </c>
      <c r="O25" s="2">
        <f>E25-547</f>
        <v>43984</v>
      </c>
      <c r="P25" t="s">
        <v>73</v>
      </c>
      <c r="Q25" s="2">
        <v>43070</v>
      </c>
      <c r="R25" t="s">
        <v>89</v>
      </c>
      <c r="S25" s="2">
        <v>42705</v>
      </c>
      <c r="T25" t="s">
        <v>91</v>
      </c>
      <c r="U25" s="2">
        <v>42339</v>
      </c>
    </row>
    <row r="26" spans="1:25" x14ac:dyDescent="0.25">
      <c r="A26" t="s">
        <v>121</v>
      </c>
      <c r="B26" s="2">
        <v>18264</v>
      </c>
      <c r="C26" t="s">
        <v>113</v>
      </c>
      <c r="D26" t="s">
        <v>82</v>
      </c>
      <c r="E26" s="2">
        <v>44531</v>
      </c>
      <c r="F26" t="s">
        <v>442</v>
      </c>
      <c r="G26" s="2">
        <f>E26-92</f>
        <v>44439</v>
      </c>
      <c r="H26" t="s">
        <v>442</v>
      </c>
      <c r="I26" s="2">
        <f>E26-183</f>
        <v>44348</v>
      </c>
      <c r="J26" t="s">
        <v>442</v>
      </c>
      <c r="K26" s="2">
        <f>E26-274</f>
        <v>44257</v>
      </c>
      <c r="L26" t="s">
        <v>442</v>
      </c>
      <c r="M26" s="2">
        <f>E26-456</f>
        <v>44075</v>
      </c>
      <c r="N26" t="s">
        <v>442</v>
      </c>
      <c r="O26" s="2">
        <f>E26-547</f>
        <v>43984</v>
      </c>
    </row>
    <row r="27" spans="1:25" x14ac:dyDescent="0.25">
      <c r="A27" t="s">
        <v>121</v>
      </c>
      <c r="B27" s="2">
        <v>18264</v>
      </c>
      <c r="C27" t="s">
        <v>113</v>
      </c>
      <c r="D27" t="s">
        <v>82</v>
      </c>
      <c r="E27" s="2">
        <v>44531</v>
      </c>
      <c r="F27" t="s">
        <v>72</v>
      </c>
      <c r="H27" t="s">
        <v>71</v>
      </c>
      <c r="J27" t="s">
        <v>76</v>
      </c>
      <c r="L27" t="s">
        <v>86</v>
      </c>
      <c r="N27" t="s">
        <v>90</v>
      </c>
    </row>
    <row r="28" spans="1:25" x14ac:dyDescent="0.25">
      <c r="A28" t="s">
        <v>121</v>
      </c>
      <c r="B28" s="2">
        <v>18264</v>
      </c>
      <c r="C28" t="s">
        <v>113</v>
      </c>
      <c r="D28" t="s">
        <v>82</v>
      </c>
      <c r="E28" s="2">
        <v>44531</v>
      </c>
      <c r="V28" t="s">
        <v>703</v>
      </c>
      <c r="W28" s="2">
        <f>$E28+1</f>
        <v>44532</v>
      </c>
      <c r="X28" t="s">
        <v>702</v>
      </c>
      <c r="Y28" s="2">
        <f>$E28</f>
        <v>44531</v>
      </c>
    </row>
    <row r="29" spans="1:25" x14ac:dyDescent="0.25">
      <c r="A29" t="s">
        <v>121</v>
      </c>
      <c r="B29" s="2">
        <v>18264</v>
      </c>
      <c r="C29" t="s">
        <v>113</v>
      </c>
      <c r="D29" t="s">
        <v>82</v>
      </c>
      <c r="E29" s="2">
        <v>44531</v>
      </c>
      <c r="V29" t="s">
        <v>699</v>
      </c>
      <c r="W29" s="2">
        <f>$E29</f>
        <v>44531</v>
      </c>
      <c r="X29" t="s">
        <v>96</v>
      </c>
      <c r="Y29" s="2">
        <f>$E29+1</f>
        <v>44532</v>
      </c>
    </row>
    <row r="30" spans="1:25" x14ac:dyDescent="0.25">
      <c r="A30" t="s">
        <v>121</v>
      </c>
      <c r="B30" s="2">
        <v>18264</v>
      </c>
      <c r="C30" t="s">
        <v>113</v>
      </c>
      <c r="D30" t="s">
        <v>82</v>
      </c>
      <c r="E30" s="2">
        <v>44531</v>
      </c>
      <c r="V30">
        <v>100.5</v>
      </c>
      <c r="W30" s="2">
        <f>$E30-1</f>
        <v>44530</v>
      </c>
      <c r="X30">
        <v>101.5</v>
      </c>
      <c r="Y30" s="2">
        <f>$E30-2</f>
        <v>44529</v>
      </c>
    </row>
    <row r="31" spans="1:25" x14ac:dyDescent="0.25">
      <c r="A31" t="s">
        <v>121</v>
      </c>
      <c r="B31" s="2">
        <v>18264</v>
      </c>
      <c r="C31" t="s">
        <v>113</v>
      </c>
      <c r="D31" t="s">
        <v>82</v>
      </c>
      <c r="E31" s="2">
        <v>44531</v>
      </c>
      <c r="V31" t="s">
        <v>1636</v>
      </c>
      <c r="W31" s="2">
        <f>$E31-2</f>
        <v>44529</v>
      </c>
      <c r="X31" t="s">
        <v>1635</v>
      </c>
      <c r="Y31" s="2">
        <f>$E31-1</f>
        <v>44530</v>
      </c>
    </row>
    <row r="32" spans="1:25" x14ac:dyDescent="0.25">
      <c r="A32" t="s">
        <v>121</v>
      </c>
      <c r="B32" s="2">
        <v>18264</v>
      </c>
      <c r="C32" t="s">
        <v>113</v>
      </c>
      <c r="D32" t="s">
        <v>82</v>
      </c>
      <c r="E32" s="2">
        <v>44531</v>
      </c>
      <c r="V32" t="s">
        <v>485</v>
      </c>
      <c r="W32" s="2">
        <f>$E32-274</f>
        <v>44257</v>
      </c>
      <c r="X32" t="s">
        <v>104</v>
      </c>
      <c r="Y32" s="2">
        <f>$E32-275</f>
        <v>44256</v>
      </c>
    </row>
    <row r="33" spans="1:25" x14ac:dyDescent="0.25">
      <c r="A33" t="s">
        <v>121</v>
      </c>
      <c r="B33" s="2">
        <v>18264</v>
      </c>
      <c r="C33" t="s">
        <v>113</v>
      </c>
      <c r="D33" t="s">
        <v>82</v>
      </c>
      <c r="E33" s="2">
        <v>44531</v>
      </c>
      <c r="V33" t="s">
        <v>84</v>
      </c>
      <c r="W33" s="2">
        <f>$E33-365</f>
        <v>44166</v>
      </c>
      <c r="X33" t="s">
        <v>96</v>
      </c>
      <c r="Y33" s="2">
        <f>$E33-366</f>
        <v>44165</v>
      </c>
    </row>
    <row r="34" spans="1:25" x14ac:dyDescent="0.25">
      <c r="A34" t="s">
        <v>121</v>
      </c>
      <c r="B34" s="2">
        <v>18264</v>
      </c>
      <c r="C34" t="s">
        <v>113</v>
      </c>
      <c r="D34" t="s">
        <v>82</v>
      </c>
      <c r="E34" s="2">
        <v>44531</v>
      </c>
      <c r="V34" t="s">
        <v>84</v>
      </c>
      <c r="W34" s="2">
        <f>$E34-456</f>
        <v>44075</v>
      </c>
      <c r="X34" t="s">
        <v>96</v>
      </c>
      <c r="Y34" s="2">
        <f>$E34-457</f>
        <v>44074</v>
      </c>
    </row>
    <row r="35" spans="1:25" x14ac:dyDescent="0.25">
      <c r="A35" t="s">
        <v>121</v>
      </c>
      <c r="B35" s="2">
        <v>18264</v>
      </c>
      <c r="C35" t="s">
        <v>113</v>
      </c>
      <c r="D35" t="s">
        <v>82</v>
      </c>
      <c r="E35" s="2">
        <v>44531</v>
      </c>
      <c r="V35" t="s">
        <v>96</v>
      </c>
      <c r="W35" s="2">
        <f>$E35-272</f>
        <v>44259</v>
      </c>
      <c r="X35" t="s">
        <v>84</v>
      </c>
      <c r="Y35" s="2">
        <f>$E35-273</f>
        <v>44258</v>
      </c>
    </row>
    <row r="36" spans="1:25" x14ac:dyDescent="0.25">
      <c r="A36" t="s">
        <v>121</v>
      </c>
      <c r="B36" s="2">
        <v>18264</v>
      </c>
      <c r="C36" t="s">
        <v>113</v>
      </c>
      <c r="D36" t="s">
        <v>82</v>
      </c>
      <c r="E36" s="2">
        <v>44531</v>
      </c>
      <c r="V36" t="s">
        <v>84</v>
      </c>
      <c r="W36" s="2">
        <f>$E36-547</f>
        <v>43984</v>
      </c>
      <c r="X36" t="s">
        <v>96</v>
      </c>
      <c r="Y36" s="2">
        <f>$E36-548</f>
        <v>43983</v>
      </c>
    </row>
    <row r="37" spans="1:25" x14ac:dyDescent="0.25">
      <c r="A37" t="s">
        <v>121</v>
      </c>
      <c r="B37" s="2">
        <v>18264</v>
      </c>
      <c r="C37" t="s">
        <v>113</v>
      </c>
      <c r="D37" t="s">
        <v>82</v>
      </c>
      <c r="E37" s="2">
        <v>44531</v>
      </c>
      <c r="V37" t="s">
        <v>96</v>
      </c>
      <c r="W37" s="2">
        <f>$E37-363</f>
        <v>44168</v>
      </c>
      <c r="X37" t="s">
        <v>84</v>
      </c>
      <c r="Y37" s="2">
        <f>$E37-364</f>
        <v>44167</v>
      </c>
    </row>
    <row r="38" spans="1:25" x14ac:dyDescent="0.25">
      <c r="A38" t="s">
        <v>121</v>
      </c>
      <c r="B38" s="2">
        <v>18264</v>
      </c>
      <c r="C38" t="s">
        <v>113</v>
      </c>
      <c r="D38" t="s">
        <v>82</v>
      </c>
      <c r="E38" s="2">
        <v>44531</v>
      </c>
      <c r="V38" t="s">
        <v>96</v>
      </c>
      <c r="W38" s="2">
        <f>$E38-364</f>
        <v>44167</v>
      </c>
      <c r="X38" t="s">
        <v>84</v>
      </c>
      <c r="Y38" s="2">
        <f>$E38-365</f>
        <v>44166</v>
      </c>
    </row>
    <row r="39" spans="1:25" x14ac:dyDescent="0.25">
      <c r="A39" t="s">
        <v>121</v>
      </c>
      <c r="B39" s="2">
        <v>18264</v>
      </c>
      <c r="C39" t="s">
        <v>113</v>
      </c>
      <c r="D39" t="s">
        <v>82</v>
      </c>
      <c r="E39" s="2">
        <v>44531</v>
      </c>
      <c r="V39" t="s">
        <v>84</v>
      </c>
      <c r="W39" s="2">
        <f>$E39-456</f>
        <v>44075</v>
      </c>
      <c r="X39" t="s">
        <v>96</v>
      </c>
      <c r="Y39" s="2">
        <f>$E39-457</f>
        <v>44074</v>
      </c>
    </row>
    <row r="40" spans="1:25" x14ac:dyDescent="0.25">
      <c r="A40" t="s">
        <v>121</v>
      </c>
      <c r="B40" s="2">
        <v>18264</v>
      </c>
      <c r="C40" t="s">
        <v>113</v>
      </c>
      <c r="D40" t="s">
        <v>82</v>
      </c>
      <c r="E40" s="2">
        <v>44531</v>
      </c>
      <c r="V40" t="s">
        <v>96</v>
      </c>
      <c r="W40" s="2">
        <f>$E40-272</f>
        <v>44259</v>
      </c>
      <c r="X40" t="s">
        <v>84</v>
      </c>
      <c r="Y40" s="2">
        <f>$E40-273</f>
        <v>44258</v>
      </c>
    </row>
    <row r="41" spans="1:25" x14ac:dyDescent="0.25">
      <c r="A41" t="s">
        <v>121</v>
      </c>
      <c r="B41" s="2">
        <v>18264</v>
      </c>
      <c r="C41" t="s">
        <v>113</v>
      </c>
      <c r="D41" t="s">
        <v>82</v>
      </c>
      <c r="E41" s="2">
        <v>44531</v>
      </c>
      <c r="V41" t="s">
        <v>84</v>
      </c>
      <c r="W41" s="2">
        <f>$E41-547</f>
        <v>43984</v>
      </c>
      <c r="X41" t="s">
        <v>96</v>
      </c>
      <c r="Y41" s="2">
        <f>$E41-548</f>
        <v>43983</v>
      </c>
    </row>
    <row r="42" spans="1:25" x14ac:dyDescent="0.25">
      <c r="A42" t="s">
        <v>121</v>
      </c>
      <c r="B42" s="2">
        <v>18264</v>
      </c>
      <c r="C42" t="s">
        <v>113</v>
      </c>
      <c r="D42" t="s">
        <v>82</v>
      </c>
      <c r="E42" s="2">
        <v>44531</v>
      </c>
      <c r="V42" t="s">
        <v>84</v>
      </c>
      <c r="W42" s="2">
        <f>$E42-364</f>
        <v>44167</v>
      </c>
      <c r="X42" t="s">
        <v>96</v>
      </c>
      <c r="Y42" s="2">
        <f>$E42-365</f>
        <v>44166</v>
      </c>
    </row>
    <row r="43" spans="1:25" x14ac:dyDescent="0.25">
      <c r="A43" t="s">
        <v>121</v>
      </c>
      <c r="B43" s="2">
        <v>18264</v>
      </c>
      <c r="C43" t="s">
        <v>113</v>
      </c>
      <c r="D43" t="s">
        <v>82</v>
      </c>
      <c r="E43" s="2">
        <v>44531</v>
      </c>
      <c r="V43" t="s">
        <v>96</v>
      </c>
      <c r="W43" s="2">
        <f>$E43-273</f>
        <v>44258</v>
      </c>
      <c r="X43" t="s">
        <v>84</v>
      </c>
      <c r="Y43" s="2">
        <f>$E43-274</f>
        <v>44257</v>
      </c>
    </row>
    <row r="44" spans="1:25" x14ac:dyDescent="0.25">
      <c r="A44" t="s">
        <v>121</v>
      </c>
      <c r="B44" s="2">
        <v>18264</v>
      </c>
      <c r="C44" t="s">
        <v>113</v>
      </c>
      <c r="D44" t="s">
        <v>82</v>
      </c>
      <c r="E44" s="2">
        <v>44531</v>
      </c>
      <c r="V44" t="s">
        <v>84</v>
      </c>
      <c r="W44" s="2">
        <f>$E44-455</f>
        <v>44076</v>
      </c>
      <c r="X44" t="s">
        <v>96</v>
      </c>
      <c r="Y44" s="2">
        <f>$E44-456</f>
        <v>44075</v>
      </c>
    </row>
    <row r="45" spans="1:25" x14ac:dyDescent="0.25">
      <c r="A45" t="s">
        <v>121</v>
      </c>
      <c r="B45" s="2">
        <v>18264</v>
      </c>
      <c r="C45" t="s">
        <v>113</v>
      </c>
      <c r="D45" t="s">
        <v>82</v>
      </c>
      <c r="E45" s="2">
        <v>44531</v>
      </c>
      <c r="V45" t="s">
        <v>84</v>
      </c>
      <c r="W45" s="2">
        <f>$E45-546</f>
        <v>43985</v>
      </c>
      <c r="X45" t="s">
        <v>96</v>
      </c>
      <c r="Y45" s="2">
        <f>$E45-547</f>
        <v>43984</v>
      </c>
    </row>
    <row r="46" spans="1:25" x14ac:dyDescent="0.25">
      <c r="A46" t="s">
        <v>121</v>
      </c>
      <c r="B46" s="2">
        <v>18264</v>
      </c>
      <c r="C46" t="s">
        <v>113</v>
      </c>
      <c r="D46" t="s">
        <v>82</v>
      </c>
      <c r="E46" s="2">
        <v>44531</v>
      </c>
      <c r="V46" t="s">
        <v>96</v>
      </c>
      <c r="W46" s="2">
        <f>$E46-91</f>
        <v>44440</v>
      </c>
      <c r="X46" t="s">
        <v>84</v>
      </c>
      <c r="Y46" s="2">
        <f>$E46-92</f>
        <v>44439</v>
      </c>
    </row>
    <row r="47" spans="1:25" x14ac:dyDescent="0.25">
      <c r="A47" t="s">
        <v>121</v>
      </c>
      <c r="B47" s="2">
        <v>18264</v>
      </c>
      <c r="C47" t="s">
        <v>113</v>
      </c>
      <c r="D47" t="s">
        <v>82</v>
      </c>
      <c r="E47" s="2">
        <v>44531</v>
      </c>
      <c r="V47" t="s">
        <v>84</v>
      </c>
      <c r="W47" s="2">
        <f>$E47-3652</f>
        <v>40879</v>
      </c>
      <c r="X47" t="s">
        <v>96</v>
      </c>
      <c r="Y47" s="2">
        <f>$E47-3653</f>
        <v>40878</v>
      </c>
    </row>
    <row r="48" spans="1:25" x14ac:dyDescent="0.25">
      <c r="A48" t="s">
        <v>121</v>
      </c>
      <c r="B48" s="2">
        <v>18264</v>
      </c>
      <c r="C48" t="s">
        <v>113</v>
      </c>
      <c r="D48" t="s">
        <v>82</v>
      </c>
      <c r="E48" s="2">
        <v>44531</v>
      </c>
      <c r="V48" t="s">
        <v>84</v>
      </c>
      <c r="W48" s="2">
        <f>$E48</f>
        <v>44531</v>
      </c>
      <c r="X48" t="s">
        <v>96</v>
      </c>
      <c r="Y48" s="2">
        <f>$E48-1</f>
        <v>44530</v>
      </c>
    </row>
    <row r="49" spans="1:43" x14ac:dyDescent="0.25">
      <c r="A49" t="s">
        <v>121</v>
      </c>
      <c r="B49" s="2">
        <v>18264</v>
      </c>
      <c r="C49" t="s">
        <v>113</v>
      </c>
      <c r="D49" t="s">
        <v>82</v>
      </c>
      <c r="E49" s="2">
        <v>44531</v>
      </c>
      <c r="V49" t="s">
        <v>96</v>
      </c>
      <c r="W49" s="2">
        <f>$E49+92</f>
        <v>44623</v>
      </c>
      <c r="X49" t="s">
        <v>84</v>
      </c>
      <c r="Y49" s="2">
        <f>$E49+91</f>
        <v>44622</v>
      </c>
    </row>
    <row r="50" spans="1:43" x14ac:dyDescent="0.25">
      <c r="A50" t="s">
        <v>121</v>
      </c>
      <c r="B50" s="2">
        <v>18264</v>
      </c>
      <c r="C50" t="s">
        <v>113</v>
      </c>
      <c r="D50" t="s">
        <v>82</v>
      </c>
      <c r="E50" s="2">
        <v>44531</v>
      </c>
      <c r="V50" t="s">
        <v>84</v>
      </c>
      <c r="W50" s="2">
        <f>$E50</f>
        <v>44531</v>
      </c>
      <c r="X50" t="s">
        <v>96</v>
      </c>
      <c r="Y50" s="2">
        <f>$E50-1</f>
        <v>44530</v>
      </c>
      <c r="Z50" t="s">
        <v>99</v>
      </c>
      <c r="AA50" s="2">
        <f>$E50-92</f>
        <v>44439</v>
      </c>
      <c r="AB50" t="s">
        <v>93</v>
      </c>
      <c r="AC50" s="2">
        <f>$E50-274</f>
        <v>44257</v>
      </c>
      <c r="AD50" t="s">
        <v>103</v>
      </c>
      <c r="AE50" s="2">
        <f>$E50-365</f>
        <v>44166</v>
      </c>
      <c r="AF50" t="s">
        <v>98</v>
      </c>
      <c r="AG50" s="2">
        <f>$E50-456</f>
        <v>44075</v>
      </c>
      <c r="AH50" t="s">
        <v>95</v>
      </c>
      <c r="AI50" s="2">
        <f>$E50-547</f>
        <v>43984</v>
      </c>
      <c r="AJ50" s="2" t="s">
        <v>94</v>
      </c>
      <c r="AK50" s="2">
        <f>$E50-913</f>
        <v>43618</v>
      </c>
      <c r="AL50" t="s">
        <v>97</v>
      </c>
      <c r="AM50" s="2">
        <f>$E50-1278</f>
        <v>43253</v>
      </c>
    </row>
    <row r="51" spans="1:43" x14ac:dyDescent="0.25">
      <c r="A51" t="s">
        <v>121</v>
      </c>
      <c r="B51" s="2">
        <v>18264</v>
      </c>
      <c r="C51" t="s">
        <v>113</v>
      </c>
      <c r="D51" t="s">
        <v>82</v>
      </c>
      <c r="E51" s="2">
        <v>44531</v>
      </c>
      <c r="V51" t="s">
        <v>107</v>
      </c>
      <c r="W51" s="2">
        <f>$E51</f>
        <v>44531</v>
      </c>
      <c r="X51" t="s">
        <v>107</v>
      </c>
      <c r="Y51" s="2">
        <f>$E51-1</f>
        <v>44530</v>
      </c>
      <c r="Z51" t="s">
        <v>107</v>
      </c>
      <c r="AA51" s="2">
        <f>$E51-92</f>
        <v>44439</v>
      </c>
      <c r="AB51" t="s">
        <v>107</v>
      </c>
      <c r="AC51" s="2">
        <f>$E51-274</f>
        <v>44257</v>
      </c>
      <c r="AD51" t="s">
        <v>107</v>
      </c>
      <c r="AE51" s="2">
        <f>$E51-365</f>
        <v>44166</v>
      </c>
      <c r="AF51" t="s">
        <v>107</v>
      </c>
      <c r="AG51" s="2">
        <f>$E51-456</f>
        <v>44075</v>
      </c>
      <c r="AH51" t="s">
        <v>107</v>
      </c>
      <c r="AI51" s="2">
        <f>$E51-547</f>
        <v>43984</v>
      </c>
      <c r="AJ51" t="s">
        <v>294</v>
      </c>
      <c r="AK51" s="2">
        <f>$E51-913</f>
        <v>43618</v>
      </c>
      <c r="AM51" s="2">
        <f>$E51-1278</f>
        <v>43253</v>
      </c>
    </row>
    <row r="52" spans="1:43" x14ac:dyDescent="0.25">
      <c r="A52" t="s">
        <v>121</v>
      </c>
      <c r="B52" s="2">
        <v>18264</v>
      </c>
      <c r="C52" t="s">
        <v>113</v>
      </c>
      <c r="D52" t="s">
        <v>82</v>
      </c>
      <c r="E52" s="2">
        <v>44531</v>
      </c>
      <c r="V52" t="s">
        <v>84</v>
      </c>
      <c r="X52" t="s">
        <v>96</v>
      </c>
      <c r="Z52" t="s">
        <v>99</v>
      </c>
      <c r="AB52" t="s">
        <v>93</v>
      </c>
      <c r="AD52" t="s">
        <v>103</v>
      </c>
      <c r="AF52" t="s">
        <v>98</v>
      </c>
      <c r="AH52" t="s">
        <v>95</v>
      </c>
      <c r="AJ52" s="2" t="s">
        <v>94</v>
      </c>
      <c r="AL52" t="s">
        <v>97</v>
      </c>
    </row>
    <row r="53" spans="1:43" x14ac:dyDescent="0.25">
      <c r="A53" t="s">
        <v>121</v>
      </c>
      <c r="B53" s="2">
        <v>18264</v>
      </c>
      <c r="C53" t="s">
        <v>113</v>
      </c>
      <c r="D53" t="s">
        <v>82</v>
      </c>
      <c r="E53" s="7">
        <v>44531</v>
      </c>
      <c r="V53" t="s">
        <v>84</v>
      </c>
      <c r="W53" s="7">
        <f t="shared" ref="W53:W59" si="0">$E53</f>
        <v>44531</v>
      </c>
      <c r="X53" t="s">
        <v>96</v>
      </c>
      <c r="Y53">
        <f t="shared" ref="Y53:Y59" si="1">$E53-1</f>
        <v>44530</v>
      </c>
      <c r="Z53" t="s">
        <v>99</v>
      </c>
      <c r="AA53" s="8">
        <f t="shared" ref="AA53:AA59" si="2">$E53-92</f>
        <v>44439</v>
      </c>
      <c r="AB53" t="s">
        <v>93</v>
      </c>
      <c r="AC53" s="9">
        <f t="shared" ref="AC53:AC59" si="3">$E53-274</f>
        <v>44257</v>
      </c>
      <c r="AD53" t="s">
        <v>103</v>
      </c>
      <c r="AE53" s="10">
        <f t="shared" ref="AE53:AE59" si="4">$E53-365</f>
        <v>44166</v>
      </c>
      <c r="AF53" t="s">
        <v>98</v>
      </c>
      <c r="AG53" s="11">
        <f t="shared" ref="AG53:AG59" si="5">$E53-456</f>
        <v>44075</v>
      </c>
      <c r="AH53" t="s">
        <v>95</v>
      </c>
      <c r="AI53" s="12">
        <f t="shared" ref="AI53:AI59" si="6">$E53-547</f>
        <v>43984</v>
      </c>
      <c r="AJ53" s="2" t="s">
        <v>94</v>
      </c>
      <c r="AK53" s="2">
        <f t="shared" ref="AK53:AK59" si="7">$E53-913</f>
        <v>43618</v>
      </c>
      <c r="AL53" t="s">
        <v>97</v>
      </c>
      <c r="AM53" s="7">
        <f t="shared" ref="AM53:AM59" si="8">$E53-1278</f>
        <v>43253</v>
      </c>
    </row>
    <row r="54" spans="1:43" x14ac:dyDescent="0.25">
      <c r="A54" t="s">
        <v>121</v>
      </c>
      <c r="B54" s="2">
        <v>18264</v>
      </c>
      <c r="C54" t="s">
        <v>113</v>
      </c>
      <c r="D54" t="s">
        <v>82</v>
      </c>
      <c r="E54" s="8">
        <v>44531</v>
      </c>
      <c r="V54" t="s">
        <v>84</v>
      </c>
      <c r="W54" s="7">
        <f t="shared" si="0"/>
        <v>44531</v>
      </c>
      <c r="X54" t="s">
        <v>96</v>
      </c>
      <c r="Y54">
        <f t="shared" si="1"/>
        <v>44530</v>
      </c>
      <c r="Z54" t="s">
        <v>99</v>
      </c>
      <c r="AA54" s="8">
        <f t="shared" si="2"/>
        <v>44439</v>
      </c>
      <c r="AB54" t="s">
        <v>93</v>
      </c>
      <c r="AC54" s="9">
        <f t="shared" si="3"/>
        <v>44257</v>
      </c>
      <c r="AD54" t="s">
        <v>103</v>
      </c>
      <c r="AE54" s="10">
        <f t="shared" si="4"/>
        <v>44166</v>
      </c>
      <c r="AF54" t="s">
        <v>98</v>
      </c>
      <c r="AG54" s="11">
        <f t="shared" si="5"/>
        <v>44075</v>
      </c>
      <c r="AH54" t="s">
        <v>95</v>
      </c>
      <c r="AI54" s="12">
        <f t="shared" si="6"/>
        <v>43984</v>
      </c>
      <c r="AJ54" s="2" t="s">
        <v>94</v>
      </c>
      <c r="AK54" s="2">
        <f t="shared" si="7"/>
        <v>43618</v>
      </c>
      <c r="AL54" t="s">
        <v>97</v>
      </c>
      <c r="AM54" s="8">
        <f t="shared" si="8"/>
        <v>43253</v>
      </c>
    </row>
    <row r="55" spans="1:43" x14ac:dyDescent="0.25">
      <c r="A55" t="s">
        <v>121</v>
      </c>
      <c r="B55" s="2">
        <v>18264</v>
      </c>
      <c r="C55" t="s">
        <v>113</v>
      </c>
      <c r="D55" t="s">
        <v>82</v>
      </c>
      <c r="E55" s="11">
        <v>44531</v>
      </c>
      <c r="V55" t="s">
        <v>84</v>
      </c>
      <c r="W55" s="7">
        <f t="shared" si="0"/>
        <v>44531</v>
      </c>
      <c r="X55" t="s">
        <v>96</v>
      </c>
      <c r="Y55">
        <f t="shared" si="1"/>
        <v>44530</v>
      </c>
      <c r="Z55" t="s">
        <v>99</v>
      </c>
      <c r="AA55" s="8">
        <f t="shared" si="2"/>
        <v>44439</v>
      </c>
      <c r="AB55" t="s">
        <v>93</v>
      </c>
      <c r="AC55" s="9">
        <f t="shared" si="3"/>
        <v>44257</v>
      </c>
      <c r="AD55" t="s">
        <v>103</v>
      </c>
      <c r="AE55" s="10">
        <f t="shared" si="4"/>
        <v>44166</v>
      </c>
      <c r="AF55" t="s">
        <v>98</v>
      </c>
      <c r="AG55" s="11">
        <f t="shared" si="5"/>
        <v>44075</v>
      </c>
      <c r="AH55" t="s">
        <v>95</v>
      </c>
      <c r="AI55" s="12">
        <f t="shared" si="6"/>
        <v>43984</v>
      </c>
      <c r="AJ55" s="2" t="s">
        <v>94</v>
      </c>
      <c r="AK55" s="2">
        <f t="shared" si="7"/>
        <v>43618</v>
      </c>
      <c r="AL55" t="s">
        <v>97</v>
      </c>
      <c r="AM55" s="11">
        <f t="shared" si="8"/>
        <v>43253</v>
      </c>
    </row>
    <row r="56" spans="1:43" x14ac:dyDescent="0.25">
      <c r="A56" t="s">
        <v>121</v>
      </c>
      <c r="B56" s="2">
        <v>18264</v>
      </c>
      <c r="C56" t="s">
        <v>113</v>
      </c>
      <c r="D56" t="s">
        <v>82</v>
      </c>
      <c r="E56" s="9">
        <v>44531</v>
      </c>
      <c r="V56" t="s">
        <v>84</v>
      </c>
      <c r="W56" s="7">
        <f t="shared" si="0"/>
        <v>44531</v>
      </c>
      <c r="X56" t="s">
        <v>96</v>
      </c>
      <c r="Y56">
        <f t="shared" si="1"/>
        <v>44530</v>
      </c>
      <c r="Z56" t="s">
        <v>99</v>
      </c>
      <c r="AA56" s="8">
        <f t="shared" si="2"/>
        <v>44439</v>
      </c>
      <c r="AB56" t="s">
        <v>93</v>
      </c>
      <c r="AC56" s="9">
        <f t="shared" si="3"/>
        <v>44257</v>
      </c>
      <c r="AD56" t="s">
        <v>103</v>
      </c>
      <c r="AE56" s="10">
        <f t="shared" si="4"/>
        <v>44166</v>
      </c>
      <c r="AF56" t="s">
        <v>98</v>
      </c>
      <c r="AG56" s="11">
        <f t="shared" si="5"/>
        <v>44075</v>
      </c>
      <c r="AH56" t="s">
        <v>95</v>
      </c>
      <c r="AI56" s="12">
        <f t="shared" si="6"/>
        <v>43984</v>
      </c>
      <c r="AJ56" s="2" t="s">
        <v>94</v>
      </c>
      <c r="AK56" s="2">
        <f t="shared" si="7"/>
        <v>43618</v>
      </c>
      <c r="AL56" t="s">
        <v>97</v>
      </c>
      <c r="AM56" s="9">
        <f t="shared" si="8"/>
        <v>43253</v>
      </c>
    </row>
    <row r="57" spans="1:43" x14ac:dyDescent="0.25">
      <c r="A57" t="s">
        <v>121</v>
      </c>
      <c r="B57" s="2">
        <v>18264</v>
      </c>
      <c r="C57" t="s">
        <v>113</v>
      </c>
      <c r="D57" t="s">
        <v>82</v>
      </c>
      <c r="E57" s="10">
        <v>44531</v>
      </c>
      <c r="V57" t="s">
        <v>84</v>
      </c>
      <c r="W57" s="7">
        <f t="shared" si="0"/>
        <v>44531</v>
      </c>
      <c r="X57" t="s">
        <v>96</v>
      </c>
      <c r="Y57">
        <f t="shared" si="1"/>
        <v>44530</v>
      </c>
      <c r="Z57" t="s">
        <v>99</v>
      </c>
      <c r="AA57" s="8">
        <f t="shared" si="2"/>
        <v>44439</v>
      </c>
      <c r="AB57" t="s">
        <v>93</v>
      </c>
      <c r="AC57" s="9">
        <f t="shared" si="3"/>
        <v>44257</v>
      </c>
      <c r="AD57" t="s">
        <v>103</v>
      </c>
      <c r="AE57" s="10">
        <f t="shared" si="4"/>
        <v>44166</v>
      </c>
      <c r="AF57" t="s">
        <v>98</v>
      </c>
      <c r="AG57" s="11">
        <f t="shared" si="5"/>
        <v>44075</v>
      </c>
      <c r="AH57" t="s">
        <v>95</v>
      </c>
      <c r="AI57" s="12">
        <f t="shared" si="6"/>
        <v>43984</v>
      </c>
      <c r="AJ57" s="2" t="s">
        <v>94</v>
      </c>
      <c r="AK57" s="2">
        <f t="shared" si="7"/>
        <v>43618</v>
      </c>
      <c r="AL57" t="s">
        <v>97</v>
      </c>
      <c r="AM57" s="10">
        <f t="shared" si="8"/>
        <v>43253</v>
      </c>
    </row>
    <row r="58" spans="1:43" x14ac:dyDescent="0.25">
      <c r="A58" t="s">
        <v>121</v>
      </c>
      <c r="B58" s="2">
        <v>18264</v>
      </c>
      <c r="C58" t="s">
        <v>113</v>
      </c>
      <c r="D58" t="s">
        <v>82</v>
      </c>
      <c r="E58" s="12">
        <v>44531</v>
      </c>
      <c r="V58" t="s">
        <v>84</v>
      </c>
      <c r="W58" s="7">
        <f t="shared" si="0"/>
        <v>44531</v>
      </c>
      <c r="X58" t="s">
        <v>96</v>
      </c>
      <c r="Y58">
        <f t="shared" si="1"/>
        <v>44530</v>
      </c>
      <c r="Z58" t="s">
        <v>99</v>
      </c>
      <c r="AA58" s="8">
        <f t="shared" si="2"/>
        <v>44439</v>
      </c>
      <c r="AB58" t="s">
        <v>93</v>
      </c>
      <c r="AC58" s="9">
        <f t="shared" si="3"/>
        <v>44257</v>
      </c>
      <c r="AD58" t="s">
        <v>103</v>
      </c>
      <c r="AE58" s="10">
        <f t="shared" si="4"/>
        <v>44166</v>
      </c>
      <c r="AF58" t="s">
        <v>98</v>
      </c>
      <c r="AG58" s="11">
        <f t="shared" si="5"/>
        <v>44075</v>
      </c>
      <c r="AH58" t="s">
        <v>95</v>
      </c>
      <c r="AI58" s="12">
        <f t="shared" si="6"/>
        <v>43984</v>
      </c>
      <c r="AJ58" s="2" t="s">
        <v>94</v>
      </c>
      <c r="AK58" s="2">
        <f t="shared" si="7"/>
        <v>43618</v>
      </c>
      <c r="AL58" t="s">
        <v>97</v>
      </c>
      <c r="AM58" s="12">
        <f t="shared" si="8"/>
        <v>43253</v>
      </c>
    </row>
    <row r="59" spans="1:43" x14ac:dyDescent="0.25">
      <c r="A59" t="s">
        <v>121</v>
      </c>
      <c r="B59" s="2">
        <v>18264</v>
      </c>
      <c r="C59" t="s">
        <v>113</v>
      </c>
      <c r="D59" t="s">
        <v>82</v>
      </c>
      <c r="E59">
        <v>44531</v>
      </c>
      <c r="V59" t="s">
        <v>84</v>
      </c>
      <c r="W59" s="7">
        <f t="shared" si="0"/>
        <v>44531</v>
      </c>
      <c r="X59" t="s">
        <v>96</v>
      </c>
      <c r="Y59">
        <f t="shared" si="1"/>
        <v>44530</v>
      </c>
      <c r="Z59" t="s">
        <v>99</v>
      </c>
      <c r="AA59" s="8">
        <f t="shared" si="2"/>
        <v>44439</v>
      </c>
      <c r="AB59" t="s">
        <v>93</v>
      </c>
      <c r="AC59" s="9">
        <f t="shared" si="3"/>
        <v>44257</v>
      </c>
      <c r="AD59" t="s">
        <v>103</v>
      </c>
      <c r="AE59" s="10">
        <f t="shared" si="4"/>
        <v>44166</v>
      </c>
      <c r="AF59" t="s">
        <v>98</v>
      </c>
      <c r="AG59" s="11">
        <f t="shared" si="5"/>
        <v>44075</v>
      </c>
      <c r="AH59" t="s">
        <v>95</v>
      </c>
      <c r="AI59" s="12">
        <f t="shared" si="6"/>
        <v>43984</v>
      </c>
      <c r="AJ59" s="2" t="s">
        <v>94</v>
      </c>
      <c r="AK59" s="2">
        <f t="shared" si="7"/>
        <v>43618</v>
      </c>
      <c r="AL59" t="s">
        <v>97</v>
      </c>
      <c r="AM59" s="2">
        <f t="shared" si="8"/>
        <v>43253</v>
      </c>
    </row>
    <row r="60" spans="1:43" x14ac:dyDescent="0.25">
      <c r="A60" t="s">
        <v>121</v>
      </c>
      <c r="B60" s="2">
        <v>18264</v>
      </c>
      <c r="C60" t="s">
        <v>113</v>
      </c>
      <c r="D60" t="s">
        <v>82</v>
      </c>
      <c r="E60" s="5">
        <v>44531</v>
      </c>
      <c r="AN60" t="s">
        <v>822</v>
      </c>
      <c r="AO60" s="2">
        <f>$E60+1</f>
        <v>44532</v>
      </c>
      <c r="AP60" t="s">
        <v>823</v>
      </c>
      <c r="AQ60" s="2">
        <f>$E60</f>
        <v>44531</v>
      </c>
    </row>
    <row r="61" spans="1:43" x14ac:dyDescent="0.25">
      <c r="A61" t="s">
        <v>121</v>
      </c>
      <c r="B61" s="2">
        <v>18264</v>
      </c>
      <c r="C61" t="s">
        <v>113</v>
      </c>
      <c r="D61" t="s">
        <v>82</v>
      </c>
      <c r="E61" s="5">
        <v>44531</v>
      </c>
      <c r="AN61" t="s">
        <v>1639</v>
      </c>
      <c r="AO61" s="2">
        <f>$E61</f>
        <v>44531</v>
      </c>
      <c r="AP61" t="s">
        <v>1640</v>
      </c>
      <c r="AQ61" s="2">
        <f>$E61+1</f>
        <v>44532</v>
      </c>
    </row>
    <row r="62" spans="1:43" x14ac:dyDescent="0.25">
      <c r="A62" t="s">
        <v>121</v>
      </c>
      <c r="B62" s="2">
        <v>18264</v>
      </c>
      <c r="C62" t="s">
        <v>113</v>
      </c>
      <c r="D62" t="s">
        <v>82</v>
      </c>
      <c r="E62" s="5">
        <v>44531</v>
      </c>
      <c r="AN62">
        <v>20.5</v>
      </c>
      <c r="AO62" s="2">
        <f>$E62-1</f>
        <v>44530</v>
      </c>
      <c r="AP62">
        <v>21.5</v>
      </c>
      <c r="AQ62" s="2">
        <f>$E62-2</f>
        <v>44529</v>
      </c>
    </row>
    <row r="63" spans="1:43" x14ac:dyDescent="0.25">
      <c r="A63" t="s">
        <v>121</v>
      </c>
      <c r="B63" s="2">
        <v>18264</v>
      </c>
      <c r="C63" t="s">
        <v>113</v>
      </c>
      <c r="D63" t="s">
        <v>82</v>
      </c>
      <c r="E63" s="5">
        <v>44531</v>
      </c>
      <c r="AN63" t="s">
        <v>824</v>
      </c>
      <c r="AO63" s="2">
        <f>$E63-2</f>
        <v>44529</v>
      </c>
      <c r="AP63" t="s">
        <v>826</v>
      </c>
      <c r="AQ63" s="2">
        <f>$E63-1</f>
        <v>44530</v>
      </c>
    </row>
    <row r="64" spans="1:43" x14ac:dyDescent="0.25">
      <c r="A64" t="s">
        <v>121</v>
      </c>
      <c r="B64" s="2">
        <v>18264</v>
      </c>
      <c r="C64" t="s">
        <v>113</v>
      </c>
      <c r="D64" t="s">
        <v>82</v>
      </c>
      <c r="E64" s="5">
        <v>44531</v>
      </c>
      <c r="AN64" t="s">
        <v>825</v>
      </c>
      <c r="AO64" s="2">
        <f>$E64-274</f>
        <v>44257</v>
      </c>
      <c r="AP64" t="s">
        <v>101</v>
      </c>
      <c r="AQ64" s="2">
        <f>$E64-275</f>
        <v>44256</v>
      </c>
    </row>
    <row r="65" spans="1:43" x14ac:dyDescent="0.25">
      <c r="A65" t="s">
        <v>121</v>
      </c>
      <c r="B65" s="2">
        <v>18264</v>
      </c>
      <c r="C65" t="s">
        <v>113</v>
      </c>
      <c r="D65" t="s">
        <v>82</v>
      </c>
      <c r="E65" s="5">
        <v>44531</v>
      </c>
      <c r="AN65" t="s">
        <v>821</v>
      </c>
      <c r="AO65" s="2">
        <f>$E65-365</f>
        <v>44166</v>
      </c>
      <c r="AP65" t="s">
        <v>111</v>
      </c>
      <c r="AQ65" s="2">
        <f>$E65-366</f>
        <v>44165</v>
      </c>
    </row>
    <row r="66" spans="1:43" x14ac:dyDescent="0.25">
      <c r="A66" t="s">
        <v>121</v>
      </c>
      <c r="B66" s="2">
        <v>18264</v>
      </c>
      <c r="C66" t="s">
        <v>113</v>
      </c>
      <c r="D66" t="s">
        <v>82</v>
      </c>
      <c r="E66" s="5">
        <v>44531</v>
      </c>
      <c r="AN66" t="s">
        <v>821</v>
      </c>
      <c r="AO66" s="2">
        <f>$E66-456</f>
        <v>44075</v>
      </c>
      <c r="AP66" t="s">
        <v>111</v>
      </c>
      <c r="AQ66" s="2">
        <f>$E66-457</f>
        <v>44074</v>
      </c>
    </row>
    <row r="67" spans="1:43" x14ac:dyDescent="0.25">
      <c r="A67" t="s">
        <v>121</v>
      </c>
      <c r="B67" s="2">
        <v>18264</v>
      </c>
      <c r="C67" t="s">
        <v>113</v>
      </c>
      <c r="D67" t="s">
        <v>82</v>
      </c>
      <c r="E67" s="5">
        <v>44531</v>
      </c>
      <c r="AN67" t="s">
        <v>111</v>
      </c>
      <c r="AO67" s="2">
        <f>$E67-272</f>
        <v>44259</v>
      </c>
      <c r="AP67" t="s">
        <v>821</v>
      </c>
      <c r="AQ67" s="2">
        <f>$E67-273</f>
        <v>44258</v>
      </c>
    </row>
    <row r="68" spans="1:43" x14ac:dyDescent="0.25">
      <c r="A68" t="s">
        <v>121</v>
      </c>
      <c r="B68" s="2">
        <v>18264</v>
      </c>
      <c r="C68" t="s">
        <v>113</v>
      </c>
      <c r="D68" t="s">
        <v>82</v>
      </c>
      <c r="E68" s="5">
        <v>44531</v>
      </c>
      <c r="AN68" t="s">
        <v>821</v>
      </c>
      <c r="AO68" s="2">
        <f>$E68-547</f>
        <v>43984</v>
      </c>
      <c r="AP68" t="s">
        <v>111</v>
      </c>
      <c r="AQ68" s="2">
        <f>$E68-548</f>
        <v>43983</v>
      </c>
    </row>
    <row r="69" spans="1:43" x14ac:dyDescent="0.25">
      <c r="A69" t="s">
        <v>121</v>
      </c>
      <c r="B69" s="2">
        <v>18264</v>
      </c>
      <c r="C69" t="s">
        <v>113</v>
      </c>
      <c r="D69" t="s">
        <v>82</v>
      </c>
      <c r="E69" s="5">
        <v>44531</v>
      </c>
      <c r="AN69" t="s">
        <v>111</v>
      </c>
      <c r="AO69" s="2">
        <f>$E69-363</f>
        <v>44168</v>
      </c>
      <c r="AP69" t="s">
        <v>821</v>
      </c>
      <c r="AQ69" s="2">
        <f>$E69-364</f>
        <v>44167</v>
      </c>
    </row>
    <row r="70" spans="1:43" x14ac:dyDescent="0.25">
      <c r="A70" t="s">
        <v>121</v>
      </c>
      <c r="B70" s="2">
        <v>18264</v>
      </c>
      <c r="C70" t="s">
        <v>113</v>
      </c>
      <c r="D70" t="s">
        <v>82</v>
      </c>
      <c r="E70" s="5">
        <v>44531</v>
      </c>
      <c r="AN70" t="s">
        <v>111</v>
      </c>
      <c r="AO70" s="2">
        <f>$E70-364</f>
        <v>44167</v>
      </c>
      <c r="AP70" t="s">
        <v>821</v>
      </c>
      <c r="AQ70" s="2">
        <f>$E70-365</f>
        <v>44166</v>
      </c>
    </row>
    <row r="71" spans="1:43" x14ac:dyDescent="0.25">
      <c r="A71" t="s">
        <v>121</v>
      </c>
      <c r="B71" s="2">
        <v>18264</v>
      </c>
      <c r="C71" t="s">
        <v>113</v>
      </c>
      <c r="D71" t="s">
        <v>82</v>
      </c>
      <c r="E71" s="5">
        <v>44531</v>
      </c>
      <c r="AN71" t="s">
        <v>821</v>
      </c>
      <c r="AO71" s="2">
        <f>$E71-456</f>
        <v>44075</v>
      </c>
      <c r="AP71" t="s">
        <v>111</v>
      </c>
      <c r="AQ71" s="2">
        <f>$E71-457</f>
        <v>44074</v>
      </c>
    </row>
    <row r="72" spans="1:43" x14ac:dyDescent="0.25">
      <c r="A72" t="s">
        <v>121</v>
      </c>
      <c r="B72" s="2">
        <v>18264</v>
      </c>
      <c r="C72" t="s">
        <v>113</v>
      </c>
      <c r="D72" t="s">
        <v>82</v>
      </c>
      <c r="E72" s="5">
        <v>44531</v>
      </c>
      <c r="AN72" t="s">
        <v>111</v>
      </c>
      <c r="AO72" s="2">
        <f>$E72-272</f>
        <v>44259</v>
      </c>
      <c r="AP72" t="s">
        <v>821</v>
      </c>
      <c r="AQ72" s="2">
        <f>$E72-273</f>
        <v>44258</v>
      </c>
    </row>
    <row r="73" spans="1:43" x14ac:dyDescent="0.25">
      <c r="A73" t="s">
        <v>121</v>
      </c>
      <c r="B73" s="2">
        <v>18264</v>
      </c>
      <c r="C73" t="s">
        <v>113</v>
      </c>
      <c r="D73" t="s">
        <v>82</v>
      </c>
      <c r="E73" s="5">
        <v>44531</v>
      </c>
      <c r="AN73" t="s">
        <v>821</v>
      </c>
      <c r="AO73" s="2">
        <f>$E73-547</f>
        <v>43984</v>
      </c>
      <c r="AP73" t="s">
        <v>111</v>
      </c>
      <c r="AQ73" s="2">
        <f>$E73-548</f>
        <v>43983</v>
      </c>
    </row>
    <row r="74" spans="1:43" x14ac:dyDescent="0.25">
      <c r="A74" t="s">
        <v>121</v>
      </c>
      <c r="B74" s="2">
        <v>18264</v>
      </c>
      <c r="C74" t="s">
        <v>113</v>
      </c>
      <c r="D74" t="s">
        <v>82</v>
      </c>
      <c r="E74" s="5">
        <v>44531</v>
      </c>
      <c r="AN74" t="s">
        <v>821</v>
      </c>
      <c r="AO74" s="2">
        <f>$E74-364</f>
        <v>44167</v>
      </c>
      <c r="AP74" t="s">
        <v>111</v>
      </c>
      <c r="AQ74" s="2">
        <f>$E74-365</f>
        <v>44166</v>
      </c>
    </row>
    <row r="75" spans="1:43" x14ac:dyDescent="0.25">
      <c r="A75" t="s">
        <v>121</v>
      </c>
      <c r="B75" s="2">
        <v>18264</v>
      </c>
      <c r="C75" t="s">
        <v>113</v>
      </c>
      <c r="D75" t="s">
        <v>82</v>
      </c>
      <c r="E75" s="5">
        <v>44531</v>
      </c>
      <c r="AN75" t="s">
        <v>111</v>
      </c>
      <c r="AO75" s="2">
        <f>$E75-273</f>
        <v>44258</v>
      </c>
      <c r="AP75" t="s">
        <v>821</v>
      </c>
      <c r="AQ75" s="2">
        <f>$E75-274</f>
        <v>44257</v>
      </c>
    </row>
    <row r="76" spans="1:43" x14ac:dyDescent="0.25">
      <c r="A76" t="s">
        <v>121</v>
      </c>
      <c r="B76" s="2">
        <v>18264</v>
      </c>
      <c r="C76" t="s">
        <v>113</v>
      </c>
      <c r="D76" t="s">
        <v>82</v>
      </c>
      <c r="E76" s="5">
        <v>44531</v>
      </c>
      <c r="AN76" t="s">
        <v>821</v>
      </c>
      <c r="AO76" s="2">
        <f>$E76-455</f>
        <v>44076</v>
      </c>
      <c r="AP76" t="s">
        <v>111</v>
      </c>
      <c r="AQ76" s="2">
        <f>$E76-456</f>
        <v>44075</v>
      </c>
    </row>
    <row r="77" spans="1:43" x14ac:dyDescent="0.25">
      <c r="A77" t="s">
        <v>121</v>
      </c>
      <c r="B77" s="2">
        <v>18264</v>
      </c>
      <c r="C77" t="s">
        <v>113</v>
      </c>
      <c r="D77" t="s">
        <v>82</v>
      </c>
      <c r="E77" s="5">
        <v>44531</v>
      </c>
      <c r="AN77" t="s">
        <v>821</v>
      </c>
      <c r="AO77" s="2">
        <f>$E77-546</f>
        <v>43985</v>
      </c>
      <c r="AP77" t="s">
        <v>111</v>
      </c>
      <c r="AQ77" s="2">
        <f>$E77-547</f>
        <v>43984</v>
      </c>
    </row>
    <row r="78" spans="1:43" x14ac:dyDescent="0.25">
      <c r="A78" t="s">
        <v>121</v>
      </c>
      <c r="B78" s="2">
        <v>18264</v>
      </c>
      <c r="C78" t="s">
        <v>113</v>
      </c>
      <c r="D78" t="s">
        <v>82</v>
      </c>
      <c r="E78" s="5">
        <v>44531</v>
      </c>
      <c r="AN78" t="s">
        <v>111</v>
      </c>
      <c r="AO78" s="2">
        <f>$E78-91</f>
        <v>44440</v>
      </c>
      <c r="AP78" t="s">
        <v>821</v>
      </c>
      <c r="AQ78" s="2">
        <f>$E78-92</f>
        <v>44439</v>
      </c>
    </row>
    <row r="79" spans="1:43" x14ac:dyDescent="0.25">
      <c r="A79" t="s">
        <v>121</v>
      </c>
      <c r="B79" s="2">
        <v>18264</v>
      </c>
      <c r="C79" t="s">
        <v>113</v>
      </c>
      <c r="D79" t="s">
        <v>82</v>
      </c>
      <c r="E79" s="5">
        <v>44531</v>
      </c>
      <c r="AN79" t="s">
        <v>821</v>
      </c>
      <c r="AO79" s="2">
        <f>$E79-3652</f>
        <v>40879</v>
      </c>
      <c r="AP79" t="s">
        <v>111</v>
      </c>
      <c r="AQ79" s="2">
        <f>$E79-3653</f>
        <v>40878</v>
      </c>
    </row>
    <row r="80" spans="1:43" x14ac:dyDescent="0.25">
      <c r="A80" t="s">
        <v>121</v>
      </c>
      <c r="B80" s="2">
        <v>18264</v>
      </c>
      <c r="C80" t="s">
        <v>113</v>
      </c>
      <c r="D80" t="s">
        <v>82</v>
      </c>
      <c r="E80" s="5">
        <v>44531</v>
      </c>
      <c r="AN80" t="s">
        <v>821</v>
      </c>
      <c r="AO80" s="2">
        <f>$E80</f>
        <v>44531</v>
      </c>
      <c r="AP80" t="s">
        <v>111</v>
      </c>
      <c r="AQ80" s="2">
        <f>$E80-1</f>
        <v>44530</v>
      </c>
    </row>
    <row r="81" spans="1:61" x14ac:dyDescent="0.25">
      <c r="A81" t="s">
        <v>121</v>
      </c>
      <c r="B81" s="2">
        <v>18264</v>
      </c>
      <c r="C81" t="s">
        <v>113</v>
      </c>
      <c r="D81" t="s">
        <v>82</v>
      </c>
      <c r="E81" s="5">
        <v>44531</v>
      </c>
      <c r="AN81" t="s">
        <v>111</v>
      </c>
      <c r="AO81" s="2">
        <f>$E81+92</f>
        <v>44623</v>
      </c>
      <c r="AP81" t="s">
        <v>821</v>
      </c>
      <c r="AQ81" s="2">
        <f>$E81+91</f>
        <v>44622</v>
      </c>
    </row>
    <row r="82" spans="1:61" x14ac:dyDescent="0.25">
      <c r="A82" t="s">
        <v>121</v>
      </c>
      <c r="B82" s="2">
        <v>18264</v>
      </c>
      <c r="C82" t="s">
        <v>113</v>
      </c>
      <c r="D82" t="s">
        <v>82</v>
      </c>
      <c r="E82" s="5">
        <v>44531</v>
      </c>
      <c r="AN82" t="s">
        <v>821</v>
      </c>
      <c r="AO82" s="2">
        <f>$E82</f>
        <v>44531</v>
      </c>
      <c r="AP82" t="s">
        <v>111</v>
      </c>
      <c r="AQ82" s="2">
        <f>$E82-1</f>
        <v>44530</v>
      </c>
      <c r="AR82" t="s">
        <v>102</v>
      </c>
      <c r="AS82" s="2">
        <f>$E82-92</f>
        <v>44439</v>
      </c>
      <c r="AT82" t="s">
        <v>100</v>
      </c>
      <c r="AU82" s="2">
        <f>$E82-274</f>
        <v>44257</v>
      </c>
      <c r="AV82" t="s">
        <v>827</v>
      </c>
      <c r="AW82" s="2">
        <f>$E82-365</f>
        <v>44166</v>
      </c>
      <c r="AX82" t="s">
        <v>105</v>
      </c>
      <c r="AY82" s="2">
        <f>$E82-456</f>
        <v>44075</v>
      </c>
      <c r="AZ82" t="s">
        <v>110</v>
      </c>
      <c r="BA82" s="2">
        <f>$E82-547</f>
        <v>43984</v>
      </c>
      <c r="BB82" s="2" t="s">
        <v>78</v>
      </c>
      <c r="BC82" s="2">
        <f>$E82-913</f>
        <v>43618</v>
      </c>
      <c r="BD82" t="s">
        <v>106</v>
      </c>
      <c r="BE82" s="2">
        <f>$E82-1278</f>
        <v>43253</v>
      </c>
    </row>
    <row r="83" spans="1:61" x14ac:dyDescent="0.25">
      <c r="A83" t="s">
        <v>121</v>
      </c>
      <c r="B83" s="2">
        <v>18264</v>
      </c>
      <c r="C83" t="s">
        <v>113</v>
      </c>
      <c r="D83" t="s">
        <v>82</v>
      </c>
      <c r="E83" s="5">
        <v>44531</v>
      </c>
      <c r="AN83" t="s">
        <v>819</v>
      </c>
      <c r="AO83" s="2">
        <f>$E83</f>
        <v>44531</v>
      </c>
      <c r="AP83" t="s">
        <v>819</v>
      </c>
      <c r="AQ83" s="2">
        <f>$E83-1</f>
        <v>44530</v>
      </c>
      <c r="AR83" t="s">
        <v>819</v>
      </c>
      <c r="AS83" s="2">
        <f>$E83-92</f>
        <v>44439</v>
      </c>
      <c r="AT83" t="s">
        <v>819</v>
      </c>
      <c r="AU83" s="2">
        <f>$E83-274</f>
        <v>44257</v>
      </c>
      <c r="AV83" t="s">
        <v>819</v>
      </c>
      <c r="AW83" s="2">
        <f>$E83-365</f>
        <v>44166</v>
      </c>
      <c r="AX83" t="s">
        <v>819</v>
      </c>
      <c r="AY83" s="2">
        <f>$E83-456</f>
        <v>44075</v>
      </c>
      <c r="AZ83" t="s">
        <v>819</v>
      </c>
      <c r="BA83" s="2">
        <f>$E83-547</f>
        <v>43984</v>
      </c>
      <c r="BB83" t="s">
        <v>820</v>
      </c>
      <c r="BC83" s="2">
        <f>$E83-913</f>
        <v>43618</v>
      </c>
      <c r="BE83" s="2">
        <f>$E83-1278</f>
        <v>43253</v>
      </c>
    </row>
    <row r="84" spans="1:61" x14ac:dyDescent="0.25">
      <c r="A84" t="s">
        <v>121</v>
      </c>
      <c r="B84" s="2">
        <v>18264</v>
      </c>
      <c r="C84" t="s">
        <v>113</v>
      </c>
      <c r="D84" t="s">
        <v>82</v>
      </c>
      <c r="E84" s="5">
        <v>44531</v>
      </c>
      <c r="AN84" t="s">
        <v>821</v>
      </c>
      <c r="AP84" t="s">
        <v>111</v>
      </c>
      <c r="AR84" t="s">
        <v>102</v>
      </c>
      <c r="AT84" t="s">
        <v>100</v>
      </c>
      <c r="AV84" t="s">
        <v>827</v>
      </c>
      <c r="AX84" t="s">
        <v>105</v>
      </c>
      <c r="AZ84" t="s">
        <v>110</v>
      </c>
      <c r="BB84" s="2" t="s">
        <v>78</v>
      </c>
      <c r="BD84" t="s">
        <v>106</v>
      </c>
    </row>
    <row r="85" spans="1:61" x14ac:dyDescent="0.25">
      <c r="A85" t="s">
        <v>121</v>
      </c>
      <c r="B85" s="2">
        <v>18264</v>
      </c>
      <c r="C85" t="s">
        <v>113</v>
      </c>
      <c r="D85" t="s">
        <v>82</v>
      </c>
      <c r="E85" s="7">
        <v>44531</v>
      </c>
      <c r="AN85" t="s">
        <v>821</v>
      </c>
      <c r="AO85" s="7">
        <f t="shared" ref="AO85:AO91" si="9">$E85</f>
        <v>44531</v>
      </c>
      <c r="AP85" t="s">
        <v>111</v>
      </c>
      <c r="AQ85">
        <f t="shared" ref="AQ85:AQ91" si="10">$E85-1</f>
        <v>44530</v>
      </c>
      <c r="AR85" t="s">
        <v>102</v>
      </c>
      <c r="AS85" s="8">
        <f t="shared" ref="AS85:AS91" si="11">$E85-92</f>
        <v>44439</v>
      </c>
      <c r="AT85" t="s">
        <v>100</v>
      </c>
      <c r="AU85" s="9">
        <f t="shared" ref="AU85:AU91" si="12">$E85-274</f>
        <v>44257</v>
      </c>
      <c r="AV85" t="s">
        <v>827</v>
      </c>
      <c r="AW85" s="10">
        <f t="shared" ref="AW85:AW91" si="13">$E85-365</f>
        <v>44166</v>
      </c>
      <c r="AX85" t="s">
        <v>105</v>
      </c>
      <c r="AY85" s="11">
        <f t="shared" ref="AY85:AY91" si="14">$E85-456</f>
        <v>44075</v>
      </c>
      <c r="AZ85" t="s">
        <v>110</v>
      </c>
      <c r="BA85" s="12">
        <f t="shared" ref="BA85:BA91" si="15">$E85-547</f>
        <v>43984</v>
      </c>
      <c r="BB85" s="2" t="s">
        <v>78</v>
      </c>
      <c r="BC85" s="2">
        <f t="shared" ref="BC85:BC91" si="16">$E85-913</f>
        <v>43618</v>
      </c>
      <c r="BD85" t="s">
        <v>106</v>
      </c>
      <c r="BE85" s="7">
        <f t="shared" ref="BE85:BE91" si="17">$E85-1278</f>
        <v>43253</v>
      </c>
    </row>
    <row r="86" spans="1:61" x14ac:dyDescent="0.25">
      <c r="A86" t="s">
        <v>121</v>
      </c>
      <c r="B86" s="2">
        <v>18264</v>
      </c>
      <c r="C86" t="s">
        <v>113</v>
      </c>
      <c r="D86" t="s">
        <v>82</v>
      </c>
      <c r="E86" s="8">
        <v>44531</v>
      </c>
      <c r="AN86" t="s">
        <v>821</v>
      </c>
      <c r="AO86" s="7">
        <f t="shared" si="9"/>
        <v>44531</v>
      </c>
      <c r="AP86" t="s">
        <v>111</v>
      </c>
      <c r="AQ86">
        <f t="shared" si="10"/>
        <v>44530</v>
      </c>
      <c r="AR86" t="s">
        <v>102</v>
      </c>
      <c r="AS86" s="8">
        <f t="shared" si="11"/>
        <v>44439</v>
      </c>
      <c r="AT86" t="s">
        <v>100</v>
      </c>
      <c r="AU86" s="9">
        <f t="shared" si="12"/>
        <v>44257</v>
      </c>
      <c r="AV86" t="s">
        <v>827</v>
      </c>
      <c r="AW86" s="10">
        <f t="shared" si="13"/>
        <v>44166</v>
      </c>
      <c r="AX86" t="s">
        <v>105</v>
      </c>
      <c r="AY86" s="11">
        <f t="shared" si="14"/>
        <v>44075</v>
      </c>
      <c r="AZ86" t="s">
        <v>110</v>
      </c>
      <c r="BA86" s="12">
        <f t="shared" si="15"/>
        <v>43984</v>
      </c>
      <c r="BB86" s="2" t="s">
        <v>78</v>
      </c>
      <c r="BC86" s="2">
        <f t="shared" si="16"/>
        <v>43618</v>
      </c>
      <c r="BD86" t="s">
        <v>106</v>
      </c>
      <c r="BE86" s="8">
        <f t="shared" si="17"/>
        <v>43253</v>
      </c>
    </row>
    <row r="87" spans="1:61" x14ac:dyDescent="0.25">
      <c r="A87" t="s">
        <v>121</v>
      </c>
      <c r="B87" s="2">
        <v>18264</v>
      </c>
      <c r="C87" t="s">
        <v>113</v>
      </c>
      <c r="D87" t="s">
        <v>82</v>
      </c>
      <c r="E87" s="11">
        <v>44531</v>
      </c>
      <c r="AN87" t="s">
        <v>821</v>
      </c>
      <c r="AO87" s="7">
        <f t="shared" si="9"/>
        <v>44531</v>
      </c>
      <c r="AP87" t="s">
        <v>111</v>
      </c>
      <c r="AQ87">
        <f t="shared" si="10"/>
        <v>44530</v>
      </c>
      <c r="AR87" t="s">
        <v>102</v>
      </c>
      <c r="AS87" s="8">
        <f t="shared" si="11"/>
        <v>44439</v>
      </c>
      <c r="AT87" t="s">
        <v>100</v>
      </c>
      <c r="AU87" s="9">
        <f t="shared" si="12"/>
        <v>44257</v>
      </c>
      <c r="AV87" t="s">
        <v>827</v>
      </c>
      <c r="AW87" s="10">
        <f t="shared" si="13"/>
        <v>44166</v>
      </c>
      <c r="AX87" t="s">
        <v>105</v>
      </c>
      <c r="AY87" s="11">
        <f t="shared" si="14"/>
        <v>44075</v>
      </c>
      <c r="AZ87" t="s">
        <v>110</v>
      </c>
      <c r="BA87" s="12">
        <f t="shared" si="15"/>
        <v>43984</v>
      </c>
      <c r="BB87" s="2" t="s">
        <v>78</v>
      </c>
      <c r="BC87" s="2">
        <f t="shared" si="16"/>
        <v>43618</v>
      </c>
      <c r="BD87" t="s">
        <v>106</v>
      </c>
      <c r="BE87" s="11">
        <f t="shared" si="17"/>
        <v>43253</v>
      </c>
    </row>
    <row r="88" spans="1:61" x14ac:dyDescent="0.25">
      <c r="A88" t="s">
        <v>121</v>
      </c>
      <c r="B88" s="2">
        <v>18264</v>
      </c>
      <c r="C88" t="s">
        <v>113</v>
      </c>
      <c r="D88" t="s">
        <v>82</v>
      </c>
      <c r="E88" s="9">
        <v>44531</v>
      </c>
      <c r="AN88" t="s">
        <v>821</v>
      </c>
      <c r="AO88" s="7">
        <f t="shared" si="9"/>
        <v>44531</v>
      </c>
      <c r="AP88" t="s">
        <v>111</v>
      </c>
      <c r="AQ88">
        <f t="shared" si="10"/>
        <v>44530</v>
      </c>
      <c r="AR88" t="s">
        <v>102</v>
      </c>
      <c r="AS88" s="8">
        <f t="shared" si="11"/>
        <v>44439</v>
      </c>
      <c r="AT88" t="s">
        <v>100</v>
      </c>
      <c r="AU88" s="9">
        <f t="shared" si="12"/>
        <v>44257</v>
      </c>
      <c r="AV88" t="s">
        <v>827</v>
      </c>
      <c r="AW88" s="10">
        <f t="shared" si="13"/>
        <v>44166</v>
      </c>
      <c r="AX88" t="s">
        <v>105</v>
      </c>
      <c r="AY88" s="11">
        <f t="shared" si="14"/>
        <v>44075</v>
      </c>
      <c r="AZ88" t="s">
        <v>110</v>
      </c>
      <c r="BA88" s="12">
        <f t="shared" si="15"/>
        <v>43984</v>
      </c>
      <c r="BB88" s="2" t="s">
        <v>78</v>
      </c>
      <c r="BC88" s="2">
        <f t="shared" si="16"/>
        <v>43618</v>
      </c>
      <c r="BD88" t="s">
        <v>106</v>
      </c>
      <c r="BE88" s="9">
        <f t="shared" si="17"/>
        <v>43253</v>
      </c>
    </row>
    <row r="89" spans="1:61" x14ac:dyDescent="0.25">
      <c r="A89" t="s">
        <v>121</v>
      </c>
      <c r="B89" s="2">
        <v>18264</v>
      </c>
      <c r="C89" t="s">
        <v>113</v>
      </c>
      <c r="D89" t="s">
        <v>82</v>
      </c>
      <c r="E89" s="10">
        <v>44531</v>
      </c>
      <c r="AN89" t="s">
        <v>821</v>
      </c>
      <c r="AO89" s="7">
        <f t="shared" si="9"/>
        <v>44531</v>
      </c>
      <c r="AP89" t="s">
        <v>111</v>
      </c>
      <c r="AQ89">
        <f t="shared" si="10"/>
        <v>44530</v>
      </c>
      <c r="AR89" t="s">
        <v>102</v>
      </c>
      <c r="AS89" s="8">
        <f t="shared" si="11"/>
        <v>44439</v>
      </c>
      <c r="AT89" t="s">
        <v>100</v>
      </c>
      <c r="AU89" s="9">
        <f t="shared" si="12"/>
        <v>44257</v>
      </c>
      <c r="AV89" t="s">
        <v>827</v>
      </c>
      <c r="AW89" s="10">
        <f t="shared" si="13"/>
        <v>44166</v>
      </c>
      <c r="AX89" t="s">
        <v>105</v>
      </c>
      <c r="AY89" s="11">
        <f t="shared" si="14"/>
        <v>44075</v>
      </c>
      <c r="AZ89" t="s">
        <v>110</v>
      </c>
      <c r="BA89" s="12">
        <f t="shared" si="15"/>
        <v>43984</v>
      </c>
      <c r="BB89" s="2" t="s">
        <v>78</v>
      </c>
      <c r="BC89" s="2">
        <f t="shared" si="16"/>
        <v>43618</v>
      </c>
      <c r="BD89" t="s">
        <v>106</v>
      </c>
      <c r="BE89" s="10">
        <f t="shared" si="17"/>
        <v>43253</v>
      </c>
    </row>
    <row r="90" spans="1:61" x14ac:dyDescent="0.25">
      <c r="A90" t="s">
        <v>121</v>
      </c>
      <c r="B90" s="2">
        <v>18264</v>
      </c>
      <c r="C90" t="s">
        <v>113</v>
      </c>
      <c r="D90" t="s">
        <v>82</v>
      </c>
      <c r="E90" s="12">
        <v>44531</v>
      </c>
      <c r="AN90" t="s">
        <v>821</v>
      </c>
      <c r="AO90" s="7">
        <f t="shared" si="9"/>
        <v>44531</v>
      </c>
      <c r="AP90" t="s">
        <v>111</v>
      </c>
      <c r="AQ90">
        <f t="shared" si="10"/>
        <v>44530</v>
      </c>
      <c r="AR90" t="s">
        <v>102</v>
      </c>
      <c r="AS90" s="8">
        <f t="shared" si="11"/>
        <v>44439</v>
      </c>
      <c r="AT90" t="s">
        <v>100</v>
      </c>
      <c r="AU90" s="9">
        <f t="shared" si="12"/>
        <v>44257</v>
      </c>
      <c r="AV90" t="s">
        <v>827</v>
      </c>
      <c r="AW90" s="10">
        <f t="shared" si="13"/>
        <v>44166</v>
      </c>
      <c r="AX90" t="s">
        <v>105</v>
      </c>
      <c r="AY90" s="11">
        <f t="shared" si="14"/>
        <v>44075</v>
      </c>
      <c r="AZ90" t="s">
        <v>110</v>
      </c>
      <c r="BA90" s="12">
        <f t="shared" si="15"/>
        <v>43984</v>
      </c>
      <c r="BB90" s="2" t="s">
        <v>78</v>
      </c>
      <c r="BC90" s="2">
        <f t="shared" si="16"/>
        <v>43618</v>
      </c>
      <c r="BD90" t="s">
        <v>106</v>
      </c>
      <c r="BE90" s="12">
        <f t="shared" si="17"/>
        <v>43253</v>
      </c>
    </row>
    <row r="91" spans="1:61" x14ac:dyDescent="0.25">
      <c r="A91" t="s">
        <v>121</v>
      </c>
      <c r="B91" s="2">
        <v>18264</v>
      </c>
      <c r="C91" t="s">
        <v>113</v>
      </c>
      <c r="D91" t="s">
        <v>82</v>
      </c>
      <c r="E91">
        <v>44531</v>
      </c>
      <c r="AN91" t="s">
        <v>821</v>
      </c>
      <c r="AO91" s="7">
        <f t="shared" si="9"/>
        <v>44531</v>
      </c>
      <c r="AP91" t="s">
        <v>111</v>
      </c>
      <c r="AQ91">
        <f t="shared" si="10"/>
        <v>44530</v>
      </c>
      <c r="AR91" t="s">
        <v>102</v>
      </c>
      <c r="AS91" s="8">
        <f t="shared" si="11"/>
        <v>44439</v>
      </c>
      <c r="AT91" t="s">
        <v>100</v>
      </c>
      <c r="AU91" s="9">
        <f t="shared" si="12"/>
        <v>44257</v>
      </c>
      <c r="AV91" t="s">
        <v>827</v>
      </c>
      <c r="AW91" s="10">
        <f t="shared" si="13"/>
        <v>44166</v>
      </c>
      <c r="AX91" t="s">
        <v>105</v>
      </c>
      <c r="AY91" s="11">
        <f t="shared" si="14"/>
        <v>44075</v>
      </c>
      <c r="AZ91" t="s">
        <v>110</v>
      </c>
      <c r="BA91" s="12">
        <f t="shared" si="15"/>
        <v>43984</v>
      </c>
      <c r="BB91" s="2" t="s">
        <v>78</v>
      </c>
      <c r="BC91" s="2">
        <f t="shared" si="16"/>
        <v>43618</v>
      </c>
      <c r="BD91" t="s">
        <v>106</v>
      </c>
      <c r="BE91" s="2">
        <f t="shared" si="17"/>
        <v>43253</v>
      </c>
    </row>
    <row r="92" spans="1:61" x14ac:dyDescent="0.25">
      <c r="A92" t="s">
        <v>121</v>
      </c>
      <c r="B92" s="2">
        <v>18264</v>
      </c>
      <c r="C92" t="s">
        <v>113</v>
      </c>
      <c r="D92" t="s">
        <v>82</v>
      </c>
      <c r="E92" s="5">
        <v>44531</v>
      </c>
      <c r="BF92" t="s">
        <v>79</v>
      </c>
      <c r="BG92" s="2">
        <f>$E92+1</f>
        <v>44532</v>
      </c>
      <c r="BH92" t="s">
        <v>1147</v>
      </c>
      <c r="BI92" s="2">
        <f>$E92</f>
        <v>44531</v>
      </c>
    </row>
    <row r="93" spans="1:61" x14ac:dyDescent="0.25">
      <c r="A93" t="s">
        <v>121</v>
      </c>
      <c r="B93" s="2">
        <v>18264</v>
      </c>
      <c r="C93" t="s">
        <v>113</v>
      </c>
      <c r="D93" t="s">
        <v>82</v>
      </c>
      <c r="E93" s="5">
        <v>44531</v>
      </c>
      <c r="BF93" t="s">
        <v>1145</v>
      </c>
      <c r="BG93" s="2">
        <f>$E93</f>
        <v>44531</v>
      </c>
      <c r="BH93" t="s">
        <v>1146</v>
      </c>
      <c r="BI93" s="2">
        <f>$E93+1</f>
        <v>44532</v>
      </c>
    </row>
    <row r="94" spans="1:61" x14ac:dyDescent="0.25">
      <c r="A94" t="s">
        <v>121</v>
      </c>
      <c r="B94" s="2">
        <v>18264</v>
      </c>
      <c r="C94" t="s">
        <v>113</v>
      </c>
      <c r="D94" t="s">
        <v>82</v>
      </c>
      <c r="E94" s="5">
        <v>44531</v>
      </c>
      <c r="BF94">
        <v>170.5</v>
      </c>
      <c r="BG94" s="2">
        <f>$E94-1</f>
        <v>44530</v>
      </c>
      <c r="BH94">
        <v>171.5</v>
      </c>
      <c r="BI94" s="2">
        <f>$E94-2</f>
        <v>44529</v>
      </c>
    </row>
    <row r="95" spans="1:61" x14ac:dyDescent="0.25">
      <c r="A95" t="s">
        <v>121</v>
      </c>
      <c r="B95" s="2">
        <v>18264</v>
      </c>
      <c r="C95" t="s">
        <v>113</v>
      </c>
      <c r="D95" t="s">
        <v>82</v>
      </c>
      <c r="E95" s="5">
        <v>44531</v>
      </c>
      <c r="BF95" t="s">
        <v>1633</v>
      </c>
      <c r="BG95" s="2">
        <f>$E95-2</f>
        <v>44529</v>
      </c>
      <c r="BH95" t="s">
        <v>1634</v>
      </c>
      <c r="BI95" s="2">
        <f>$E95-1</f>
        <v>44530</v>
      </c>
    </row>
    <row r="96" spans="1:61" x14ac:dyDescent="0.25">
      <c r="A96" t="s">
        <v>121</v>
      </c>
      <c r="B96" s="2">
        <v>18264</v>
      </c>
      <c r="C96" t="s">
        <v>113</v>
      </c>
      <c r="D96" t="s">
        <v>82</v>
      </c>
      <c r="E96" s="5">
        <v>44531</v>
      </c>
      <c r="BF96" t="s">
        <v>1148</v>
      </c>
      <c r="BG96" s="2">
        <f>$E96-274</f>
        <v>44257</v>
      </c>
      <c r="BH96" t="s">
        <v>1149</v>
      </c>
      <c r="BI96" s="2">
        <f>$E96-275</f>
        <v>44256</v>
      </c>
    </row>
    <row r="97" spans="1:61" x14ac:dyDescent="0.25">
      <c r="A97" t="s">
        <v>121</v>
      </c>
      <c r="B97" s="2">
        <v>18264</v>
      </c>
      <c r="C97" t="s">
        <v>113</v>
      </c>
      <c r="D97" t="s">
        <v>82</v>
      </c>
      <c r="E97" s="5">
        <v>44531</v>
      </c>
      <c r="BF97" t="s">
        <v>75</v>
      </c>
      <c r="BG97" s="2">
        <f>$E97-365</f>
        <v>44166</v>
      </c>
      <c r="BH97" t="s">
        <v>79</v>
      </c>
      <c r="BI97" s="2">
        <f>$E97-366</f>
        <v>44165</v>
      </c>
    </row>
    <row r="98" spans="1:61" x14ac:dyDescent="0.25">
      <c r="A98" t="s">
        <v>121</v>
      </c>
      <c r="B98" s="2">
        <v>18264</v>
      </c>
      <c r="C98" t="s">
        <v>113</v>
      </c>
      <c r="D98" t="s">
        <v>82</v>
      </c>
      <c r="E98" s="5">
        <v>44531</v>
      </c>
      <c r="BF98" t="s">
        <v>75</v>
      </c>
      <c r="BG98" s="2">
        <f>$E98-456</f>
        <v>44075</v>
      </c>
      <c r="BH98" t="s">
        <v>79</v>
      </c>
      <c r="BI98" s="2">
        <f>$E98-457</f>
        <v>44074</v>
      </c>
    </row>
    <row r="99" spans="1:61" x14ac:dyDescent="0.25">
      <c r="A99" t="s">
        <v>121</v>
      </c>
      <c r="B99" s="2">
        <v>18264</v>
      </c>
      <c r="C99" t="s">
        <v>113</v>
      </c>
      <c r="D99" t="s">
        <v>82</v>
      </c>
      <c r="E99" s="5">
        <v>44531</v>
      </c>
      <c r="BF99" t="s">
        <v>79</v>
      </c>
      <c r="BG99" s="2">
        <f>$E99-272</f>
        <v>44259</v>
      </c>
      <c r="BH99" t="s">
        <v>75</v>
      </c>
      <c r="BI99" s="2">
        <f>$E99-273</f>
        <v>44258</v>
      </c>
    </row>
    <row r="100" spans="1:61" x14ac:dyDescent="0.25">
      <c r="A100" t="s">
        <v>121</v>
      </c>
      <c r="B100" s="2">
        <v>18264</v>
      </c>
      <c r="C100" t="s">
        <v>113</v>
      </c>
      <c r="D100" t="s">
        <v>82</v>
      </c>
      <c r="E100" s="5">
        <v>44531</v>
      </c>
      <c r="BF100" t="s">
        <v>75</v>
      </c>
      <c r="BG100" s="2">
        <f>$E100-547</f>
        <v>43984</v>
      </c>
      <c r="BH100" t="s">
        <v>79</v>
      </c>
      <c r="BI100" s="2">
        <f>$E100-548</f>
        <v>43983</v>
      </c>
    </row>
    <row r="101" spans="1:61" x14ac:dyDescent="0.25">
      <c r="A101" t="s">
        <v>121</v>
      </c>
      <c r="B101" s="2">
        <v>18264</v>
      </c>
      <c r="C101" t="s">
        <v>113</v>
      </c>
      <c r="D101" t="s">
        <v>82</v>
      </c>
      <c r="E101" s="5">
        <v>44531</v>
      </c>
      <c r="BF101" t="s">
        <v>79</v>
      </c>
      <c r="BG101" s="2">
        <f>$E101-363</f>
        <v>44168</v>
      </c>
      <c r="BH101" t="s">
        <v>75</v>
      </c>
      <c r="BI101" s="2">
        <f>$E101-364</f>
        <v>44167</v>
      </c>
    </row>
    <row r="102" spans="1:61" x14ac:dyDescent="0.25">
      <c r="A102" t="s">
        <v>121</v>
      </c>
      <c r="B102" s="2">
        <v>18264</v>
      </c>
      <c r="C102" t="s">
        <v>113</v>
      </c>
      <c r="D102" t="s">
        <v>82</v>
      </c>
      <c r="E102" s="5">
        <v>44531</v>
      </c>
      <c r="BF102" t="s">
        <v>79</v>
      </c>
      <c r="BG102" s="2">
        <f>$E102-364</f>
        <v>44167</v>
      </c>
      <c r="BH102" t="s">
        <v>75</v>
      </c>
      <c r="BI102" s="2">
        <f>$E102-365</f>
        <v>44166</v>
      </c>
    </row>
    <row r="103" spans="1:61" x14ac:dyDescent="0.25">
      <c r="A103" t="s">
        <v>121</v>
      </c>
      <c r="B103" s="2">
        <v>18264</v>
      </c>
      <c r="C103" t="s">
        <v>113</v>
      </c>
      <c r="D103" t="s">
        <v>82</v>
      </c>
      <c r="E103" s="5">
        <v>44531</v>
      </c>
      <c r="BF103" t="s">
        <v>75</v>
      </c>
      <c r="BG103" s="2">
        <f>$E103-456</f>
        <v>44075</v>
      </c>
      <c r="BH103" t="s">
        <v>79</v>
      </c>
      <c r="BI103" s="2">
        <f>$E103-457</f>
        <v>44074</v>
      </c>
    </row>
    <row r="104" spans="1:61" x14ac:dyDescent="0.25">
      <c r="A104" t="s">
        <v>121</v>
      </c>
      <c r="B104" s="2">
        <v>18264</v>
      </c>
      <c r="C104" t="s">
        <v>113</v>
      </c>
      <c r="D104" t="s">
        <v>82</v>
      </c>
      <c r="E104" s="5">
        <v>44531</v>
      </c>
      <c r="BF104" t="s">
        <v>79</v>
      </c>
      <c r="BG104" s="2">
        <f>$E104-272</f>
        <v>44259</v>
      </c>
      <c r="BH104" t="s">
        <v>75</v>
      </c>
      <c r="BI104" s="2">
        <f>$E104-273</f>
        <v>44258</v>
      </c>
    </row>
    <row r="105" spans="1:61" x14ac:dyDescent="0.25">
      <c r="A105" t="s">
        <v>121</v>
      </c>
      <c r="B105" s="2">
        <v>18264</v>
      </c>
      <c r="C105" t="s">
        <v>113</v>
      </c>
      <c r="D105" t="s">
        <v>82</v>
      </c>
      <c r="E105" s="5">
        <v>44531</v>
      </c>
      <c r="BF105" t="s">
        <v>75</v>
      </c>
      <c r="BG105" s="2">
        <f>$E105-547</f>
        <v>43984</v>
      </c>
      <c r="BH105" t="s">
        <v>79</v>
      </c>
      <c r="BI105" s="2">
        <f>$E105-548</f>
        <v>43983</v>
      </c>
    </row>
    <row r="106" spans="1:61" x14ac:dyDescent="0.25">
      <c r="A106" t="s">
        <v>121</v>
      </c>
      <c r="B106" s="2">
        <v>18264</v>
      </c>
      <c r="C106" t="s">
        <v>113</v>
      </c>
      <c r="D106" t="s">
        <v>82</v>
      </c>
      <c r="E106" s="5">
        <v>44531</v>
      </c>
      <c r="BF106" t="s">
        <v>75</v>
      </c>
      <c r="BG106" s="2">
        <f>$E106-364</f>
        <v>44167</v>
      </c>
      <c r="BH106" t="s">
        <v>79</v>
      </c>
      <c r="BI106" s="2">
        <f>$E106-365</f>
        <v>44166</v>
      </c>
    </row>
    <row r="107" spans="1:61" x14ac:dyDescent="0.25">
      <c r="A107" t="s">
        <v>121</v>
      </c>
      <c r="B107" s="2">
        <v>18264</v>
      </c>
      <c r="C107" t="s">
        <v>113</v>
      </c>
      <c r="D107" t="s">
        <v>82</v>
      </c>
      <c r="E107" s="5">
        <v>44531</v>
      </c>
      <c r="BF107" t="s">
        <v>79</v>
      </c>
      <c r="BG107" s="2">
        <f>$E107-273</f>
        <v>44258</v>
      </c>
      <c r="BH107" t="s">
        <v>75</v>
      </c>
      <c r="BI107" s="2">
        <f>$E107-274</f>
        <v>44257</v>
      </c>
    </row>
    <row r="108" spans="1:61" x14ac:dyDescent="0.25">
      <c r="A108" t="s">
        <v>121</v>
      </c>
      <c r="B108" s="2">
        <v>18264</v>
      </c>
      <c r="C108" t="s">
        <v>113</v>
      </c>
      <c r="D108" t="s">
        <v>82</v>
      </c>
      <c r="E108" s="5">
        <v>44531</v>
      </c>
      <c r="BF108" t="s">
        <v>75</v>
      </c>
      <c r="BG108" s="2">
        <f>$E108-455</f>
        <v>44076</v>
      </c>
      <c r="BH108" t="s">
        <v>79</v>
      </c>
      <c r="BI108" s="2">
        <f>$E108-456</f>
        <v>44075</v>
      </c>
    </row>
    <row r="109" spans="1:61" x14ac:dyDescent="0.25">
      <c r="A109" t="s">
        <v>121</v>
      </c>
      <c r="B109" s="2">
        <v>18264</v>
      </c>
      <c r="C109" t="s">
        <v>113</v>
      </c>
      <c r="D109" t="s">
        <v>82</v>
      </c>
      <c r="E109" s="5">
        <v>44531</v>
      </c>
      <c r="BF109" t="s">
        <v>75</v>
      </c>
      <c r="BG109" s="2">
        <f>$E109-546</f>
        <v>43985</v>
      </c>
      <c r="BH109" t="s">
        <v>79</v>
      </c>
      <c r="BI109" s="2">
        <f>$E109-547</f>
        <v>43984</v>
      </c>
    </row>
    <row r="110" spans="1:61" x14ac:dyDescent="0.25">
      <c r="A110" t="s">
        <v>121</v>
      </c>
      <c r="B110" s="2">
        <v>18264</v>
      </c>
      <c r="C110" t="s">
        <v>113</v>
      </c>
      <c r="D110" t="s">
        <v>82</v>
      </c>
      <c r="E110" s="5">
        <v>44531</v>
      </c>
      <c r="BF110" t="s">
        <v>79</v>
      </c>
      <c r="BG110" s="2">
        <f>$E110-91</f>
        <v>44440</v>
      </c>
      <c r="BH110" t="s">
        <v>75</v>
      </c>
      <c r="BI110" s="2">
        <f>$E110-92</f>
        <v>44439</v>
      </c>
    </row>
    <row r="111" spans="1:61" x14ac:dyDescent="0.25">
      <c r="A111" t="s">
        <v>121</v>
      </c>
      <c r="B111" s="2">
        <v>18264</v>
      </c>
      <c r="C111" t="s">
        <v>113</v>
      </c>
      <c r="D111" t="s">
        <v>82</v>
      </c>
      <c r="E111" s="5">
        <v>44531</v>
      </c>
      <c r="BF111" t="s">
        <v>75</v>
      </c>
      <c r="BG111" s="2">
        <f>$E111-3652</f>
        <v>40879</v>
      </c>
      <c r="BH111" t="s">
        <v>79</v>
      </c>
      <c r="BI111" s="2">
        <f>$E111-3653</f>
        <v>40878</v>
      </c>
    </row>
    <row r="112" spans="1:61" x14ac:dyDescent="0.25">
      <c r="A112" t="s">
        <v>121</v>
      </c>
      <c r="B112" s="2">
        <v>18264</v>
      </c>
      <c r="C112" t="s">
        <v>113</v>
      </c>
      <c r="D112" t="s">
        <v>82</v>
      </c>
      <c r="E112" s="5">
        <v>44531</v>
      </c>
      <c r="BF112" t="s">
        <v>75</v>
      </c>
      <c r="BG112" s="2">
        <f>$E112</f>
        <v>44531</v>
      </c>
      <c r="BH112" t="s">
        <v>79</v>
      </c>
      <c r="BI112" s="2">
        <f>$E112-1</f>
        <v>44530</v>
      </c>
    </row>
    <row r="113" spans="1:83" x14ac:dyDescent="0.25">
      <c r="A113" t="s">
        <v>121</v>
      </c>
      <c r="B113" s="2">
        <v>18264</v>
      </c>
      <c r="C113" t="s">
        <v>113</v>
      </c>
      <c r="D113" t="s">
        <v>82</v>
      </c>
      <c r="E113" s="5">
        <v>44531</v>
      </c>
      <c r="BF113" t="s">
        <v>79</v>
      </c>
      <c r="BG113" s="2">
        <f>$E113+92</f>
        <v>44623</v>
      </c>
      <c r="BH113" t="s">
        <v>75</v>
      </c>
      <c r="BI113" s="2">
        <f>$E113+91</f>
        <v>44622</v>
      </c>
    </row>
    <row r="114" spans="1:83" x14ac:dyDescent="0.25">
      <c r="A114" t="s">
        <v>121</v>
      </c>
      <c r="B114" s="2">
        <v>18264</v>
      </c>
      <c r="C114" t="s">
        <v>113</v>
      </c>
      <c r="D114" t="s">
        <v>82</v>
      </c>
      <c r="E114" s="5">
        <v>44531</v>
      </c>
      <c r="BF114" t="s">
        <v>75</v>
      </c>
      <c r="BG114" s="2">
        <f>$E114</f>
        <v>44531</v>
      </c>
      <c r="BH114" t="s">
        <v>79</v>
      </c>
      <c r="BI114" s="2">
        <f>$E114-1</f>
        <v>44530</v>
      </c>
      <c r="BJ114" t="s">
        <v>81</v>
      </c>
      <c r="BK114" s="2">
        <f>$E114-92</f>
        <v>44439</v>
      </c>
      <c r="BL114" t="s">
        <v>80</v>
      </c>
      <c r="BM114" s="2">
        <f>$E114-274</f>
        <v>44257</v>
      </c>
      <c r="BN114" t="s">
        <v>74</v>
      </c>
      <c r="BO114" s="2">
        <f>$E114-365</f>
        <v>44166</v>
      </c>
      <c r="BP114" t="s">
        <v>92</v>
      </c>
      <c r="BQ114" s="2">
        <f>$E114-456</f>
        <v>44075</v>
      </c>
      <c r="BR114" t="s">
        <v>87</v>
      </c>
      <c r="BS114" s="2">
        <f>$E114-547</f>
        <v>43984</v>
      </c>
      <c r="BT114" s="2" t="s">
        <v>88</v>
      </c>
      <c r="BU114" s="2">
        <f>$E114-913</f>
        <v>43618</v>
      </c>
      <c r="BV114" t="s">
        <v>85</v>
      </c>
      <c r="BW114" s="2">
        <f>$E114-1278</f>
        <v>43253</v>
      </c>
    </row>
    <row r="115" spans="1:83" x14ac:dyDescent="0.25">
      <c r="A115" t="s">
        <v>121</v>
      </c>
      <c r="B115" s="2">
        <v>18264</v>
      </c>
      <c r="C115" t="s">
        <v>113</v>
      </c>
      <c r="D115" t="s">
        <v>82</v>
      </c>
      <c r="E115" s="5">
        <v>44531</v>
      </c>
      <c r="BF115" t="s">
        <v>108</v>
      </c>
      <c r="BG115" s="2">
        <f>$E115</f>
        <v>44531</v>
      </c>
      <c r="BH115" t="s">
        <v>108</v>
      </c>
      <c r="BI115" s="2">
        <f>$E115-1</f>
        <v>44530</v>
      </c>
      <c r="BJ115" t="s">
        <v>108</v>
      </c>
      <c r="BK115" s="2">
        <f>$E115-92</f>
        <v>44439</v>
      </c>
      <c r="BL115" t="s">
        <v>108</v>
      </c>
      <c r="BM115" s="2">
        <f>$E115-274</f>
        <v>44257</v>
      </c>
      <c r="BN115" t="s">
        <v>108</v>
      </c>
      <c r="BO115" s="2">
        <f>$E115-365</f>
        <v>44166</v>
      </c>
      <c r="BP115" t="s">
        <v>108</v>
      </c>
      <c r="BQ115" s="2">
        <f>$E115-456</f>
        <v>44075</v>
      </c>
      <c r="BR115" t="s">
        <v>108</v>
      </c>
      <c r="BS115" s="2">
        <f>$E115-547</f>
        <v>43984</v>
      </c>
      <c r="BT115" t="s">
        <v>293</v>
      </c>
      <c r="BU115" s="2">
        <f>$E115-913</f>
        <v>43618</v>
      </c>
      <c r="BW115" s="2">
        <f>$E115-1278</f>
        <v>43253</v>
      </c>
    </row>
    <row r="116" spans="1:83" x14ac:dyDescent="0.25">
      <c r="A116" t="s">
        <v>121</v>
      </c>
      <c r="B116" s="2">
        <v>18264</v>
      </c>
      <c r="C116" t="s">
        <v>113</v>
      </c>
      <c r="D116" t="s">
        <v>82</v>
      </c>
      <c r="E116" s="5">
        <v>44531</v>
      </c>
      <c r="BF116" t="s">
        <v>75</v>
      </c>
      <c r="BH116" t="s">
        <v>79</v>
      </c>
      <c r="BJ116" t="s">
        <v>81</v>
      </c>
      <c r="BL116" t="s">
        <v>80</v>
      </c>
      <c r="BN116" t="s">
        <v>74</v>
      </c>
      <c r="BP116" t="s">
        <v>92</v>
      </c>
      <c r="BR116" t="s">
        <v>87</v>
      </c>
      <c r="BT116" s="2" t="s">
        <v>88</v>
      </c>
      <c r="BV116" t="s">
        <v>85</v>
      </c>
    </row>
    <row r="117" spans="1:83" x14ac:dyDescent="0.25">
      <c r="A117" t="s">
        <v>121</v>
      </c>
      <c r="B117" s="2">
        <v>18264</v>
      </c>
      <c r="C117" t="s">
        <v>113</v>
      </c>
      <c r="D117" t="s">
        <v>82</v>
      </c>
      <c r="E117" s="7">
        <v>44531</v>
      </c>
      <c r="BF117" t="s">
        <v>75</v>
      </c>
      <c r="BG117" s="7">
        <f t="shared" ref="BG117:BG123" si="18">$E117</f>
        <v>44531</v>
      </c>
      <c r="BH117" t="s">
        <v>79</v>
      </c>
      <c r="BI117">
        <f t="shared" ref="BI117:BI123" si="19">$E117-1</f>
        <v>44530</v>
      </c>
      <c r="BJ117" t="s">
        <v>81</v>
      </c>
      <c r="BK117" s="8">
        <f t="shared" ref="BK117:BK123" si="20">$E117-92</f>
        <v>44439</v>
      </c>
      <c r="BL117" t="s">
        <v>80</v>
      </c>
      <c r="BM117" s="9">
        <f t="shared" ref="BM117:BM123" si="21">$E117-274</f>
        <v>44257</v>
      </c>
      <c r="BN117" t="s">
        <v>74</v>
      </c>
      <c r="BO117" s="10">
        <f t="shared" ref="BO117:BO123" si="22">$E117-365</f>
        <v>44166</v>
      </c>
      <c r="BP117" t="s">
        <v>92</v>
      </c>
      <c r="BQ117" s="11">
        <f t="shared" ref="BQ117:BQ123" si="23">$E117-456</f>
        <v>44075</v>
      </c>
      <c r="BR117" t="s">
        <v>87</v>
      </c>
      <c r="BS117" s="12">
        <f t="shared" ref="BS117:BS123" si="24">$E117-547</f>
        <v>43984</v>
      </c>
      <c r="BT117" s="2" t="s">
        <v>88</v>
      </c>
      <c r="BU117" s="2">
        <f t="shared" ref="BU117:BU123" si="25">$E117-913</f>
        <v>43618</v>
      </c>
      <c r="BV117" t="s">
        <v>85</v>
      </c>
      <c r="BW117" s="7">
        <f t="shared" ref="BW117:BW123" si="26">$E117-1278</f>
        <v>43253</v>
      </c>
    </row>
    <row r="118" spans="1:83" x14ac:dyDescent="0.25">
      <c r="A118" t="s">
        <v>121</v>
      </c>
      <c r="B118" s="2">
        <v>18264</v>
      </c>
      <c r="C118" t="s">
        <v>113</v>
      </c>
      <c r="D118" t="s">
        <v>82</v>
      </c>
      <c r="E118" s="8">
        <v>44531</v>
      </c>
      <c r="BF118" t="s">
        <v>75</v>
      </c>
      <c r="BG118" s="7">
        <f t="shared" si="18"/>
        <v>44531</v>
      </c>
      <c r="BH118" t="s">
        <v>79</v>
      </c>
      <c r="BI118">
        <f t="shared" si="19"/>
        <v>44530</v>
      </c>
      <c r="BJ118" t="s">
        <v>81</v>
      </c>
      <c r="BK118" s="8">
        <f t="shared" si="20"/>
        <v>44439</v>
      </c>
      <c r="BL118" t="s">
        <v>80</v>
      </c>
      <c r="BM118" s="9">
        <f t="shared" si="21"/>
        <v>44257</v>
      </c>
      <c r="BN118" t="s">
        <v>74</v>
      </c>
      <c r="BO118" s="10">
        <f t="shared" si="22"/>
        <v>44166</v>
      </c>
      <c r="BP118" t="s">
        <v>92</v>
      </c>
      <c r="BQ118" s="11">
        <f t="shared" si="23"/>
        <v>44075</v>
      </c>
      <c r="BR118" t="s">
        <v>87</v>
      </c>
      <c r="BS118" s="12">
        <f t="shared" si="24"/>
        <v>43984</v>
      </c>
      <c r="BT118" s="2" t="s">
        <v>88</v>
      </c>
      <c r="BU118" s="2">
        <f t="shared" si="25"/>
        <v>43618</v>
      </c>
      <c r="BV118" t="s">
        <v>85</v>
      </c>
      <c r="BW118" s="8">
        <f t="shared" si="26"/>
        <v>43253</v>
      </c>
    </row>
    <row r="119" spans="1:83" x14ac:dyDescent="0.25">
      <c r="A119" t="s">
        <v>121</v>
      </c>
      <c r="B119" s="2">
        <v>18264</v>
      </c>
      <c r="C119" t="s">
        <v>113</v>
      </c>
      <c r="D119" t="s">
        <v>82</v>
      </c>
      <c r="E119" s="11">
        <v>44531</v>
      </c>
      <c r="BF119" t="s">
        <v>75</v>
      </c>
      <c r="BG119" s="7">
        <f t="shared" si="18"/>
        <v>44531</v>
      </c>
      <c r="BH119" t="s">
        <v>79</v>
      </c>
      <c r="BI119">
        <f t="shared" si="19"/>
        <v>44530</v>
      </c>
      <c r="BJ119" t="s">
        <v>81</v>
      </c>
      <c r="BK119" s="8">
        <f t="shared" si="20"/>
        <v>44439</v>
      </c>
      <c r="BL119" t="s">
        <v>80</v>
      </c>
      <c r="BM119" s="9">
        <f t="shared" si="21"/>
        <v>44257</v>
      </c>
      <c r="BN119" t="s">
        <v>74</v>
      </c>
      <c r="BO119" s="10">
        <f t="shared" si="22"/>
        <v>44166</v>
      </c>
      <c r="BP119" t="s">
        <v>92</v>
      </c>
      <c r="BQ119" s="11">
        <f t="shared" si="23"/>
        <v>44075</v>
      </c>
      <c r="BR119" t="s">
        <v>87</v>
      </c>
      <c r="BS119" s="12">
        <f t="shared" si="24"/>
        <v>43984</v>
      </c>
      <c r="BT119" s="2" t="s">
        <v>88</v>
      </c>
      <c r="BU119" s="2">
        <f t="shared" si="25"/>
        <v>43618</v>
      </c>
      <c r="BV119" t="s">
        <v>85</v>
      </c>
      <c r="BW119" s="11">
        <f t="shared" si="26"/>
        <v>43253</v>
      </c>
    </row>
    <row r="120" spans="1:83" x14ac:dyDescent="0.25">
      <c r="A120" t="s">
        <v>121</v>
      </c>
      <c r="B120" s="2">
        <v>18264</v>
      </c>
      <c r="C120" t="s">
        <v>113</v>
      </c>
      <c r="D120" t="s">
        <v>82</v>
      </c>
      <c r="E120" s="9">
        <v>44531</v>
      </c>
      <c r="BF120" t="s">
        <v>75</v>
      </c>
      <c r="BG120" s="7">
        <f t="shared" si="18"/>
        <v>44531</v>
      </c>
      <c r="BH120" t="s">
        <v>79</v>
      </c>
      <c r="BI120">
        <f t="shared" si="19"/>
        <v>44530</v>
      </c>
      <c r="BJ120" t="s">
        <v>81</v>
      </c>
      <c r="BK120" s="8">
        <f t="shared" si="20"/>
        <v>44439</v>
      </c>
      <c r="BL120" t="s">
        <v>80</v>
      </c>
      <c r="BM120" s="9">
        <f t="shared" si="21"/>
        <v>44257</v>
      </c>
      <c r="BN120" t="s">
        <v>74</v>
      </c>
      <c r="BO120" s="10">
        <f t="shared" si="22"/>
        <v>44166</v>
      </c>
      <c r="BP120" t="s">
        <v>92</v>
      </c>
      <c r="BQ120" s="11">
        <f t="shared" si="23"/>
        <v>44075</v>
      </c>
      <c r="BR120" t="s">
        <v>87</v>
      </c>
      <c r="BS120" s="12">
        <f t="shared" si="24"/>
        <v>43984</v>
      </c>
      <c r="BT120" s="2" t="s">
        <v>88</v>
      </c>
      <c r="BU120" s="2">
        <f t="shared" si="25"/>
        <v>43618</v>
      </c>
      <c r="BV120" t="s">
        <v>85</v>
      </c>
      <c r="BW120" s="9">
        <f t="shared" si="26"/>
        <v>43253</v>
      </c>
    </row>
    <row r="121" spans="1:83" x14ac:dyDescent="0.25">
      <c r="A121" t="s">
        <v>121</v>
      </c>
      <c r="B121" s="2">
        <v>18264</v>
      </c>
      <c r="C121" t="s">
        <v>113</v>
      </c>
      <c r="D121" t="s">
        <v>82</v>
      </c>
      <c r="E121" s="10">
        <v>44531</v>
      </c>
      <c r="BF121" t="s">
        <v>75</v>
      </c>
      <c r="BG121" s="7">
        <f t="shared" si="18"/>
        <v>44531</v>
      </c>
      <c r="BH121" t="s">
        <v>79</v>
      </c>
      <c r="BI121">
        <f t="shared" si="19"/>
        <v>44530</v>
      </c>
      <c r="BJ121" t="s">
        <v>81</v>
      </c>
      <c r="BK121" s="8">
        <f t="shared" si="20"/>
        <v>44439</v>
      </c>
      <c r="BL121" t="s">
        <v>80</v>
      </c>
      <c r="BM121" s="9">
        <f t="shared" si="21"/>
        <v>44257</v>
      </c>
      <c r="BN121" t="s">
        <v>74</v>
      </c>
      <c r="BO121" s="10">
        <f t="shared" si="22"/>
        <v>44166</v>
      </c>
      <c r="BP121" t="s">
        <v>92</v>
      </c>
      <c r="BQ121" s="11">
        <f t="shared" si="23"/>
        <v>44075</v>
      </c>
      <c r="BR121" t="s">
        <v>87</v>
      </c>
      <c r="BS121" s="12">
        <f t="shared" si="24"/>
        <v>43984</v>
      </c>
      <c r="BT121" s="2" t="s">
        <v>88</v>
      </c>
      <c r="BU121" s="2">
        <f t="shared" si="25"/>
        <v>43618</v>
      </c>
      <c r="BV121" t="s">
        <v>85</v>
      </c>
      <c r="BW121" s="10">
        <f t="shared" si="26"/>
        <v>43253</v>
      </c>
    </row>
    <row r="122" spans="1:83" x14ac:dyDescent="0.25">
      <c r="A122" t="s">
        <v>121</v>
      </c>
      <c r="B122" s="2">
        <v>18264</v>
      </c>
      <c r="C122" t="s">
        <v>113</v>
      </c>
      <c r="D122" t="s">
        <v>82</v>
      </c>
      <c r="E122" s="12">
        <v>44531</v>
      </c>
      <c r="BF122" t="s">
        <v>75</v>
      </c>
      <c r="BG122" s="7">
        <f t="shared" si="18"/>
        <v>44531</v>
      </c>
      <c r="BH122" t="s">
        <v>79</v>
      </c>
      <c r="BI122">
        <f t="shared" si="19"/>
        <v>44530</v>
      </c>
      <c r="BJ122" t="s">
        <v>81</v>
      </c>
      <c r="BK122" s="8">
        <f t="shared" si="20"/>
        <v>44439</v>
      </c>
      <c r="BL122" t="s">
        <v>80</v>
      </c>
      <c r="BM122" s="9">
        <f t="shared" si="21"/>
        <v>44257</v>
      </c>
      <c r="BN122" t="s">
        <v>74</v>
      </c>
      <c r="BO122" s="10">
        <f t="shared" si="22"/>
        <v>44166</v>
      </c>
      <c r="BP122" t="s">
        <v>92</v>
      </c>
      <c r="BQ122" s="11">
        <f t="shared" si="23"/>
        <v>44075</v>
      </c>
      <c r="BR122" t="s">
        <v>87</v>
      </c>
      <c r="BS122" s="12">
        <f t="shared" si="24"/>
        <v>43984</v>
      </c>
      <c r="BT122" s="2" t="s">
        <v>88</v>
      </c>
      <c r="BU122" s="2">
        <f t="shared" si="25"/>
        <v>43618</v>
      </c>
      <c r="BV122" t="s">
        <v>85</v>
      </c>
      <c r="BW122" s="12">
        <f t="shared" si="26"/>
        <v>43253</v>
      </c>
    </row>
    <row r="123" spans="1:83" x14ac:dyDescent="0.25">
      <c r="A123" t="s">
        <v>121</v>
      </c>
      <c r="B123" s="2">
        <v>18264</v>
      </c>
      <c r="C123" t="s">
        <v>113</v>
      </c>
      <c r="D123" t="s">
        <v>82</v>
      </c>
      <c r="E123">
        <v>44531</v>
      </c>
      <c r="BF123" t="s">
        <v>75</v>
      </c>
      <c r="BG123" s="7">
        <f t="shared" si="18"/>
        <v>44531</v>
      </c>
      <c r="BH123" t="s">
        <v>79</v>
      </c>
      <c r="BI123">
        <f t="shared" si="19"/>
        <v>44530</v>
      </c>
      <c r="BJ123" t="s">
        <v>81</v>
      </c>
      <c r="BK123" s="8">
        <f t="shared" si="20"/>
        <v>44439</v>
      </c>
      <c r="BL123" t="s">
        <v>80</v>
      </c>
      <c r="BM123" s="9">
        <f t="shared" si="21"/>
        <v>44257</v>
      </c>
      <c r="BN123" t="s">
        <v>74</v>
      </c>
      <c r="BO123" s="10">
        <f t="shared" si="22"/>
        <v>44166</v>
      </c>
      <c r="BP123" t="s">
        <v>92</v>
      </c>
      <c r="BQ123" s="11">
        <f t="shared" si="23"/>
        <v>44075</v>
      </c>
      <c r="BR123" t="s">
        <v>87</v>
      </c>
      <c r="BS123" s="12">
        <f t="shared" si="24"/>
        <v>43984</v>
      </c>
      <c r="BT123" s="2" t="s">
        <v>88</v>
      </c>
      <c r="BU123" s="2">
        <f t="shared" si="25"/>
        <v>43618</v>
      </c>
      <c r="BV123" t="s">
        <v>85</v>
      </c>
      <c r="BW123" s="2">
        <f t="shared" si="26"/>
        <v>43253</v>
      </c>
    </row>
    <row r="124" spans="1:83" x14ac:dyDescent="0.25">
      <c r="A124" t="s">
        <v>121</v>
      </c>
      <c r="B124" s="2">
        <v>18264</v>
      </c>
      <c r="C124" t="s">
        <v>113</v>
      </c>
      <c r="D124" t="s">
        <v>82</v>
      </c>
      <c r="E124" s="5">
        <v>44531</v>
      </c>
      <c r="BF124" t="s">
        <v>79</v>
      </c>
      <c r="BG124" s="2">
        <f>$B124+6575</f>
        <v>24839</v>
      </c>
      <c r="BH124" t="s">
        <v>1147</v>
      </c>
      <c r="BI124" s="2">
        <f>$B124+6574</f>
        <v>24838</v>
      </c>
    </row>
    <row r="125" spans="1:83" x14ac:dyDescent="0.25">
      <c r="A125" t="s">
        <v>121</v>
      </c>
      <c r="B125" s="2">
        <v>18264</v>
      </c>
      <c r="C125" t="s">
        <v>113</v>
      </c>
      <c r="D125" t="s">
        <v>82</v>
      </c>
      <c r="E125" s="5">
        <v>44531</v>
      </c>
      <c r="BF125" t="s">
        <v>1147</v>
      </c>
      <c r="BG125" s="2">
        <f>$B125+6574</f>
        <v>24838</v>
      </c>
      <c r="BH125" t="s">
        <v>79</v>
      </c>
      <c r="BI125" s="2">
        <f>$B125+6573</f>
        <v>24837</v>
      </c>
    </row>
    <row r="126" spans="1:83" x14ac:dyDescent="0.25">
      <c r="A126" t="s">
        <v>121</v>
      </c>
      <c r="B126" s="2">
        <v>18264</v>
      </c>
      <c r="C126" t="s">
        <v>113</v>
      </c>
      <c r="D126" t="s">
        <v>82</v>
      </c>
      <c r="E126" s="5">
        <v>44531</v>
      </c>
      <c r="BX126" t="s">
        <v>1516</v>
      </c>
      <c r="BY126" s="2">
        <v>44530</v>
      </c>
      <c r="BZ126" t="s">
        <v>1511</v>
      </c>
      <c r="CA126" s="2">
        <v>44529</v>
      </c>
      <c r="CB126" t="s">
        <v>1517</v>
      </c>
      <c r="CC126" s="2">
        <v>44530</v>
      </c>
      <c r="CD126" t="s">
        <v>1512</v>
      </c>
      <c r="CE126" s="2">
        <v>44529</v>
      </c>
    </row>
    <row r="127" spans="1:83" x14ac:dyDescent="0.25">
      <c r="A127" t="s">
        <v>121</v>
      </c>
      <c r="B127" s="2">
        <v>18264</v>
      </c>
      <c r="C127" t="s">
        <v>113</v>
      </c>
      <c r="D127" t="s">
        <v>82</v>
      </c>
      <c r="E127" s="5">
        <v>44531</v>
      </c>
      <c r="BX127" t="s">
        <v>1531</v>
      </c>
      <c r="BY127" s="2">
        <v>44530</v>
      </c>
      <c r="BZ127" t="s">
        <v>1552</v>
      </c>
      <c r="CA127" s="2">
        <v>44529</v>
      </c>
      <c r="CB127" t="s">
        <v>1532</v>
      </c>
      <c r="CC127" s="2">
        <v>44530</v>
      </c>
      <c r="CD127" t="s">
        <v>1518</v>
      </c>
      <c r="CE127" s="2">
        <v>44529</v>
      </c>
    </row>
    <row r="128" spans="1:83" x14ac:dyDescent="0.25">
      <c r="A128" t="s">
        <v>121</v>
      </c>
      <c r="B128" s="2">
        <v>18264</v>
      </c>
      <c r="C128" t="s">
        <v>113</v>
      </c>
      <c r="D128" t="s">
        <v>82</v>
      </c>
      <c r="E128" s="5">
        <v>44531</v>
      </c>
      <c r="BX128" t="s">
        <v>1630</v>
      </c>
      <c r="BY128" s="2">
        <v>44529</v>
      </c>
      <c r="BZ128" t="s">
        <v>1631</v>
      </c>
      <c r="CA128" s="2">
        <v>44530</v>
      </c>
      <c r="CB128" t="s">
        <v>1628</v>
      </c>
      <c r="CC128" s="2">
        <v>44529</v>
      </c>
      <c r="CD128" t="s">
        <v>1629</v>
      </c>
      <c r="CE128" s="2">
        <v>44530</v>
      </c>
    </row>
    <row r="129" spans="1:89" x14ac:dyDescent="0.25">
      <c r="A129" t="s">
        <v>121</v>
      </c>
      <c r="B129" s="2">
        <v>18264</v>
      </c>
      <c r="C129" t="s">
        <v>113</v>
      </c>
      <c r="D129" t="s">
        <v>82</v>
      </c>
      <c r="E129" s="5">
        <v>44531</v>
      </c>
      <c r="BX129" t="s">
        <v>1509</v>
      </c>
      <c r="BY129" s="2">
        <v>44531</v>
      </c>
      <c r="BZ129" t="s">
        <v>1509</v>
      </c>
      <c r="CA129" s="2">
        <v>44531</v>
      </c>
      <c r="CB129" t="s">
        <v>1510</v>
      </c>
      <c r="CC129" s="2">
        <v>44531</v>
      </c>
      <c r="CD129" t="s">
        <v>1510</v>
      </c>
      <c r="CE129" s="2">
        <v>44531</v>
      </c>
    </row>
    <row r="130" spans="1:89" x14ac:dyDescent="0.25">
      <c r="A130" t="s">
        <v>121</v>
      </c>
      <c r="B130" s="2">
        <v>18264</v>
      </c>
      <c r="C130" t="s">
        <v>113</v>
      </c>
      <c r="D130" t="s">
        <v>82</v>
      </c>
      <c r="E130" s="5">
        <v>44531</v>
      </c>
      <c r="BY130" s="2">
        <v>44531</v>
      </c>
      <c r="CC130" s="2">
        <v>44531</v>
      </c>
    </row>
    <row r="131" spans="1:89" x14ac:dyDescent="0.25">
      <c r="A131" t="s">
        <v>121</v>
      </c>
      <c r="B131" s="2">
        <v>18264</v>
      </c>
      <c r="C131" t="s">
        <v>113</v>
      </c>
      <c r="D131" t="s">
        <v>82</v>
      </c>
      <c r="E131" s="5">
        <v>44531</v>
      </c>
      <c r="CF131" s="13" t="s">
        <v>1621</v>
      </c>
      <c r="CG131" s="5">
        <v>44532</v>
      </c>
      <c r="CH131" s="13" t="s">
        <v>1621</v>
      </c>
      <c r="CI131" s="5">
        <v>44531</v>
      </c>
      <c r="CJ131" s="13" t="s">
        <v>1621</v>
      </c>
      <c r="CK131" s="2">
        <v>44530</v>
      </c>
    </row>
    <row r="132" spans="1:89" x14ac:dyDescent="0.25">
      <c r="A132" t="s">
        <v>121</v>
      </c>
      <c r="B132" s="2">
        <v>18264</v>
      </c>
      <c r="C132" t="s">
        <v>113</v>
      </c>
      <c r="D132" t="s">
        <v>82</v>
      </c>
      <c r="E132" s="5">
        <v>44531</v>
      </c>
      <c r="CF132" s="13" t="s">
        <v>1566</v>
      </c>
      <c r="CG132" s="2">
        <v>44198</v>
      </c>
      <c r="CH132" s="13" t="s">
        <v>1566</v>
      </c>
      <c r="CI132" s="2">
        <v>44197</v>
      </c>
      <c r="CJ132" s="13" t="s">
        <v>1566</v>
      </c>
      <c r="CK132" s="5">
        <v>44196</v>
      </c>
    </row>
    <row r="133" spans="1:89" x14ac:dyDescent="0.25">
      <c r="A133" t="s">
        <v>121</v>
      </c>
      <c r="B133" s="2">
        <v>18264</v>
      </c>
      <c r="C133" t="s">
        <v>113</v>
      </c>
      <c r="D133" t="s">
        <v>82</v>
      </c>
      <c r="E133" s="5">
        <v>44531</v>
      </c>
      <c r="CF133" s="14" t="s">
        <v>1567</v>
      </c>
      <c r="CG133" s="5"/>
      <c r="CH133" s="14" t="s">
        <v>1567</v>
      </c>
      <c r="CJ133" s="14" t="s">
        <v>1567</v>
      </c>
    </row>
    <row r="134" spans="1:89" x14ac:dyDescent="0.25">
      <c r="A134" t="s">
        <v>121</v>
      </c>
      <c r="B134" s="2">
        <v>18264</v>
      </c>
      <c r="C134" t="s">
        <v>113</v>
      </c>
      <c r="D134" t="s">
        <v>82</v>
      </c>
      <c r="E134" s="5">
        <v>44531</v>
      </c>
      <c r="CF134" s="13" t="s">
        <v>1565</v>
      </c>
      <c r="CG134" s="5">
        <v>44197</v>
      </c>
      <c r="CH134" s="13" t="s">
        <v>1565</v>
      </c>
      <c r="CI134" s="5">
        <v>44197</v>
      </c>
      <c r="CJ134" s="13" t="s">
        <v>1565</v>
      </c>
      <c r="CK134" s="5">
        <v>44197</v>
      </c>
    </row>
    <row r="135" spans="1:89" x14ac:dyDescent="0.25">
      <c r="A135" t="s">
        <v>121</v>
      </c>
      <c r="B135" s="2">
        <v>18264</v>
      </c>
      <c r="C135" t="s">
        <v>113</v>
      </c>
      <c r="D135" t="s">
        <v>82</v>
      </c>
      <c r="E135" s="5">
        <v>44531</v>
      </c>
      <c r="CG135" s="5">
        <v>44532</v>
      </c>
      <c r="CI135" s="5">
        <v>44531</v>
      </c>
      <c r="CK135" s="2">
        <v>44530</v>
      </c>
    </row>
    <row r="136" spans="1:89" x14ac:dyDescent="0.25">
      <c r="A136" t="s">
        <v>1603</v>
      </c>
      <c r="B136" s="2">
        <v>22491</v>
      </c>
      <c r="C136" t="s">
        <v>114</v>
      </c>
      <c r="D136" t="s">
        <v>109</v>
      </c>
      <c r="E136" s="5">
        <v>45088</v>
      </c>
      <c r="F136" t="s">
        <v>72</v>
      </c>
      <c r="G136" s="2">
        <f>E136-92</f>
        <v>44996</v>
      </c>
      <c r="H136" t="s">
        <v>71</v>
      </c>
      <c r="I136" s="2">
        <f>E136-183</f>
        <v>44905</v>
      </c>
      <c r="J136" t="s">
        <v>76</v>
      </c>
      <c r="K136" s="2">
        <f>E136-274</f>
        <v>44814</v>
      </c>
      <c r="L136" t="s">
        <v>86</v>
      </c>
      <c r="M136" s="2">
        <f>E136-456</f>
        <v>44632</v>
      </c>
      <c r="N136" t="s">
        <v>90</v>
      </c>
      <c r="O136" s="2">
        <f>E136-547</f>
        <v>44541</v>
      </c>
      <c r="P136" t="s">
        <v>73</v>
      </c>
      <c r="Q136" s="2">
        <v>43070</v>
      </c>
      <c r="R136" t="s">
        <v>89</v>
      </c>
      <c r="S136" s="2">
        <v>42705</v>
      </c>
      <c r="T136" t="s">
        <v>91</v>
      </c>
      <c r="U136" s="2">
        <v>42339</v>
      </c>
      <c r="V136" t="s">
        <v>84</v>
      </c>
      <c r="W136" s="2">
        <f>$E136</f>
        <v>45088</v>
      </c>
      <c r="X136" t="s">
        <v>96</v>
      </c>
      <c r="Y136" s="2">
        <f>$E136-1</f>
        <v>45087</v>
      </c>
      <c r="Z136" t="s">
        <v>99</v>
      </c>
      <c r="AA136" s="2">
        <f>$E136-92</f>
        <v>44996</v>
      </c>
      <c r="AB136" t="s">
        <v>93</v>
      </c>
      <c r="AC136" s="2">
        <f>$E136-274</f>
        <v>44814</v>
      </c>
      <c r="AD136" t="s">
        <v>103</v>
      </c>
      <c r="AE136" s="2">
        <f>$E136-365</f>
        <v>44723</v>
      </c>
      <c r="AF136" t="s">
        <v>98</v>
      </c>
      <c r="AG136" s="2">
        <f>$E136-456</f>
        <v>44632</v>
      </c>
      <c r="AH136" t="s">
        <v>95</v>
      </c>
      <c r="AI136" s="2">
        <f>$E136-547</f>
        <v>44541</v>
      </c>
      <c r="AJ136" s="2" t="s">
        <v>94</v>
      </c>
      <c r="AK136" s="2">
        <f>$E136-913</f>
        <v>44175</v>
      </c>
      <c r="AL136" t="s">
        <v>97</v>
      </c>
      <c r="AM136" s="2">
        <f>$E136-1278</f>
        <v>43810</v>
      </c>
      <c r="AN136" t="s">
        <v>821</v>
      </c>
      <c r="AO136" s="2">
        <f>$E136</f>
        <v>45088</v>
      </c>
      <c r="AP136" t="s">
        <v>111</v>
      </c>
      <c r="AQ136" s="2">
        <f>$E136-1</f>
        <v>45087</v>
      </c>
      <c r="AR136" t="s">
        <v>102</v>
      </c>
      <c r="AS136" s="2">
        <f>$E136-92</f>
        <v>44996</v>
      </c>
      <c r="AT136" t="s">
        <v>100</v>
      </c>
      <c r="AU136" s="2">
        <f>$E136-274</f>
        <v>44814</v>
      </c>
      <c r="AV136" t="s">
        <v>827</v>
      </c>
      <c r="AW136" s="2">
        <f>$E136-365</f>
        <v>44723</v>
      </c>
      <c r="AX136" t="s">
        <v>105</v>
      </c>
      <c r="AY136" s="2">
        <f>$E136-456</f>
        <v>44632</v>
      </c>
      <c r="AZ136" t="s">
        <v>110</v>
      </c>
      <c r="BA136" s="2">
        <f>$E136-547</f>
        <v>44541</v>
      </c>
      <c r="BB136" s="2" t="s">
        <v>78</v>
      </c>
      <c r="BC136" s="2">
        <f>$E136-913</f>
        <v>44175</v>
      </c>
      <c r="BD136" t="s">
        <v>106</v>
      </c>
      <c r="BE136" s="2">
        <f>$E136-1278</f>
        <v>43810</v>
      </c>
      <c r="BF136" t="s">
        <v>75</v>
      </c>
      <c r="BG136" s="2">
        <f>$E136</f>
        <v>45088</v>
      </c>
      <c r="BH136" t="s">
        <v>79</v>
      </c>
      <c r="BI136" s="2">
        <f>$E136-1</f>
        <v>45087</v>
      </c>
      <c r="BJ136" t="s">
        <v>81</v>
      </c>
      <c r="BK136" s="2">
        <f>$E136-92</f>
        <v>44996</v>
      </c>
      <c r="BL136" t="s">
        <v>80</v>
      </c>
      <c r="BM136" s="2">
        <f>$E136-274</f>
        <v>44814</v>
      </c>
      <c r="BN136" t="s">
        <v>74</v>
      </c>
      <c r="BO136" s="2">
        <f>$E136-365</f>
        <v>44723</v>
      </c>
      <c r="BP136" t="s">
        <v>92</v>
      </c>
      <c r="BQ136" s="2">
        <f>$E136-456</f>
        <v>44632</v>
      </c>
      <c r="BR136" t="s">
        <v>87</v>
      </c>
      <c r="BS136" s="2">
        <f>$E136-547</f>
        <v>44541</v>
      </c>
      <c r="BT136" s="2" t="s">
        <v>88</v>
      </c>
      <c r="BU136" s="2">
        <f>$E136-913</f>
        <v>44175</v>
      </c>
      <c r="BV136" t="s">
        <v>85</v>
      </c>
      <c r="BW136" s="2">
        <f>$E136-1278</f>
        <v>43810</v>
      </c>
      <c r="BX136" t="s">
        <v>1613</v>
      </c>
      <c r="BY136" s="2">
        <v>44530</v>
      </c>
      <c r="BZ136" t="s">
        <v>1614</v>
      </c>
      <c r="CA136" s="2">
        <v>44529</v>
      </c>
      <c r="CB136" t="s">
        <v>1616</v>
      </c>
      <c r="CC136" s="2">
        <v>44530</v>
      </c>
      <c r="CD136" t="s">
        <v>1615</v>
      </c>
      <c r="CE136" s="2">
        <v>44529</v>
      </c>
      <c r="CF136" s="14" t="s">
        <v>1617</v>
      </c>
      <c r="CG136" s="2">
        <v>45947</v>
      </c>
      <c r="CH136" s="14" t="s">
        <v>1617</v>
      </c>
      <c r="CI136" s="2">
        <v>45946</v>
      </c>
      <c r="CJ136" s="13" t="s">
        <v>1618</v>
      </c>
      <c r="CK136" s="2">
        <v>45945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2FF84-D1B3-4882-8408-4FAC759F9100}">
  <sheetPr codeName="Sheet5"/>
  <dimension ref="A1:XFD1079"/>
  <sheetViews>
    <sheetView workbookViewId="0">
      <selection activeCell="B1" sqref="B1"/>
    </sheetView>
  </sheetViews>
  <sheetFormatPr defaultRowHeight="15" x14ac:dyDescent="0.25"/>
  <cols>
    <col min="2" max="2" width="86.5703125" customWidth="1"/>
    <col min="3" max="3" width="22.28515625" customWidth="1"/>
    <col min="4" max="4" width="13.140625" customWidth="1"/>
    <col min="5" max="5" width="12.42578125" customWidth="1"/>
    <col min="6" max="6" width="10.140625" customWidth="1"/>
    <col min="7" max="7" width="28" customWidth="1"/>
  </cols>
  <sheetData>
    <row r="1" spans="1:7" x14ac:dyDescent="0.25">
      <c r="A1" s="4" t="s">
        <v>116</v>
      </c>
      <c r="B1" s="4" t="s">
        <v>288</v>
      </c>
      <c r="C1" s="4" t="s">
        <v>287</v>
      </c>
      <c r="D1" s="4" t="s">
        <v>117</v>
      </c>
      <c r="E1" s="4" t="s">
        <v>118</v>
      </c>
      <c r="F1" s="4" t="s">
        <v>1502</v>
      </c>
      <c r="G1" s="4" t="s">
        <v>2183</v>
      </c>
    </row>
    <row r="2" spans="1:7" x14ac:dyDescent="0.25">
      <c r="A2" t="str">
        <f>"1"&amp;LOWER(SUBSTITUTE(ADDRESS(1,ROW()-1,4),"1",""))</f>
        <v>1a</v>
      </c>
      <c r="B2" t="s">
        <v>205</v>
      </c>
      <c r="C2" t="s">
        <v>120</v>
      </c>
      <c r="D2" t="s">
        <v>120</v>
      </c>
      <c r="E2" t="str">
        <f ca="1">INDIRECT("'Sheet1'!A1")</f>
        <v>Please copy and paste your data into this cell</v>
      </c>
      <c r="F2" t="b">
        <f ca="1">E2=D2</f>
        <v>0</v>
      </c>
    </row>
    <row r="3" spans="1:7" x14ac:dyDescent="0.25">
      <c r="A3" t="str">
        <f t="shared" ref="A3:A66" si="0">"1"&amp;LOWER(SUBSTITUTE(ADDRESS(1,ROW()-1,4),"1",""))</f>
        <v>1b</v>
      </c>
      <c r="B3" t="s">
        <v>206</v>
      </c>
      <c r="C3" t="s">
        <v>122</v>
      </c>
      <c r="D3" t="s">
        <v>122</v>
      </c>
      <c r="E3">
        <f ca="1">INDIRECT("'Sheet1'!B1")</f>
        <v>0</v>
      </c>
      <c r="F3" t="b">
        <f t="shared" ref="F3:F66" ca="1" si="1">E3=D3</f>
        <v>0</v>
      </c>
    </row>
    <row r="4" spans="1:7" x14ac:dyDescent="0.25">
      <c r="A4" t="str">
        <f t="shared" si="0"/>
        <v>1c</v>
      </c>
      <c r="B4" t="s">
        <v>207</v>
      </c>
      <c r="C4" t="s">
        <v>123</v>
      </c>
      <c r="D4" t="s">
        <v>123</v>
      </c>
      <c r="E4">
        <f ca="1">INDIRECT("'Sheet1'!C1")</f>
        <v>0</v>
      </c>
      <c r="F4" t="b">
        <f t="shared" ca="1" si="1"/>
        <v>0</v>
      </c>
    </row>
    <row r="5" spans="1:7" x14ac:dyDescent="0.25">
      <c r="A5" t="str">
        <f t="shared" si="0"/>
        <v>1d</v>
      </c>
      <c r="B5" t="s">
        <v>208</v>
      </c>
      <c r="C5" t="s">
        <v>124</v>
      </c>
      <c r="D5" t="s">
        <v>124</v>
      </c>
      <c r="E5">
        <f ca="1">INDIRECT("'Sheet1'!D1")</f>
        <v>0</v>
      </c>
      <c r="F5" t="b">
        <f t="shared" ca="1" si="1"/>
        <v>0</v>
      </c>
    </row>
    <row r="6" spans="1:7" x14ac:dyDescent="0.25">
      <c r="A6" t="str">
        <f t="shared" si="0"/>
        <v>1e</v>
      </c>
      <c r="B6" t="s">
        <v>209</v>
      </c>
      <c r="C6" t="s">
        <v>125</v>
      </c>
      <c r="D6" t="s">
        <v>125</v>
      </c>
      <c r="E6">
        <f ca="1">INDIRECT("'Sheet1'!E1")</f>
        <v>0</v>
      </c>
      <c r="F6" t="b">
        <f t="shared" ca="1" si="1"/>
        <v>0</v>
      </c>
    </row>
    <row r="7" spans="1:7" x14ac:dyDescent="0.25">
      <c r="A7" t="str">
        <f t="shared" si="0"/>
        <v>1f</v>
      </c>
      <c r="B7" t="s">
        <v>210</v>
      </c>
      <c r="C7" t="s">
        <v>126</v>
      </c>
      <c r="D7" t="s">
        <v>126</v>
      </c>
      <c r="E7">
        <f ca="1">INDIRECT("'Sheet1'!F1")</f>
        <v>0</v>
      </c>
      <c r="F7" t="b">
        <f t="shared" ca="1" si="1"/>
        <v>0</v>
      </c>
    </row>
    <row r="8" spans="1:7" x14ac:dyDescent="0.25">
      <c r="A8" t="str">
        <f t="shared" si="0"/>
        <v>1g</v>
      </c>
      <c r="B8" t="s">
        <v>211</v>
      </c>
      <c r="C8" t="s">
        <v>127</v>
      </c>
      <c r="D8" t="s">
        <v>127</v>
      </c>
      <c r="E8">
        <f ca="1">INDIRECT("'Sheet1'!G1")</f>
        <v>0</v>
      </c>
      <c r="F8" t="b">
        <f t="shared" ca="1" si="1"/>
        <v>0</v>
      </c>
    </row>
    <row r="9" spans="1:7" x14ac:dyDescent="0.25">
      <c r="A9" t="str">
        <f t="shared" si="0"/>
        <v>1h</v>
      </c>
      <c r="B9" t="s">
        <v>212</v>
      </c>
      <c r="C9" t="s">
        <v>112</v>
      </c>
      <c r="D9" t="s">
        <v>112</v>
      </c>
      <c r="E9">
        <f ca="1">INDIRECT("'Sheet1'!H1")</f>
        <v>0</v>
      </c>
      <c r="F9" t="b">
        <f t="shared" ca="1" si="1"/>
        <v>0</v>
      </c>
    </row>
    <row r="10" spans="1:7" x14ac:dyDescent="0.25">
      <c r="A10" t="str">
        <f t="shared" si="0"/>
        <v>1i</v>
      </c>
      <c r="B10" t="s">
        <v>213</v>
      </c>
      <c r="C10" t="s">
        <v>128</v>
      </c>
      <c r="D10" t="s">
        <v>128</v>
      </c>
      <c r="E10">
        <f ca="1">INDIRECT("'Sheet1'!I1")</f>
        <v>0</v>
      </c>
      <c r="F10" t="b">
        <f t="shared" ca="1" si="1"/>
        <v>0</v>
      </c>
    </row>
    <row r="11" spans="1:7" x14ac:dyDescent="0.25">
      <c r="A11" t="str">
        <f t="shared" si="0"/>
        <v>1j</v>
      </c>
      <c r="B11" t="s">
        <v>214</v>
      </c>
      <c r="C11" t="s">
        <v>129</v>
      </c>
      <c r="D11" t="s">
        <v>129</v>
      </c>
      <c r="E11">
        <f ca="1">INDIRECT("'Sheet1'!J1")</f>
        <v>0</v>
      </c>
      <c r="F11" t="b">
        <f t="shared" ca="1" si="1"/>
        <v>0</v>
      </c>
    </row>
    <row r="12" spans="1:7" x14ac:dyDescent="0.25">
      <c r="A12" t="str">
        <f t="shared" si="0"/>
        <v>1k</v>
      </c>
      <c r="B12" t="s">
        <v>215</v>
      </c>
      <c r="C12" t="s">
        <v>130</v>
      </c>
      <c r="D12" t="s">
        <v>130</v>
      </c>
      <c r="E12">
        <f ca="1">INDIRECT("'Sheet1'!K1")</f>
        <v>0</v>
      </c>
      <c r="F12" t="b">
        <f t="shared" ca="1" si="1"/>
        <v>0</v>
      </c>
    </row>
    <row r="13" spans="1:7" x14ac:dyDescent="0.25">
      <c r="A13" t="str">
        <f t="shared" si="0"/>
        <v>1l</v>
      </c>
      <c r="B13" t="s">
        <v>216</v>
      </c>
      <c r="C13" t="s">
        <v>131</v>
      </c>
      <c r="D13" t="s">
        <v>131</v>
      </c>
      <c r="E13">
        <f ca="1">INDIRECT("'Sheet1'!L1")</f>
        <v>0</v>
      </c>
      <c r="F13" t="b">
        <f t="shared" ca="1" si="1"/>
        <v>0</v>
      </c>
    </row>
    <row r="14" spans="1:7" x14ac:dyDescent="0.25">
      <c r="A14" t="str">
        <f t="shared" si="0"/>
        <v>1m</v>
      </c>
      <c r="B14" t="s">
        <v>217</v>
      </c>
      <c r="C14" t="s">
        <v>132</v>
      </c>
      <c r="D14" t="s">
        <v>132</v>
      </c>
      <c r="E14">
        <f ca="1">INDIRECT("'Sheet1'!M1")</f>
        <v>0</v>
      </c>
      <c r="F14" t="b">
        <f t="shared" ca="1" si="1"/>
        <v>0</v>
      </c>
    </row>
    <row r="15" spans="1:7" x14ac:dyDescent="0.25">
      <c r="A15" t="str">
        <f t="shared" si="0"/>
        <v>1n</v>
      </c>
      <c r="B15" t="s">
        <v>218</v>
      </c>
      <c r="C15" t="s">
        <v>133</v>
      </c>
      <c r="D15" t="s">
        <v>133</v>
      </c>
      <c r="E15">
        <f ca="1">INDIRECT("'Sheet1'!N1")</f>
        <v>0</v>
      </c>
      <c r="F15" t="b">
        <f t="shared" ca="1" si="1"/>
        <v>0</v>
      </c>
    </row>
    <row r="16" spans="1:7" x14ac:dyDescent="0.25">
      <c r="A16" t="str">
        <f t="shared" si="0"/>
        <v>1o</v>
      </c>
      <c r="B16" t="s">
        <v>219</v>
      </c>
      <c r="C16" t="s">
        <v>134</v>
      </c>
      <c r="D16" t="s">
        <v>134</v>
      </c>
      <c r="E16">
        <f ca="1">INDIRECT("'Sheet1'!O1")</f>
        <v>0</v>
      </c>
      <c r="F16" t="b">
        <f t="shared" ca="1" si="1"/>
        <v>0</v>
      </c>
    </row>
    <row r="17" spans="1:6" x14ac:dyDescent="0.25">
      <c r="A17" t="str">
        <f t="shared" si="0"/>
        <v>1p</v>
      </c>
      <c r="B17" t="s">
        <v>220</v>
      </c>
      <c r="C17" t="s">
        <v>135</v>
      </c>
      <c r="D17" t="s">
        <v>135</v>
      </c>
      <c r="E17">
        <f ca="1">INDIRECT("'Sheet1'!P1")</f>
        <v>0</v>
      </c>
      <c r="F17" t="b">
        <f t="shared" ca="1" si="1"/>
        <v>0</v>
      </c>
    </row>
    <row r="18" spans="1:6" x14ac:dyDescent="0.25">
      <c r="A18" t="str">
        <f t="shared" si="0"/>
        <v>1q</v>
      </c>
      <c r="B18" t="s">
        <v>221</v>
      </c>
      <c r="C18" t="s">
        <v>136</v>
      </c>
      <c r="D18" t="s">
        <v>136</v>
      </c>
      <c r="E18">
        <f ca="1">INDIRECT("'Sheet1'!Q1")</f>
        <v>0</v>
      </c>
      <c r="F18" t="b">
        <f t="shared" ca="1" si="1"/>
        <v>0</v>
      </c>
    </row>
    <row r="19" spans="1:6" x14ac:dyDescent="0.25">
      <c r="A19" t="str">
        <f t="shared" si="0"/>
        <v>1r</v>
      </c>
      <c r="B19" t="s">
        <v>222</v>
      </c>
      <c r="C19" t="s">
        <v>137</v>
      </c>
      <c r="D19" t="s">
        <v>137</v>
      </c>
      <c r="E19">
        <f ca="1">INDIRECT("'Sheet1'!R1")</f>
        <v>0</v>
      </c>
      <c r="F19" t="b">
        <f t="shared" ca="1" si="1"/>
        <v>0</v>
      </c>
    </row>
    <row r="20" spans="1:6" x14ac:dyDescent="0.25">
      <c r="A20" t="str">
        <f t="shared" si="0"/>
        <v>1s</v>
      </c>
      <c r="B20" t="s">
        <v>223</v>
      </c>
      <c r="C20" t="s">
        <v>138</v>
      </c>
      <c r="D20" t="s">
        <v>138</v>
      </c>
      <c r="E20">
        <f ca="1">INDIRECT("'Sheet1'!S1")</f>
        <v>0</v>
      </c>
      <c r="F20" t="b">
        <f t="shared" ca="1" si="1"/>
        <v>0</v>
      </c>
    </row>
    <row r="21" spans="1:6" x14ac:dyDescent="0.25">
      <c r="A21" t="str">
        <f t="shared" si="0"/>
        <v>1t</v>
      </c>
      <c r="B21" t="s">
        <v>224</v>
      </c>
      <c r="C21" t="s">
        <v>139</v>
      </c>
      <c r="D21" t="s">
        <v>139</v>
      </c>
      <c r="E21">
        <f ca="1">INDIRECT("'Sheet1'!T1")</f>
        <v>0</v>
      </c>
      <c r="F21" t="b">
        <f t="shared" ca="1" si="1"/>
        <v>0</v>
      </c>
    </row>
    <row r="22" spans="1:6" x14ac:dyDescent="0.25">
      <c r="A22" t="str">
        <f t="shared" si="0"/>
        <v>1u</v>
      </c>
      <c r="B22" t="s">
        <v>225</v>
      </c>
      <c r="C22" t="s">
        <v>140</v>
      </c>
      <c r="D22" t="s">
        <v>140</v>
      </c>
      <c r="E22">
        <f ca="1">INDIRECT("'Sheet1'!U1")</f>
        <v>0</v>
      </c>
      <c r="F22" t="b">
        <f t="shared" ca="1" si="1"/>
        <v>0</v>
      </c>
    </row>
    <row r="23" spans="1:6" x14ac:dyDescent="0.25">
      <c r="A23" t="str">
        <f t="shared" si="0"/>
        <v>1v</v>
      </c>
      <c r="B23" t="s">
        <v>226</v>
      </c>
      <c r="C23" t="s">
        <v>141</v>
      </c>
      <c r="D23" t="s">
        <v>141</v>
      </c>
      <c r="E23">
        <f ca="1">INDIRECT("'Sheet1'!V1")</f>
        <v>0</v>
      </c>
      <c r="F23" t="b">
        <f t="shared" ca="1" si="1"/>
        <v>0</v>
      </c>
    </row>
    <row r="24" spans="1:6" x14ac:dyDescent="0.25">
      <c r="A24" t="str">
        <f t="shared" si="0"/>
        <v>1w</v>
      </c>
      <c r="B24" t="s">
        <v>227</v>
      </c>
      <c r="C24" t="s">
        <v>142</v>
      </c>
      <c r="D24" t="s">
        <v>142</v>
      </c>
      <c r="E24">
        <f ca="1">INDIRECT("'Sheet1'!W1")</f>
        <v>0</v>
      </c>
      <c r="F24" t="b">
        <f t="shared" ca="1" si="1"/>
        <v>0</v>
      </c>
    </row>
    <row r="25" spans="1:6" x14ac:dyDescent="0.25">
      <c r="A25" t="str">
        <f t="shared" si="0"/>
        <v>1x</v>
      </c>
      <c r="B25" t="s">
        <v>228</v>
      </c>
      <c r="C25" t="s">
        <v>143</v>
      </c>
      <c r="D25" t="s">
        <v>143</v>
      </c>
      <c r="E25">
        <f ca="1">INDIRECT("'Sheet1'!X1")</f>
        <v>0</v>
      </c>
      <c r="F25" t="b">
        <f t="shared" ca="1" si="1"/>
        <v>0</v>
      </c>
    </row>
    <row r="26" spans="1:6" x14ac:dyDescent="0.25">
      <c r="A26" t="str">
        <f t="shared" si="0"/>
        <v>1y</v>
      </c>
      <c r="B26" t="s">
        <v>229</v>
      </c>
      <c r="C26" t="s">
        <v>144</v>
      </c>
      <c r="D26" t="s">
        <v>144</v>
      </c>
      <c r="E26">
        <f ca="1">INDIRECT("'Sheet1'!Y1")</f>
        <v>0</v>
      </c>
      <c r="F26" t="b">
        <f t="shared" ca="1" si="1"/>
        <v>0</v>
      </c>
    </row>
    <row r="27" spans="1:6" x14ac:dyDescent="0.25">
      <c r="A27" t="str">
        <f t="shared" si="0"/>
        <v>1z</v>
      </c>
      <c r="B27" t="s">
        <v>230</v>
      </c>
      <c r="C27" t="s">
        <v>145</v>
      </c>
      <c r="D27" t="s">
        <v>145</v>
      </c>
      <c r="E27">
        <f ca="1">INDIRECT("'Sheet1'!Z1")</f>
        <v>0</v>
      </c>
      <c r="F27" t="b">
        <f t="shared" ca="1" si="1"/>
        <v>0</v>
      </c>
    </row>
    <row r="28" spans="1:6" x14ac:dyDescent="0.25">
      <c r="A28" t="str">
        <f t="shared" si="0"/>
        <v>1aa</v>
      </c>
      <c r="B28" t="s">
        <v>231</v>
      </c>
      <c r="C28" t="s">
        <v>146</v>
      </c>
      <c r="D28" t="s">
        <v>146</v>
      </c>
      <c r="E28">
        <f ca="1">INDIRECT("'Sheet1'!AA1")</f>
        <v>0</v>
      </c>
      <c r="F28" t="b">
        <f t="shared" ca="1" si="1"/>
        <v>0</v>
      </c>
    </row>
    <row r="29" spans="1:6" x14ac:dyDescent="0.25">
      <c r="A29" t="str">
        <f t="shared" si="0"/>
        <v>1ab</v>
      </c>
      <c r="B29" t="s">
        <v>232</v>
      </c>
      <c r="C29" t="s">
        <v>147</v>
      </c>
      <c r="D29" t="s">
        <v>147</v>
      </c>
      <c r="E29">
        <f ca="1">INDIRECT("'Sheet1'!AB1")</f>
        <v>0</v>
      </c>
      <c r="F29" t="b">
        <f t="shared" ca="1" si="1"/>
        <v>0</v>
      </c>
    </row>
    <row r="30" spans="1:6" x14ac:dyDescent="0.25">
      <c r="A30" t="str">
        <f t="shared" si="0"/>
        <v>1ac</v>
      </c>
      <c r="B30" t="s">
        <v>233</v>
      </c>
      <c r="C30" t="s">
        <v>148</v>
      </c>
      <c r="D30" t="s">
        <v>148</v>
      </c>
      <c r="E30">
        <f ca="1">INDIRECT("'Sheet1'!AC1")</f>
        <v>0</v>
      </c>
      <c r="F30" t="b">
        <f t="shared" ca="1" si="1"/>
        <v>0</v>
      </c>
    </row>
    <row r="31" spans="1:6" x14ac:dyDescent="0.25">
      <c r="A31" t="str">
        <f t="shared" si="0"/>
        <v>1ad</v>
      </c>
      <c r="B31" t="s">
        <v>234</v>
      </c>
      <c r="C31" t="s">
        <v>149</v>
      </c>
      <c r="D31" t="s">
        <v>149</v>
      </c>
      <c r="E31">
        <f ca="1">INDIRECT("'Sheet1'!AD1")</f>
        <v>0</v>
      </c>
      <c r="F31" t="b">
        <f t="shared" ca="1" si="1"/>
        <v>0</v>
      </c>
    </row>
    <row r="32" spans="1:6" x14ac:dyDescent="0.25">
      <c r="A32" t="str">
        <f t="shared" si="0"/>
        <v>1ae</v>
      </c>
      <c r="B32" t="s">
        <v>235</v>
      </c>
      <c r="C32" t="s">
        <v>150</v>
      </c>
      <c r="D32" t="s">
        <v>150</v>
      </c>
      <c r="E32">
        <f ca="1">INDIRECT("'Sheet1'!AE1")</f>
        <v>0</v>
      </c>
      <c r="F32" t="b">
        <f t="shared" ca="1" si="1"/>
        <v>0</v>
      </c>
    </row>
    <row r="33" spans="1:6" x14ac:dyDescent="0.25">
      <c r="A33" t="str">
        <f t="shared" si="0"/>
        <v>1af</v>
      </c>
      <c r="B33" t="s">
        <v>236</v>
      </c>
      <c r="C33" t="s">
        <v>151</v>
      </c>
      <c r="D33" t="s">
        <v>151</v>
      </c>
      <c r="E33">
        <f ca="1">INDIRECT("'Sheet1'!AF1")</f>
        <v>0</v>
      </c>
      <c r="F33" t="b">
        <f t="shared" ca="1" si="1"/>
        <v>0</v>
      </c>
    </row>
    <row r="34" spans="1:6" x14ac:dyDescent="0.25">
      <c r="A34" t="str">
        <f t="shared" si="0"/>
        <v>1ag</v>
      </c>
      <c r="B34" t="s">
        <v>237</v>
      </c>
      <c r="C34" t="s">
        <v>152</v>
      </c>
      <c r="D34" t="s">
        <v>152</v>
      </c>
      <c r="E34">
        <f ca="1">INDIRECT("'Sheet1'!AG1")</f>
        <v>0</v>
      </c>
      <c r="F34" t="b">
        <f t="shared" ca="1" si="1"/>
        <v>0</v>
      </c>
    </row>
    <row r="35" spans="1:6" x14ac:dyDescent="0.25">
      <c r="A35" t="str">
        <f t="shared" si="0"/>
        <v>1ah</v>
      </c>
      <c r="B35" t="s">
        <v>238</v>
      </c>
      <c r="C35" t="s">
        <v>153</v>
      </c>
      <c r="D35" t="s">
        <v>153</v>
      </c>
      <c r="E35">
        <f ca="1">INDIRECT("'Sheet1'!AH1")</f>
        <v>0</v>
      </c>
      <c r="F35" t="b">
        <f t="shared" ca="1" si="1"/>
        <v>0</v>
      </c>
    </row>
    <row r="36" spans="1:6" x14ac:dyDescent="0.25">
      <c r="A36" t="str">
        <f t="shared" si="0"/>
        <v>1ai</v>
      </c>
      <c r="B36" t="s">
        <v>239</v>
      </c>
      <c r="C36" t="s">
        <v>154</v>
      </c>
      <c r="D36" t="s">
        <v>154</v>
      </c>
      <c r="E36">
        <f ca="1">INDIRECT("'Sheet1'!AI1")</f>
        <v>0</v>
      </c>
      <c r="F36" t="b">
        <f t="shared" ca="1" si="1"/>
        <v>0</v>
      </c>
    </row>
    <row r="37" spans="1:6" x14ac:dyDescent="0.25">
      <c r="A37" t="str">
        <f t="shared" si="0"/>
        <v>1aj</v>
      </c>
      <c r="B37" t="s">
        <v>240</v>
      </c>
      <c r="C37" t="s">
        <v>155</v>
      </c>
      <c r="D37" t="s">
        <v>155</v>
      </c>
      <c r="E37">
        <f ca="1">INDIRECT("'Sheet1'!AJ1")</f>
        <v>0</v>
      </c>
      <c r="F37" t="b">
        <f t="shared" ca="1" si="1"/>
        <v>0</v>
      </c>
    </row>
    <row r="38" spans="1:6" x14ac:dyDescent="0.25">
      <c r="A38" t="str">
        <f t="shared" si="0"/>
        <v>1ak</v>
      </c>
      <c r="B38" t="s">
        <v>241</v>
      </c>
      <c r="C38" t="s">
        <v>156</v>
      </c>
      <c r="D38" t="s">
        <v>156</v>
      </c>
      <c r="E38">
        <f ca="1">INDIRECT("'Sheet1'!AK1")</f>
        <v>0</v>
      </c>
      <c r="F38" t="b">
        <f t="shared" ca="1" si="1"/>
        <v>0</v>
      </c>
    </row>
    <row r="39" spans="1:6" x14ac:dyDescent="0.25">
      <c r="A39" t="str">
        <f t="shared" si="0"/>
        <v>1al</v>
      </c>
      <c r="B39" t="s">
        <v>242</v>
      </c>
      <c r="C39" t="s">
        <v>157</v>
      </c>
      <c r="D39" t="s">
        <v>157</v>
      </c>
      <c r="E39">
        <f ca="1">INDIRECT("'Sheet1'!AL1")</f>
        <v>0</v>
      </c>
      <c r="F39" t="b">
        <f t="shared" ca="1" si="1"/>
        <v>0</v>
      </c>
    </row>
    <row r="40" spans="1:6" x14ac:dyDescent="0.25">
      <c r="A40" t="str">
        <f t="shared" si="0"/>
        <v>1am</v>
      </c>
      <c r="B40" t="s">
        <v>243</v>
      </c>
      <c r="C40" t="s">
        <v>158</v>
      </c>
      <c r="D40" t="s">
        <v>158</v>
      </c>
      <c r="E40">
        <f ca="1">INDIRECT("'Sheet1'!AM1")</f>
        <v>0</v>
      </c>
      <c r="F40" t="b">
        <f t="shared" ca="1" si="1"/>
        <v>0</v>
      </c>
    </row>
    <row r="41" spans="1:6" x14ac:dyDescent="0.25">
      <c r="A41" t="str">
        <f t="shared" si="0"/>
        <v>1an</v>
      </c>
      <c r="B41" t="s">
        <v>244</v>
      </c>
      <c r="C41" t="s">
        <v>159</v>
      </c>
      <c r="D41" t="s">
        <v>159</v>
      </c>
      <c r="E41">
        <f ca="1">INDIRECT("'Sheet1'!AN1")</f>
        <v>0</v>
      </c>
      <c r="F41" t="b">
        <f t="shared" ca="1" si="1"/>
        <v>0</v>
      </c>
    </row>
    <row r="42" spans="1:6" x14ac:dyDescent="0.25">
      <c r="A42" t="str">
        <f t="shared" si="0"/>
        <v>1ao</v>
      </c>
      <c r="B42" t="s">
        <v>245</v>
      </c>
      <c r="C42" t="s">
        <v>160</v>
      </c>
      <c r="D42" t="s">
        <v>160</v>
      </c>
      <c r="E42">
        <f ca="1">INDIRECT("'Sheet1'!AO1")</f>
        <v>0</v>
      </c>
      <c r="F42" t="b">
        <f t="shared" ca="1" si="1"/>
        <v>0</v>
      </c>
    </row>
    <row r="43" spans="1:6" x14ac:dyDescent="0.25">
      <c r="A43" t="str">
        <f t="shared" si="0"/>
        <v>1ap</v>
      </c>
      <c r="B43" t="s">
        <v>246</v>
      </c>
      <c r="C43" t="s">
        <v>161</v>
      </c>
      <c r="D43" t="s">
        <v>161</v>
      </c>
      <c r="E43">
        <f ca="1">INDIRECT("'Sheet1'!AP1")</f>
        <v>0</v>
      </c>
      <c r="F43" t="b">
        <f t="shared" ca="1" si="1"/>
        <v>0</v>
      </c>
    </row>
    <row r="44" spans="1:6" x14ac:dyDescent="0.25">
      <c r="A44" t="str">
        <f t="shared" si="0"/>
        <v>1aq</v>
      </c>
      <c r="B44" t="s">
        <v>247</v>
      </c>
      <c r="C44" t="s">
        <v>162</v>
      </c>
      <c r="D44" t="s">
        <v>162</v>
      </c>
      <c r="E44">
        <f ca="1">INDIRECT("'Sheet1'!AQ1")</f>
        <v>0</v>
      </c>
      <c r="F44" t="b">
        <f t="shared" ca="1" si="1"/>
        <v>0</v>
      </c>
    </row>
    <row r="45" spans="1:6" x14ac:dyDescent="0.25">
      <c r="A45" t="str">
        <f t="shared" si="0"/>
        <v>1ar</v>
      </c>
      <c r="B45" t="s">
        <v>248</v>
      </c>
      <c r="C45" t="s">
        <v>163</v>
      </c>
      <c r="D45" t="s">
        <v>163</v>
      </c>
      <c r="E45">
        <f ca="1">INDIRECT("'Sheet1'!AR1")</f>
        <v>0</v>
      </c>
      <c r="F45" t="b">
        <f t="shared" ca="1" si="1"/>
        <v>0</v>
      </c>
    </row>
    <row r="46" spans="1:6" x14ac:dyDescent="0.25">
      <c r="A46" t="str">
        <f t="shared" si="0"/>
        <v>1as</v>
      </c>
      <c r="B46" t="s">
        <v>249</v>
      </c>
      <c r="C46" t="s">
        <v>164</v>
      </c>
      <c r="D46" t="s">
        <v>164</v>
      </c>
      <c r="E46">
        <f ca="1">INDIRECT("'Sheet1'!AS1")</f>
        <v>0</v>
      </c>
      <c r="F46" t="b">
        <f t="shared" ca="1" si="1"/>
        <v>0</v>
      </c>
    </row>
    <row r="47" spans="1:6" x14ac:dyDescent="0.25">
      <c r="A47" t="str">
        <f t="shared" si="0"/>
        <v>1at</v>
      </c>
      <c r="B47" t="s">
        <v>250</v>
      </c>
      <c r="C47" t="s">
        <v>165</v>
      </c>
      <c r="D47" t="s">
        <v>165</v>
      </c>
      <c r="E47">
        <f ca="1">INDIRECT("'Sheet1'!AT1")</f>
        <v>0</v>
      </c>
      <c r="F47" t="b">
        <f t="shared" ca="1" si="1"/>
        <v>0</v>
      </c>
    </row>
    <row r="48" spans="1:6" x14ac:dyDescent="0.25">
      <c r="A48" t="str">
        <f t="shared" si="0"/>
        <v>1au</v>
      </c>
      <c r="B48" t="s">
        <v>251</v>
      </c>
      <c r="C48" t="s">
        <v>166</v>
      </c>
      <c r="D48" t="s">
        <v>166</v>
      </c>
      <c r="E48">
        <f ca="1">INDIRECT("'Sheet1'!AU1")</f>
        <v>0</v>
      </c>
      <c r="F48" t="b">
        <f t="shared" ca="1" si="1"/>
        <v>0</v>
      </c>
    </row>
    <row r="49" spans="1:6" x14ac:dyDescent="0.25">
      <c r="A49" t="str">
        <f t="shared" si="0"/>
        <v>1av</v>
      </c>
      <c r="B49" t="s">
        <v>252</v>
      </c>
      <c r="C49" t="s">
        <v>167</v>
      </c>
      <c r="D49" t="s">
        <v>167</v>
      </c>
      <c r="E49">
        <f ca="1">INDIRECT("'Sheet1'!AV1")</f>
        <v>0</v>
      </c>
      <c r="F49" t="b">
        <f t="shared" ca="1" si="1"/>
        <v>0</v>
      </c>
    </row>
    <row r="50" spans="1:6" x14ac:dyDescent="0.25">
      <c r="A50" t="str">
        <f t="shared" si="0"/>
        <v>1aw</v>
      </c>
      <c r="B50" t="s">
        <v>253</v>
      </c>
      <c r="C50" t="s">
        <v>168</v>
      </c>
      <c r="D50" t="s">
        <v>168</v>
      </c>
      <c r="E50">
        <f ca="1">INDIRECT("'Sheet1'!AW1")</f>
        <v>0</v>
      </c>
      <c r="F50" t="b">
        <f t="shared" ca="1" si="1"/>
        <v>0</v>
      </c>
    </row>
    <row r="51" spans="1:6" x14ac:dyDescent="0.25">
      <c r="A51" t="str">
        <f t="shared" si="0"/>
        <v>1ax</v>
      </c>
      <c r="B51" t="s">
        <v>254</v>
      </c>
      <c r="C51" t="s">
        <v>169</v>
      </c>
      <c r="D51" t="s">
        <v>169</v>
      </c>
      <c r="E51">
        <f ca="1">INDIRECT("'Sheet1'!AX1")</f>
        <v>0</v>
      </c>
      <c r="F51" t="b">
        <f t="shared" ca="1" si="1"/>
        <v>0</v>
      </c>
    </row>
    <row r="52" spans="1:6" x14ac:dyDescent="0.25">
      <c r="A52" t="str">
        <f t="shared" si="0"/>
        <v>1ay</v>
      </c>
      <c r="B52" t="s">
        <v>255</v>
      </c>
      <c r="C52" t="s">
        <v>170</v>
      </c>
      <c r="D52" t="s">
        <v>170</v>
      </c>
      <c r="E52">
        <f ca="1">INDIRECT("'Sheet1'!AY1")</f>
        <v>0</v>
      </c>
      <c r="F52" t="b">
        <f t="shared" ca="1" si="1"/>
        <v>0</v>
      </c>
    </row>
    <row r="53" spans="1:6" x14ac:dyDescent="0.25">
      <c r="A53" t="str">
        <f t="shared" si="0"/>
        <v>1az</v>
      </c>
      <c r="B53" t="s">
        <v>256</v>
      </c>
      <c r="C53" t="s">
        <v>171</v>
      </c>
      <c r="D53" t="s">
        <v>171</v>
      </c>
      <c r="E53">
        <f ca="1">INDIRECT("'Sheet1'!AZ1")</f>
        <v>0</v>
      </c>
      <c r="F53" t="b">
        <f t="shared" ca="1" si="1"/>
        <v>0</v>
      </c>
    </row>
    <row r="54" spans="1:6" x14ac:dyDescent="0.25">
      <c r="A54" t="str">
        <f t="shared" si="0"/>
        <v>1ba</v>
      </c>
      <c r="B54" t="s">
        <v>257</v>
      </c>
      <c r="C54" t="s">
        <v>172</v>
      </c>
      <c r="D54" t="s">
        <v>172</v>
      </c>
      <c r="E54">
        <f ca="1">INDIRECT("'Sheet1'!BA1")</f>
        <v>0</v>
      </c>
      <c r="F54" t="b">
        <f t="shared" ca="1" si="1"/>
        <v>0</v>
      </c>
    </row>
    <row r="55" spans="1:6" x14ac:dyDescent="0.25">
      <c r="A55" t="str">
        <f t="shared" si="0"/>
        <v>1bb</v>
      </c>
      <c r="B55" t="s">
        <v>258</v>
      </c>
      <c r="C55" t="s">
        <v>173</v>
      </c>
      <c r="D55" t="s">
        <v>173</v>
      </c>
      <c r="E55">
        <f ca="1">INDIRECT("'Sheet1'!BB1")</f>
        <v>0</v>
      </c>
      <c r="F55" t="b">
        <f t="shared" ca="1" si="1"/>
        <v>0</v>
      </c>
    </row>
    <row r="56" spans="1:6" x14ac:dyDescent="0.25">
      <c r="A56" t="str">
        <f t="shared" si="0"/>
        <v>1bc</v>
      </c>
      <c r="B56" t="s">
        <v>259</v>
      </c>
      <c r="C56" t="s">
        <v>174</v>
      </c>
      <c r="D56" t="s">
        <v>174</v>
      </c>
      <c r="E56">
        <f ca="1">INDIRECT("'Sheet1'!BC1")</f>
        <v>0</v>
      </c>
      <c r="F56" t="b">
        <f t="shared" ca="1" si="1"/>
        <v>0</v>
      </c>
    </row>
    <row r="57" spans="1:6" x14ac:dyDescent="0.25">
      <c r="A57" t="str">
        <f t="shared" si="0"/>
        <v>1bd</v>
      </c>
      <c r="B57" t="s">
        <v>260</v>
      </c>
      <c r="C57" t="s">
        <v>175</v>
      </c>
      <c r="D57" t="s">
        <v>175</v>
      </c>
      <c r="E57">
        <f ca="1">INDIRECT("'Sheet1'!BD1")</f>
        <v>0</v>
      </c>
      <c r="F57" t="b">
        <f t="shared" ca="1" si="1"/>
        <v>0</v>
      </c>
    </row>
    <row r="58" spans="1:6" x14ac:dyDescent="0.25">
      <c r="A58" t="str">
        <f t="shared" si="0"/>
        <v>1be</v>
      </c>
      <c r="B58" t="s">
        <v>261</v>
      </c>
      <c r="C58" t="s">
        <v>176</v>
      </c>
      <c r="D58" t="s">
        <v>176</v>
      </c>
      <c r="E58">
        <f ca="1">INDIRECT("'Sheet1'!BE1")</f>
        <v>0</v>
      </c>
      <c r="F58" t="b">
        <f t="shared" ca="1" si="1"/>
        <v>0</v>
      </c>
    </row>
    <row r="59" spans="1:6" x14ac:dyDescent="0.25">
      <c r="A59" t="str">
        <f t="shared" si="0"/>
        <v>1bf</v>
      </c>
      <c r="B59" t="s">
        <v>262</v>
      </c>
      <c r="C59" t="s">
        <v>177</v>
      </c>
      <c r="D59" t="s">
        <v>177</v>
      </c>
      <c r="E59">
        <f ca="1">INDIRECT("'Sheet1'!BF1")</f>
        <v>0</v>
      </c>
      <c r="F59" t="b">
        <f t="shared" ca="1" si="1"/>
        <v>0</v>
      </c>
    </row>
    <row r="60" spans="1:6" x14ac:dyDescent="0.25">
      <c r="A60" t="str">
        <f t="shared" si="0"/>
        <v>1bg</v>
      </c>
      <c r="B60" t="s">
        <v>263</v>
      </c>
      <c r="C60" t="s">
        <v>178</v>
      </c>
      <c r="D60" t="s">
        <v>178</v>
      </c>
      <c r="E60">
        <f ca="1">INDIRECT("'Sheet1'!BG1")</f>
        <v>0</v>
      </c>
      <c r="F60" t="b">
        <f t="shared" ca="1" si="1"/>
        <v>0</v>
      </c>
    </row>
    <row r="61" spans="1:6" x14ac:dyDescent="0.25">
      <c r="A61" t="str">
        <f t="shared" si="0"/>
        <v>1bh</v>
      </c>
      <c r="B61" t="s">
        <v>264</v>
      </c>
      <c r="C61" t="s">
        <v>179</v>
      </c>
      <c r="D61" t="s">
        <v>179</v>
      </c>
      <c r="E61">
        <f ca="1">INDIRECT("'Sheet1'!BH1")</f>
        <v>0</v>
      </c>
      <c r="F61" t="b">
        <f t="shared" ca="1" si="1"/>
        <v>0</v>
      </c>
    </row>
    <row r="62" spans="1:6" x14ac:dyDescent="0.25">
      <c r="A62" t="str">
        <f t="shared" si="0"/>
        <v>1bi</v>
      </c>
      <c r="B62" t="s">
        <v>265</v>
      </c>
      <c r="C62" t="s">
        <v>180</v>
      </c>
      <c r="D62" t="s">
        <v>180</v>
      </c>
      <c r="E62">
        <f ca="1">INDIRECT("'Sheet1'!BI1")</f>
        <v>0</v>
      </c>
      <c r="F62" t="b">
        <f t="shared" ca="1" si="1"/>
        <v>0</v>
      </c>
    </row>
    <row r="63" spans="1:6" x14ac:dyDescent="0.25">
      <c r="A63" t="str">
        <f t="shared" si="0"/>
        <v>1bj</v>
      </c>
      <c r="B63" t="s">
        <v>266</v>
      </c>
      <c r="C63" t="s">
        <v>181</v>
      </c>
      <c r="D63" t="s">
        <v>181</v>
      </c>
      <c r="E63">
        <f ca="1">INDIRECT("'Sheet1'!BJ1")</f>
        <v>0</v>
      </c>
      <c r="F63" t="b">
        <f t="shared" ca="1" si="1"/>
        <v>0</v>
      </c>
    </row>
    <row r="64" spans="1:6" x14ac:dyDescent="0.25">
      <c r="A64" t="str">
        <f t="shared" si="0"/>
        <v>1bk</v>
      </c>
      <c r="B64" t="s">
        <v>267</v>
      </c>
      <c r="C64" t="s">
        <v>182</v>
      </c>
      <c r="D64" t="s">
        <v>182</v>
      </c>
      <c r="E64">
        <f ca="1">INDIRECT("'Sheet1'!BK1")</f>
        <v>0</v>
      </c>
      <c r="F64" t="b">
        <f t="shared" ca="1" si="1"/>
        <v>0</v>
      </c>
    </row>
    <row r="65" spans="1:6" x14ac:dyDescent="0.25">
      <c r="A65" t="str">
        <f t="shared" si="0"/>
        <v>1bl</v>
      </c>
      <c r="B65" t="s">
        <v>268</v>
      </c>
      <c r="C65" t="s">
        <v>183</v>
      </c>
      <c r="D65" t="s">
        <v>183</v>
      </c>
      <c r="E65">
        <f ca="1">INDIRECT("'Sheet1'!BL1")</f>
        <v>0</v>
      </c>
      <c r="F65" t="b">
        <f t="shared" ca="1" si="1"/>
        <v>0</v>
      </c>
    </row>
    <row r="66" spans="1:6" x14ac:dyDescent="0.25">
      <c r="A66" t="str">
        <f t="shared" si="0"/>
        <v>1bm</v>
      </c>
      <c r="B66" t="s">
        <v>269</v>
      </c>
      <c r="C66" t="s">
        <v>184</v>
      </c>
      <c r="D66" t="s">
        <v>184</v>
      </c>
      <c r="E66">
        <f ca="1">INDIRECT("'Sheet1'!BM1")</f>
        <v>0</v>
      </c>
      <c r="F66" t="b">
        <f t="shared" ca="1" si="1"/>
        <v>0</v>
      </c>
    </row>
    <row r="67" spans="1:6" x14ac:dyDescent="0.25">
      <c r="A67" t="str">
        <f t="shared" ref="A67:A84" si="2">"1"&amp;LOWER(SUBSTITUTE(ADDRESS(1,ROW()-1,4),"1",""))</f>
        <v>1bn</v>
      </c>
      <c r="B67" t="s">
        <v>270</v>
      </c>
      <c r="C67" t="s">
        <v>185</v>
      </c>
      <c r="D67" t="s">
        <v>185</v>
      </c>
      <c r="E67">
        <f ca="1">INDIRECT("'Sheet1'!BN1")</f>
        <v>0</v>
      </c>
      <c r="F67" t="b">
        <f t="shared" ref="F67:F111" ca="1" si="3">E67=D67</f>
        <v>0</v>
      </c>
    </row>
    <row r="68" spans="1:6" x14ac:dyDescent="0.25">
      <c r="A68" t="str">
        <f t="shared" si="2"/>
        <v>1bo</v>
      </c>
      <c r="B68" t="s">
        <v>271</v>
      </c>
      <c r="C68" t="s">
        <v>186</v>
      </c>
      <c r="D68" t="s">
        <v>186</v>
      </c>
      <c r="E68">
        <f ca="1">INDIRECT("'Sheet1'!BO1")</f>
        <v>0</v>
      </c>
      <c r="F68" t="b">
        <f t="shared" ca="1" si="3"/>
        <v>0</v>
      </c>
    </row>
    <row r="69" spans="1:6" x14ac:dyDescent="0.25">
      <c r="A69" t="str">
        <f t="shared" si="2"/>
        <v>1bp</v>
      </c>
      <c r="B69" t="s">
        <v>272</v>
      </c>
      <c r="C69" t="s">
        <v>187</v>
      </c>
      <c r="D69" t="s">
        <v>187</v>
      </c>
      <c r="E69">
        <f ca="1">INDIRECT("'Sheet1'!BP1")</f>
        <v>0</v>
      </c>
      <c r="F69" t="b">
        <f t="shared" ca="1" si="3"/>
        <v>0</v>
      </c>
    </row>
    <row r="70" spans="1:6" x14ac:dyDescent="0.25">
      <c r="A70" t="str">
        <f t="shared" si="2"/>
        <v>1bq</v>
      </c>
      <c r="B70" t="s">
        <v>273</v>
      </c>
      <c r="C70" t="s">
        <v>188</v>
      </c>
      <c r="D70" t="s">
        <v>188</v>
      </c>
      <c r="E70">
        <f ca="1">INDIRECT("'Sheet1'!BQ1")</f>
        <v>0</v>
      </c>
      <c r="F70" t="b">
        <f t="shared" ca="1" si="3"/>
        <v>0</v>
      </c>
    </row>
    <row r="71" spans="1:6" x14ac:dyDescent="0.25">
      <c r="A71" t="str">
        <f t="shared" si="2"/>
        <v>1br</v>
      </c>
      <c r="B71" t="s">
        <v>274</v>
      </c>
      <c r="C71" t="s">
        <v>189</v>
      </c>
      <c r="D71" t="s">
        <v>189</v>
      </c>
      <c r="E71">
        <f ca="1">INDIRECT("'Sheet1'!BR1")</f>
        <v>0</v>
      </c>
      <c r="F71" t="b">
        <f t="shared" ca="1" si="3"/>
        <v>0</v>
      </c>
    </row>
    <row r="72" spans="1:6" x14ac:dyDescent="0.25">
      <c r="A72" t="str">
        <f t="shared" si="2"/>
        <v>1bs</v>
      </c>
      <c r="B72" t="s">
        <v>275</v>
      </c>
      <c r="C72" t="s">
        <v>190</v>
      </c>
      <c r="D72" t="s">
        <v>190</v>
      </c>
      <c r="E72">
        <f ca="1">INDIRECT("'Sheet1'!BS1")</f>
        <v>0</v>
      </c>
      <c r="F72" t="b">
        <f t="shared" ca="1" si="3"/>
        <v>0</v>
      </c>
    </row>
    <row r="73" spans="1:6" x14ac:dyDescent="0.25">
      <c r="A73" t="str">
        <f t="shared" si="2"/>
        <v>1bt</v>
      </c>
      <c r="B73" t="s">
        <v>276</v>
      </c>
      <c r="C73" t="s">
        <v>191</v>
      </c>
      <c r="D73" t="s">
        <v>191</v>
      </c>
      <c r="E73">
        <f ca="1">INDIRECT("'Sheet1'!BT1")</f>
        <v>0</v>
      </c>
      <c r="F73" t="b">
        <f t="shared" ca="1" si="3"/>
        <v>0</v>
      </c>
    </row>
    <row r="74" spans="1:6" x14ac:dyDescent="0.25">
      <c r="A74" t="str">
        <f t="shared" si="2"/>
        <v>1bu</v>
      </c>
      <c r="B74" t="s">
        <v>277</v>
      </c>
      <c r="C74" t="s">
        <v>192</v>
      </c>
      <c r="D74" t="s">
        <v>192</v>
      </c>
      <c r="E74">
        <f ca="1">INDIRECT("'Sheet1'!BU1")</f>
        <v>0</v>
      </c>
      <c r="F74" t="b">
        <f t="shared" ca="1" si="3"/>
        <v>0</v>
      </c>
    </row>
    <row r="75" spans="1:6" x14ac:dyDescent="0.25">
      <c r="A75" t="str">
        <f t="shared" si="2"/>
        <v>1bv</v>
      </c>
      <c r="B75" t="s">
        <v>278</v>
      </c>
      <c r="C75" t="s">
        <v>193</v>
      </c>
      <c r="D75" t="s">
        <v>193</v>
      </c>
      <c r="E75">
        <f ca="1">INDIRECT("'Sheet1'!BV1")</f>
        <v>0</v>
      </c>
      <c r="F75" t="b">
        <f t="shared" ca="1" si="3"/>
        <v>0</v>
      </c>
    </row>
    <row r="76" spans="1:6" x14ac:dyDescent="0.25">
      <c r="A76" t="str">
        <f t="shared" si="2"/>
        <v>1bw</v>
      </c>
      <c r="B76" t="s">
        <v>279</v>
      </c>
      <c r="C76" t="s">
        <v>194</v>
      </c>
      <c r="D76" t="s">
        <v>194</v>
      </c>
      <c r="E76">
        <f ca="1">INDIRECT("'Sheet1'!BW1")</f>
        <v>0</v>
      </c>
      <c r="F76" t="b">
        <f t="shared" ca="1" si="3"/>
        <v>0</v>
      </c>
    </row>
    <row r="77" spans="1:6" x14ac:dyDescent="0.25">
      <c r="A77" t="str">
        <f t="shared" si="2"/>
        <v>1bx</v>
      </c>
      <c r="B77" t="s">
        <v>280</v>
      </c>
      <c r="C77" t="s">
        <v>195</v>
      </c>
      <c r="D77" t="s">
        <v>195</v>
      </c>
      <c r="E77">
        <f ca="1">INDIRECT("'Sheet1'!BX1")</f>
        <v>0</v>
      </c>
      <c r="F77" t="b">
        <f t="shared" ca="1" si="3"/>
        <v>0</v>
      </c>
    </row>
    <row r="78" spans="1:6" x14ac:dyDescent="0.25">
      <c r="A78" t="str">
        <f t="shared" si="2"/>
        <v>1by</v>
      </c>
      <c r="B78" t="s">
        <v>281</v>
      </c>
      <c r="C78" t="s">
        <v>196</v>
      </c>
      <c r="D78" t="s">
        <v>196</v>
      </c>
      <c r="E78">
        <f ca="1">INDIRECT("'Sheet1'!BY1")</f>
        <v>0</v>
      </c>
      <c r="F78" t="b">
        <f t="shared" ca="1" si="3"/>
        <v>0</v>
      </c>
    </row>
    <row r="79" spans="1:6" x14ac:dyDescent="0.25">
      <c r="A79" t="str">
        <f t="shared" si="2"/>
        <v>1bz</v>
      </c>
      <c r="B79" t="s">
        <v>282</v>
      </c>
      <c r="C79" t="s">
        <v>197</v>
      </c>
      <c r="D79" t="s">
        <v>197</v>
      </c>
      <c r="E79">
        <f ca="1">INDIRECT("'Sheet1'!BZ1")</f>
        <v>0</v>
      </c>
      <c r="F79" t="b">
        <f t="shared" ca="1" si="3"/>
        <v>0</v>
      </c>
    </row>
    <row r="80" spans="1:6" x14ac:dyDescent="0.25">
      <c r="A80" t="str">
        <f t="shared" si="2"/>
        <v>1ca</v>
      </c>
      <c r="B80" t="s">
        <v>283</v>
      </c>
      <c r="C80" t="s">
        <v>198</v>
      </c>
      <c r="D80" t="s">
        <v>198</v>
      </c>
      <c r="E80">
        <f ca="1">INDIRECT("'Sheet1'!CA1")</f>
        <v>0</v>
      </c>
      <c r="F80" t="b">
        <f t="shared" ca="1" si="3"/>
        <v>0</v>
      </c>
    </row>
    <row r="81" spans="1:6" x14ac:dyDescent="0.25">
      <c r="A81" t="str">
        <f t="shared" si="2"/>
        <v>1cb</v>
      </c>
      <c r="B81" t="s">
        <v>284</v>
      </c>
      <c r="C81" t="s">
        <v>199</v>
      </c>
      <c r="D81" t="s">
        <v>199</v>
      </c>
      <c r="E81">
        <f ca="1">INDIRECT("'Sheet1'!CB1")</f>
        <v>0</v>
      </c>
      <c r="F81" t="b">
        <f t="shared" ca="1" si="3"/>
        <v>0</v>
      </c>
    </row>
    <row r="82" spans="1:6" x14ac:dyDescent="0.25">
      <c r="A82" t="str">
        <f t="shared" si="2"/>
        <v>1cc</v>
      </c>
      <c r="B82" t="s">
        <v>285</v>
      </c>
      <c r="C82" t="s">
        <v>200</v>
      </c>
      <c r="D82" t="s">
        <v>200</v>
      </c>
      <c r="E82">
        <f ca="1">INDIRECT("'Sheet1'!CC1")</f>
        <v>0</v>
      </c>
      <c r="F82" t="b">
        <f t="shared" ca="1" si="3"/>
        <v>0</v>
      </c>
    </row>
    <row r="83" spans="1:6" x14ac:dyDescent="0.25">
      <c r="A83" t="str">
        <f t="shared" si="2"/>
        <v>1cd</v>
      </c>
      <c r="B83" t="s">
        <v>286</v>
      </c>
      <c r="C83" t="s">
        <v>201</v>
      </c>
      <c r="D83" t="s">
        <v>201</v>
      </c>
      <c r="E83">
        <f ca="1">INDIRECT("'Sheet1'!CD1")</f>
        <v>0</v>
      </c>
      <c r="F83" t="b">
        <f t="shared" ca="1" si="3"/>
        <v>0</v>
      </c>
    </row>
    <row r="84" spans="1:6" x14ac:dyDescent="0.25">
      <c r="A84" t="str">
        <f t="shared" si="2"/>
        <v>1ce</v>
      </c>
      <c r="B84" t="s">
        <v>289</v>
      </c>
      <c r="C84" t="s">
        <v>292</v>
      </c>
      <c r="E84">
        <f ca="1">INDIRECT("'Sheet1'!CE1")</f>
        <v>0</v>
      </c>
      <c r="F84" t="b">
        <f t="shared" ca="1" si="3"/>
        <v>1</v>
      </c>
    </row>
    <row r="86" spans="1:6" x14ac:dyDescent="0.25">
      <c r="A86" t="str">
        <f>"2"&amp;LOWER(SUBSTITUTE(ADDRESS(1,ROW()-85,4),"1",""))</f>
        <v>2a</v>
      </c>
      <c r="B86" t="s">
        <v>1642</v>
      </c>
      <c r="C86" t="s">
        <v>120</v>
      </c>
      <c r="D86" t="s">
        <v>121</v>
      </c>
      <c r="E86">
        <f ca="1">INDIRECT("'Sheet1'!A2")</f>
        <v>0</v>
      </c>
      <c r="F86" t="b">
        <f t="shared" ca="1" si="3"/>
        <v>0</v>
      </c>
    </row>
    <row r="87" spans="1:6" x14ac:dyDescent="0.25">
      <c r="A87" t="str">
        <f t="shared" ref="A87:A98" si="4">"2"&amp;LOWER(SUBSTITUTE(ADDRESS(1,ROW()-85,4),"1",""))</f>
        <v>2b</v>
      </c>
      <c r="B87" t="s">
        <v>303</v>
      </c>
      <c r="C87" t="s">
        <v>122</v>
      </c>
      <c r="E87">
        <f ca="1">INDIRECT("'Sheet1'!B2")</f>
        <v>0</v>
      </c>
      <c r="F87" t="b">
        <f t="shared" ca="1" si="3"/>
        <v>1</v>
      </c>
    </row>
    <row r="88" spans="1:6" x14ac:dyDescent="0.25">
      <c r="A88" t="str">
        <f t="shared" si="4"/>
        <v>2c</v>
      </c>
      <c r="B88" t="s">
        <v>202</v>
      </c>
      <c r="C88" t="s">
        <v>112</v>
      </c>
      <c r="D88" t="s">
        <v>114</v>
      </c>
      <c r="E88">
        <f ca="1">INDIRECT("'Sheet1'!H2")</f>
        <v>0</v>
      </c>
      <c r="F88" t="b">
        <f t="shared" ca="1" si="3"/>
        <v>0</v>
      </c>
    </row>
    <row r="89" spans="1:6" x14ac:dyDescent="0.25">
      <c r="A89" t="str">
        <f t="shared" si="4"/>
        <v>2d</v>
      </c>
      <c r="B89" t="s">
        <v>291</v>
      </c>
      <c r="C89" t="s">
        <v>125</v>
      </c>
      <c r="D89">
        <v>48</v>
      </c>
      <c r="E89">
        <f ca="1">INDIRECT("'Sheet1'!E2")</f>
        <v>0</v>
      </c>
      <c r="F89" t="b">
        <f t="shared" ca="1" si="3"/>
        <v>0</v>
      </c>
    </row>
    <row r="90" spans="1:6" x14ac:dyDescent="0.25">
      <c r="A90" t="str">
        <f t="shared" si="4"/>
        <v>2e</v>
      </c>
      <c r="B90" t="s">
        <v>305</v>
      </c>
      <c r="C90" t="s">
        <v>126</v>
      </c>
      <c r="D90" s="2">
        <v>45626</v>
      </c>
      <c r="E90" s="5">
        <f ca="1">INDIRECT("'Sheet1'!F2")</f>
        <v>0</v>
      </c>
      <c r="F90" t="b">
        <f t="shared" ca="1" si="3"/>
        <v>0</v>
      </c>
    </row>
    <row r="91" spans="1:6" x14ac:dyDescent="0.25">
      <c r="A91" t="str">
        <f t="shared" si="4"/>
        <v>2f</v>
      </c>
      <c r="B91" t="s">
        <v>290</v>
      </c>
      <c r="C91" t="s">
        <v>127</v>
      </c>
      <c r="D91">
        <v>74</v>
      </c>
      <c r="E91">
        <f ca="1">INDIRECT("'Sheet1'!G2")</f>
        <v>0</v>
      </c>
      <c r="F91" t="b">
        <f t="shared" ca="1" si="3"/>
        <v>0</v>
      </c>
    </row>
    <row r="92" spans="1:6" x14ac:dyDescent="0.25">
      <c r="A92" t="str">
        <f t="shared" si="4"/>
        <v>2g</v>
      </c>
      <c r="B92" t="s">
        <v>426</v>
      </c>
      <c r="C92" t="s">
        <v>427</v>
      </c>
      <c r="E92">
        <f ca="1">SUM(
  INDIRECT("'Sheet1'!I2"),
  INDIRECT("'Sheet1'!J2"),
  INDIRECT("'Sheet1'!K2"),
  INDIRECT("'Sheet1'!L2"),
  INDIRECT("'Sheet1'!M2"),
  INDIRECT("'Sheet1'!N2"),
  INDIRECT("'Sheet1'!O2"),
  INDIRECT("'Sheet1'!P2"),
  INDIRECT("'Sheet1'!Q2"),
  INDIRECT("'Sheet1'!R2")
)</f>
        <v>0</v>
      </c>
      <c r="F92" t="b">
        <f t="shared" ca="1" si="3"/>
        <v>1</v>
      </c>
    </row>
    <row r="93" spans="1:6" x14ac:dyDescent="0.25">
      <c r="A93" t="str">
        <f t="shared" si="4"/>
        <v>2h</v>
      </c>
      <c r="B93" t="s">
        <v>435</v>
      </c>
      <c r="C93" t="s">
        <v>428</v>
      </c>
      <c r="E93">
        <f ca="1">SUM(
  INDIRECT("'Sheet1'!S2"),
  INDIRECT("'Sheet1'!T2"),
  INDIRECT("'Sheet1'!U2"),
  INDIRECT("'Sheet1'!V2"),
  INDIRECT("'Sheet1'!W2"),
  INDIRECT("'Sheet1'!X2"),
  INDIRECT("'Sheet1'!Y2"),
  INDIRECT("'Sheet1'!Z2"),
  INDIRECT("'Sheet1'!AA2"),
  INDIRECT("'Sheet1'!AB2"),
  INDIRECT("'Sheet1'!AC2"),
  INDIRECT("'Sheet1'!AD2"),
  INDIRECT("'Sheet1'!AE2"),
  INDIRECT("'Sheet1'!AF2"),
  INDIRECT("'Sheet1'!AG2"),
  INDIRECT("'Sheet1'!AH2"),
  INDIRECT("'Sheet1'!AI2"),
  INDIRECT("'Sheet1'!AJ2"),
  INDIRECT("'Sheet1'!AK2"),
  INDIRECT("'Sheet1'!AL2"),
  INDIRECT("'Sheet1'!AM2")
)</f>
        <v>0</v>
      </c>
      <c r="F93" t="b">
        <f t="shared" ca="1" si="3"/>
        <v>1</v>
      </c>
    </row>
    <row r="94" spans="1:6" x14ac:dyDescent="0.25">
      <c r="A94" t="str">
        <f t="shared" si="4"/>
        <v>2i</v>
      </c>
      <c r="B94" t="s">
        <v>434</v>
      </c>
      <c r="C94" t="s">
        <v>429</v>
      </c>
      <c r="E94">
        <f ca="1">SUM(
  INDIRECT("'Sheet1'!AN2"),
  INDIRECT("'Sheet1'!AO2"),
  INDIRECT("'Sheet1'!AP2"),
  INDIRECT("'Sheet1'!AQ2"),
  INDIRECT("'Sheet1'!AR2"),
  INDIRECT("'Sheet1'!AS2"),
  INDIRECT("'Sheet1'!AT2"),
  INDIRECT("'Sheet1'!AU2"),
  INDIRECT("'Sheet1'!AV2"),
  INDIRECT("'Sheet1'!AW2"),
  INDIRECT("'Sheet1'!AX2"),
  INDIRECT("'Sheet1'!AY2"),
  INDIRECT("'Sheet1'!AZ2"),
  INDIRECT("'Sheet1'!BA2")
)</f>
        <v>0</v>
      </c>
      <c r="F94" t="b">
        <f t="shared" ca="1" si="3"/>
        <v>1</v>
      </c>
    </row>
    <row r="95" spans="1:6" x14ac:dyDescent="0.25">
      <c r="A95" t="str">
        <f t="shared" si="4"/>
        <v>2j</v>
      </c>
      <c r="B95" t="s">
        <v>433</v>
      </c>
      <c r="C95" t="s">
        <v>430</v>
      </c>
      <c r="E95">
        <f ca="1">SUM(
  INDIRECT("'Sheet1'!BB2"),
  INDIRECT("'Sheet1'!BC2"),
  INDIRECT("'Sheet1'!BD2"),
  INDIRECT("'Sheet1'!BE2"),
  INDIRECT("'Sheet1'!BF2"),
  INDIRECT("'Sheet1'!BG2"),
  INDIRECT("'Sheet1'!BH2"),
  INDIRECT("'Sheet1'!BI2"),
  INDIRECT("'Sheet1'!BJ2"),
  INDIRECT("'Sheet1'!BK2"),
  INDIRECT("'Sheet1'!BL2"),
  INDIRECT("'Sheet1'!BM2"),
  INDIRECT("'Sheet1'!BN2"),
  INDIRECT("'Sheet1'!BO2"),
  INDIRECT("'Sheet1'!BP2"),
  INDIRECT("'Sheet1'!BQ2"),
  INDIRECT("'Sheet1'!BR2"),
  INDIRECT("'Sheet1'!BS2"),
  INDIRECT("'Sheet1'!BT2"),
  INDIRECT("'Sheet1'!BU2"),
  INDIRECT("'Sheet1'!BV2")
)</f>
        <v>0</v>
      </c>
      <c r="F95" t="b">
        <f t="shared" ca="1" si="3"/>
        <v>1</v>
      </c>
    </row>
    <row r="96" spans="1:6" x14ac:dyDescent="0.25">
      <c r="A96" t="str">
        <f t="shared" si="4"/>
        <v>2k</v>
      </c>
      <c r="B96" t="s">
        <v>432</v>
      </c>
      <c r="C96" t="s">
        <v>438</v>
      </c>
      <c r="E96">
        <f ca="1">SUM(
  INDIRECT("'Sheet1'!BY2"),
  INDIRECT("'Sheet1'!BZ2"),
  INDIRECT("'Sheet1'!CA2")
)</f>
        <v>0</v>
      </c>
      <c r="F96" t="b">
        <f t="shared" ca="1" si="3"/>
        <v>1</v>
      </c>
    </row>
    <row r="97" spans="1:6 16384:16384" x14ac:dyDescent="0.25">
      <c r="A97" t="str">
        <f t="shared" si="4"/>
        <v>2l</v>
      </c>
      <c r="B97" t="s">
        <v>431</v>
      </c>
      <c r="C97" t="s">
        <v>437</v>
      </c>
      <c r="E97">
        <f ca="1">SUM(
  INDIRECT("'Sheet1'!BY2"),
  INDIRECT("'Sheet1'!BZ2"),
  INDIRECT("'Sheet1'!CA2")
)</f>
        <v>0</v>
      </c>
      <c r="F97" t="b">
        <f t="shared" ca="1" si="3"/>
        <v>1</v>
      </c>
    </row>
    <row r="98" spans="1:6 16384:16384" x14ac:dyDescent="0.25">
      <c r="A98" t="str">
        <f t="shared" si="4"/>
        <v>2m</v>
      </c>
      <c r="B98" t="s">
        <v>436</v>
      </c>
      <c r="C98" t="s">
        <v>439</v>
      </c>
      <c r="E98">
        <f ca="1">SUM(
  INDIRECT("'Sheet1'!CB2"),
  INDIRECT("'Sheet1'!CC2"),
  INDIRECT("'Sheet1'!CD2")
)</f>
        <v>0</v>
      </c>
      <c r="F98" t="b">
        <f t="shared" ca="1" si="3"/>
        <v>1</v>
      </c>
    </row>
    <row r="100" spans="1:6 16384:16384" x14ac:dyDescent="0.25">
      <c r="A100" t="s">
        <v>306</v>
      </c>
      <c r="B100" t="s">
        <v>1643</v>
      </c>
      <c r="C100" t="s">
        <v>120</v>
      </c>
      <c r="D100" t="s">
        <v>204</v>
      </c>
      <c r="E100">
        <f ca="1">INDIRECT("'Sheet1'!A3")</f>
        <v>0</v>
      </c>
      <c r="F100" t="b">
        <f t="shared" ca="1" si="3"/>
        <v>0</v>
      </c>
    </row>
    <row r="101" spans="1:6 16384:16384" x14ac:dyDescent="0.25">
      <c r="A101" t="s">
        <v>307</v>
      </c>
      <c r="B101" t="s">
        <v>202</v>
      </c>
      <c r="C101" t="s">
        <v>112</v>
      </c>
      <c r="D101" t="s">
        <v>113</v>
      </c>
      <c r="E101" s="1">
        <f ca="1">INDIRECT("'Sheet1'!H3")</f>
        <v>0</v>
      </c>
      <c r="F101" t="b">
        <f t="shared" ca="1" si="3"/>
        <v>0</v>
      </c>
    </row>
    <row r="102" spans="1:6 16384:16384" x14ac:dyDescent="0.25">
      <c r="A102" t="s">
        <v>308</v>
      </c>
      <c r="B102" t="s">
        <v>291</v>
      </c>
      <c r="C102" t="s">
        <v>125</v>
      </c>
      <c r="D102">
        <v>48</v>
      </c>
      <c r="E102">
        <f ca="1">INDIRECT("'Sheet1'!E3")</f>
        <v>0</v>
      </c>
      <c r="F102" t="b">
        <f t="shared" ca="1" si="3"/>
        <v>0</v>
      </c>
    </row>
    <row r="103" spans="1:6 16384:16384" x14ac:dyDescent="0.25">
      <c r="A103" t="s">
        <v>309</v>
      </c>
      <c r="B103" t="s">
        <v>441</v>
      </c>
      <c r="C103" t="s">
        <v>125</v>
      </c>
      <c r="D103">
        <v>48</v>
      </c>
      <c r="E103">
        <f ca="1">INDIRECT("'Sheet1'!E3")</f>
        <v>0</v>
      </c>
      <c r="F103" t="b">
        <f t="shared" ca="1" si="3"/>
        <v>0</v>
      </c>
    </row>
    <row r="104" spans="1:6 16384:16384" x14ac:dyDescent="0.25">
      <c r="A104" t="s">
        <v>310</v>
      </c>
      <c r="B104" t="s">
        <v>1605</v>
      </c>
      <c r="C104" t="s">
        <v>126</v>
      </c>
      <c r="D104" s="5">
        <v>44531</v>
      </c>
      <c r="E104" s="5">
        <f ca="1">INDIRECT("'Sheet1'!F3")</f>
        <v>0</v>
      </c>
      <c r="F104" t="b">
        <f t="shared" ca="1" si="3"/>
        <v>0</v>
      </c>
    </row>
    <row r="105" spans="1:6 16384:16384" x14ac:dyDescent="0.25">
      <c r="A105" t="s">
        <v>440</v>
      </c>
      <c r="B105" t="s">
        <v>290</v>
      </c>
      <c r="C105" t="s">
        <v>127</v>
      </c>
      <c r="D105">
        <v>101</v>
      </c>
      <c r="E105">
        <f ca="1">INDIRECT("'Sheet1'!G3")</f>
        <v>0</v>
      </c>
      <c r="F105" t="b">
        <f t="shared" ca="1" si="3"/>
        <v>0</v>
      </c>
    </row>
    <row r="107" spans="1:6 16384:16384" x14ac:dyDescent="0.25">
      <c r="A107" t="s">
        <v>311</v>
      </c>
      <c r="B107" t="s">
        <v>1644</v>
      </c>
      <c r="C107" t="s">
        <v>120</v>
      </c>
      <c r="D107" t="s">
        <v>203</v>
      </c>
      <c r="E107">
        <f ca="1">INDIRECT("'Sheet1'!A4")</f>
        <v>0</v>
      </c>
      <c r="F107" t="b">
        <f t="shared" ca="1" si="3"/>
        <v>0</v>
      </c>
      <c r="XFD107" t="s">
        <v>119</v>
      </c>
    </row>
    <row r="108" spans="1:6 16384:16384" x14ac:dyDescent="0.25">
      <c r="A108" t="s">
        <v>312</v>
      </c>
      <c r="B108" t="s">
        <v>299</v>
      </c>
      <c r="C108" t="s">
        <v>112</v>
      </c>
      <c r="F108" t="b">
        <f t="shared" si="3"/>
        <v>1</v>
      </c>
    </row>
    <row r="109" spans="1:6 16384:16384" x14ac:dyDescent="0.25">
      <c r="A109" t="s">
        <v>313</v>
      </c>
      <c r="B109" t="s">
        <v>291</v>
      </c>
      <c r="C109" t="s">
        <v>125</v>
      </c>
      <c r="D109">
        <v>49</v>
      </c>
      <c r="E109">
        <f ca="1">INDIRECT("'Sheet1'!E4")</f>
        <v>0</v>
      </c>
      <c r="F109" t="b">
        <f t="shared" ca="1" si="3"/>
        <v>0</v>
      </c>
    </row>
    <row r="110" spans="1:6 16384:16384" x14ac:dyDescent="0.25">
      <c r="A110" t="s">
        <v>314</v>
      </c>
      <c r="B110" t="s">
        <v>1604</v>
      </c>
      <c r="C110" t="s">
        <v>126</v>
      </c>
      <c r="D110" s="2">
        <v>44531</v>
      </c>
      <c r="E110" s="5">
        <f ca="1">INDIRECT("'Sheet1'!F4")</f>
        <v>0</v>
      </c>
      <c r="F110" t="b">
        <f t="shared" ca="1" si="3"/>
        <v>0</v>
      </c>
    </row>
    <row r="111" spans="1:6 16384:16384" x14ac:dyDescent="0.25">
      <c r="A111" t="s">
        <v>1606</v>
      </c>
      <c r="B111" t="s">
        <v>1607</v>
      </c>
      <c r="C111" t="s">
        <v>1608</v>
      </c>
      <c r="D111" s="2"/>
      <c r="E111">
        <f ca="1">SUM(
  INDIRECT("'Sheet1'!I4"),
  INDIRECT("'Sheet1'!J4"),
  INDIRECT("'Sheet1'!K4"),
  INDIRECT("'Sheet1'!L4"),
  INDIRECT("'Sheet1'!M4"),
  INDIRECT("'Sheet1'!N4"),
  INDIRECT("'Sheet1'!O4"),
  INDIRECT("'Sheet1'!P4"),
  INDIRECT("'Sheet1'!Q4"),
  INDIRECT("'Sheet1'!R4")
)</f>
        <v>0</v>
      </c>
      <c r="F111" t="b">
        <f t="shared" ca="1" si="3"/>
        <v>1</v>
      </c>
    </row>
    <row r="113" spans="1:6" x14ac:dyDescent="0.25">
      <c r="A113" t="s">
        <v>315</v>
      </c>
      <c r="B113" t="s">
        <v>304</v>
      </c>
      <c r="C113" t="s">
        <v>120</v>
      </c>
      <c r="E113">
        <f ca="1">INDIRECT("'Sheet1'!A5")</f>
        <v>0</v>
      </c>
      <c r="F113" t="b">
        <f ca="1">E113=D113</f>
        <v>1</v>
      </c>
    </row>
    <row r="114" spans="1:6" x14ac:dyDescent="0.25">
      <c r="A114" t="s">
        <v>1499</v>
      </c>
      <c r="B114" t="s">
        <v>290</v>
      </c>
      <c r="C114" t="s">
        <v>127</v>
      </c>
      <c r="D114">
        <v>73</v>
      </c>
      <c r="E114">
        <f ca="1">INDIRECT("'Sheet1'!G5")</f>
        <v>0</v>
      </c>
      <c r="F114" t="b">
        <f ca="1">E114=D114</f>
        <v>0</v>
      </c>
    </row>
    <row r="115" spans="1:6" x14ac:dyDescent="0.25">
      <c r="A115" t="s">
        <v>1581</v>
      </c>
      <c r="B115" t="s">
        <v>1582</v>
      </c>
      <c r="C115" t="s">
        <v>125</v>
      </c>
      <c r="D115">
        <v>51.5</v>
      </c>
      <c r="E115">
        <f ca="1">INDIRECT("'Sheet1'!E5")</f>
        <v>0</v>
      </c>
      <c r="F115" t="b">
        <f ca="1">E115=D115</f>
        <v>0</v>
      </c>
    </row>
    <row r="117" spans="1:6" x14ac:dyDescent="0.25">
      <c r="A117" t="s">
        <v>316</v>
      </c>
      <c r="B117" t="s">
        <v>1500</v>
      </c>
      <c r="C117" t="s">
        <v>127</v>
      </c>
      <c r="D117" t="s">
        <v>1501</v>
      </c>
      <c r="E117">
        <f ca="1">INDIRECT("'Sheet1'!G6")</f>
        <v>0</v>
      </c>
      <c r="F117" t="b">
        <f ca="1">E117=D117</f>
        <v>0</v>
      </c>
    </row>
    <row r="119" spans="1:6" x14ac:dyDescent="0.25">
      <c r="A119" t="s">
        <v>317</v>
      </c>
      <c r="B119" t="s">
        <v>1609</v>
      </c>
      <c r="C119" t="s">
        <v>120</v>
      </c>
      <c r="D119" t="s">
        <v>295</v>
      </c>
      <c r="E119">
        <f ca="1">INDIRECT("'Sheet1'!A7")</f>
        <v>0</v>
      </c>
      <c r="F119" t="b">
        <f ca="1">E119=D119</f>
        <v>0</v>
      </c>
    </row>
    <row r="120" spans="1:6" x14ac:dyDescent="0.25">
      <c r="A120" t="s">
        <v>341</v>
      </c>
      <c r="B120" t="s">
        <v>1611</v>
      </c>
      <c r="C120" t="s">
        <v>112</v>
      </c>
      <c r="E120">
        <f ca="1">INDIRECT("'Sheet1'!H7")</f>
        <v>0</v>
      </c>
      <c r="F120" t="b">
        <f t="shared" ref="F120:F122" ca="1" si="5">E120=D120</f>
        <v>1</v>
      </c>
    </row>
    <row r="121" spans="1:6" x14ac:dyDescent="0.25">
      <c r="A121" t="s">
        <v>342</v>
      </c>
      <c r="B121" t="s">
        <v>344</v>
      </c>
      <c r="C121" t="s">
        <v>125</v>
      </c>
      <c r="E121">
        <f ca="1">INDIRECT("'Sheet1'!G7")</f>
        <v>0</v>
      </c>
      <c r="F121" t="b">
        <f t="shared" ca="1" si="5"/>
        <v>1</v>
      </c>
    </row>
    <row r="122" spans="1:6" x14ac:dyDescent="0.25">
      <c r="A122" t="s">
        <v>343</v>
      </c>
      <c r="B122" t="s">
        <v>298</v>
      </c>
      <c r="C122" t="s">
        <v>126</v>
      </c>
      <c r="E122">
        <f ca="1">INDIRECT("'Sheet1'!F7")</f>
        <v>0</v>
      </c>
      <c r="F122" t="b">
        <f t="shared" ca="1" si="5"/>
        <v>1</v>
      </c>
    </row>
    <row r="124" spans="1:6" x14ac:dyDescent="0.25">
      <c r="A124" t="s">
        <v>318</v>
      </c>
      <c r="B124" t="s">
        <v>1612</v>
      </c>
      <c r="C124" t="s">
        <v>120</v>
      </c>
      <c r="D124" t="s">
        <v>295</v>
      </c>
      <c r="E124">
        <f ca="1">INDIRECT("'Sheet1'!A8")</f>
        <v>0</v>
      </c>
      <c r="F124" t="b">
        <f ca="1">E124=D124</f>
        <v>0</v>
      </c>
    </row>
    <row r="125" spans="1:6" x14ac:dyDescent="0.25">
      <c r="A125" t="s">
        <v>319</v>
      </c>
      <c r="B125" t="s">
        <v>296</v>
      </c>
      <c r="C125" t="s">
        <v>112</v>
      </c>
      <c r="E125">
        <f ca="1">INDIRECT("'Sheet1'!H8")</f>
        <v>0</v>
      </c>
      <c r="F125" t="b">
        <f t="shared" ref="F125:F127" ca="1" si="6">E125=D125</f>
        <v>1</v>
      </c>
    </row>
    <row r="126" spans="1:6" x14ac:dyDescent="0.25">
      <c r="A126" t="s">
        <v>320</v>
      </c>
      <c r="B126" t="s">
        <v>297</v>
      </c>
      <c r="C126" t="s">
        <v>125</v>
      </c>
      <c r="E126">
        <f ca="1">INDIRECT("'Sheet1'!I8")</f>
        <v>0</v>
      </c>
      <c r="F126" t="b">
        <f t="shared" ca="1" si="6"/>
        <v>1</v>
      </c>
    </row>
    <row r="127" spans="1:6" x14ac:dyDescent="0.25">
      <c r="A127" t="s">
        <v>321</v>
      </c>
      <c r="B127" t="s">
        <v>298</v>
      </c>
      <c r="C127" t="s">
        <v>126</v>
      </c>
      <c r="E127">
        <f ca="1">INDIRECT("'Sheet1'!F8")</f>
        <v>0</v>
      </c>
      <c r="F127" t="b">
        <f t="shared" ca="1" si="6"/>
        <v>1</v>
      </c>
    </row>
    <row r="129" spans="1:6" x14ac:dyDescent="0.25">
      <c r="A129" t="s">
        <v>322</v>
      </c>
      <c r="B129" t="s">
        <v>1610</v>
      </c>
      <c r="C129" t="s">
        <v>120</v>
      </c>
      <c r="D129" t="s">
        <v>295</v>
      </c>
      <c r="E129">
        <f ca="1">INDIRECT("'Sheet1'!A9")</f>
        <v>0</v>
      </c>
      <c r="F129" t="b">
        <f ca="1">E129=D129</f>
        <v>0</v>
      </c>
    </row>
    <row r="130" spans="1:6" x14ac:dyDescent="0.25">
      <c r="A130" t="s">
        <v>323</v>
      </c>
      <c r="B130" t="s">
        <v>300</v>
      </c>
      <c r="C130" t="s">
        <v>112</v>
      </c>
      <c r="E130">
        <f ca="1">INDIRECT("'Sheet1'!H9")</f>
        <v>0</v>
      </c>
      <c r="F130" t="b">
        <f t="shared" ref="F130:F195" ca="1" si="7">E130=D130</f>
        <v>1</v>
      </c>
    </row>
    <row r="131" spans="1:6" x14ac:dyDescent="0.25">
      <c r="A131" t="s">
        <v>324</v>
      </c>
      <c r="B131" t="s">
        <v>301</v>
      </c>
      <c r="C131" t="s">
        <v>125</v>
      </c>
      <c r="E131">
        <f ca="1">INDIRECT("'Sheet1'!I9")</f>
        <v>0</v>
      </c>
      <c r="F131" t="b">
        <f t="shared" ca="1" si="7"/>
        <v>1</v>
      </c>
    </row>
    <row r="132" spans="1:6" x14ac:dyDescent="0.25">
      <c r="A132" t="s">
        <v>325</v>
      </c>
      <c r="B132" t="s">
        <v>302</v>
      </c>
      <c r="C132" t="s">
        <v>126</v>
      </c>
      <c r="E132">
        <f ca="1">INDIRECT("'Sheet1'!F9")</f>
        <v>0</v>
      </c>
      <c r="F132" t="b">
        <f t="shared" ca="1" si="7"/>
        <v>1</v>
      </c>
    </row>
    <row r="134" spans="1:6" x14ac:dyDescent="0.25">
      <c r="A134" t="s">
        <v>326</v>
      </c>
      <c r="B134" t="s">
        <v>345</v>
      </c>
      <c r="C134" t="s">
        <v>128</v>
      </c>
      <c r="D134">
        <v>47</v>
      </c>
      <c r="E134">
        <f ca="1">INDIRECT("'Sheet1'!I10")</f>
        <v>0</v>
      </c>
      <c r="F134" t="b">
        <f t="shared" ca="1" si="7"/>
        <v>0</v>
      </c>
    </row>
    <row r="135" spans="1:6" x14ac:dyDescent="0.25">
      <c r="A135" t="s">
        <v>327</v>
      </c>
      <c r="B135" t="s">
        <v>328</v>
      </c>
      <c r="C135" t="s">
        <v>129</v>
      </c>
      <c r="D135" s="2">
        <v>44257</v>
      </c>
      <c r="E135" s="5">
        <f ca="1">INDIRECT("'Sheet1'!J10")</f>
        <v>0</v>
      </c>
      <c r="F135" t="b">
        <f t="shared" ca="1" si="7"/>
        <v>0</v>
      </c>
    </row>
    <row r="137" spans="1:6" x14ac:dyDescent="0.25">
      <c r="A137" t="s">
        <v>329</v>
      </c>
      <c r="B137" t="s">
        <v>346</v>
      </c>
      <c r="C137" t="s">
        <v>130</v>
      </c>
      <c r="D137">
        <v>47</v>
      </c>
      <c r="E137">
        <f ca="1">INDIRECT("'Sheet1'!K11")</f>
        <v>0</v>
      </c>
      <c r="F137" t="b">
        <f t="shared" ca="1" si="7"/>
        <v>0</v>
      </c>
    </row>
    <row r="138" spans="1:6" x14ac:dyDescent="0.25">
      <c r="A138" t="s">
        <v>330</v>
      </c>
      <c r="B138" t="s">
        <v>337</v>
      </c>
      <c r="C138" t="s">
        <v>131</v>
      </c>
      <c r="D138" s="5">
        <v>44075</v>
      </c>
      <c r="E138" s="5">
        <f ca="1">INDIRECT("'Sheet1'!L11")</f>
        <v>0</v>
      </c>
      <c r="F138" t="b">
        <f t="shared" ca="1" si="7"/>
        <v>0</v>
      </c>
    </row>
    <row r="140" spans="1:6" x14ac:dyDescent="0.25">
      <c r="A140" t="s">
        <v>331</v>
      </c>
      <c r="B140" t="s">
        <v>347</v>
      </c>
      <c r="C140" t="s">
        <v>132</v>
      </c>
      <c r="D140">
        <v>47</v>
      </c>
      <c r="E140">
        <f ca="1">INDIRECT("'Sheet1'!M12")</f>
        <v>0</v>
      </c>
      <c r="F140" t="b">
        <f t="shared" ca="1" si="7"/>
        <v>0</v>
      </c>
    </row>
    <row r="141" spans="1:6" x14ac:dyDescent="0.25">
      <c r="A141" t="s">
        <v>332</v>
      </c>
      <c r="B141" t="s">
        <v>338</v>
      </c>
      <c r="C141" t="s">
        <v>133</v>
      </c>
      <c r="D141" s="5">
        <v>44348</v>
      </c>
      <c r="E141" s="5">
        <f ca="1">INDIRECT("'Sheet1'!N12")</f>
        <v>0</v>
      </c>
      <c r="F141" t="b">
        <f t="shared" ca="1" si="7"/>
        <v>0</v>
      </c>
    </row>
    <row r="143" spans="1:6" x14ac:dyDescent="0.25">
      <c r="A143" t="s">
        <v>333</v>
      </c>
      <c r="B143" t="s">
        <v>348</v>
      </c>
      <c r="C143" t="s">
        <v>134</v>
      </c>
      <c r="D143">
        <v>47</v>
      </c>
      <c r="E143">
        <f ca="1">INDIRECT("'Sheet1'!O13")</f>
        <v>0</v>
      </c>
      <c r="F143" t="b">
        <f t="shared" ca="1" si="7"/>
        <v>0</v>
      </c>
    </row>
    <row r="144" spans="1:6" x14ac:dyDescent="0.25">
      <c r="A144" t="s">
        <v>334</v>
      </c>
      <c r="B144" t="s">
        <v>339</v>
      </c>
      <c r="C144" t="s">
        <v>135</v>
      </c>
      <c r="D144" s="5">
        <v>44439</v>
      </c>
      <c r="E144" s="5">
        <f ca="1">INDIRECT("'Sheet1'!P13")</f>
        <v>0</v>
      </c>
      <c r="F144" t="b">
        <f t="shared" ca="1" si="7"/>
        <v>0</v>
      </c>
    </row>
    <row r="146" spans="1:6" x14ac:dyDescent="0.25">
      <c r="A146" t="s">
        <v>335</v>
      </c>
      <c r="B146" t="s">
        <v>349</v>
      </c>
      <c r="C146" t="s">
        <v>136</v>
      </c>
      <c r="D146">
        <v>47</v>
      </c>
      <c r="E146">
        <f ca="1">INDIRECT("'Sheet1'!Q14")</f>
        <v>0</v>
      </c>
      <c r="F146" t="b">
        <f t="shared" ca="1" si="7"/>
        <v>0</v>
      </c>
    </row>
    <row r="147" spans="1:6" x14ac:dyDescent="0.25">
      <c r="A147" t="s">
        <v>336</v>
      </c>
      <c r="B147" t="s">
        <v>340</v>
      </c>
      <c r="C147" t="s">
        <v>137</v>
      </c>
      <c r="D147" s="5">
        <v>43984</v>
      </c>
      <c r="E147" s="5">
        <f ca="1">INDIRECT("'Sheet1'!R14")</f>
        <v>0</v>
      </c>
      <c r="F147" t="b">
        <f t="shared" ca="1" si="7"/>
        <v>0</v>
      </c>
    </row>
    <row r="149" spans="1:6" x14ac:dyDescent="0.25">
      <c r="A149" t="s">
        <v>355</v>
      </c>
      <c r="B149" t="s">
        <v>350</v>
      </c>
      <c r="C149" t="s">
        <v>128</v>
      </c>
      <c r="D149">
        <v>47</v>
      </c>
      <c r="E149">
        <f ca="1">INDIRECT("'Sheet1'!I15")</f>
        <v>0</v>
      </c>
      <c r="F149" t="b">
        <f t="shared" ca="1" si="7"/>
        <v>0</v>
      </c>
    </row>
    <row r="150" spans="1:6" x14ac:dyDescent="0.25">
      <c r="A150" t="s">
        <v>356</v>
      </c>
      <c r="B150" t="s">
        <v>328</v>
      </c>
      <c r="C150" t="s">
        <v>129</v>
      </c>
      <c r="D150" s="5">
        <v>44076</v>
      </c>
      <c r="E150" s="5">
        <f ca="1">INDIRECT("'Sheet1'!J15")</f>
        <v>0</v>
      </c>
      <c r="F150" t="b">
        <f t="shared" ca="1" si="7"/>
        <v>0</v>
      </c>
    </row>
    <row r="152" spans="1:6" x14ac:dyDescent="0.25">
      <c r="A152" t="s">
        <v>357</v>
      </c>
      <c r="B152" t="s">
        <v>351</v>
      </c>
      <c r="C152" t="s">
        <v>130</v>
      </c>
      <c r="D152">
        <v>47</v>
      </c>
      <c r="E152">
        <f ca="1">INDIRECT("'Sheet1'!K16")</f>
        <v>0</v>
      </c>
      <c r="F152" t="b">
        <f t="shared" ca="1" si="7"/>
        <v>0</v>
      </c>
    </row>
    <row r="153" spans="1:6" x14ac:dyDescent="0.25">
      <c r="A153" t="s">
        <v>358</v>
      </c>
      <c r="B153" t="s">
        <v>337</v>
      </c>
      <c r="C153" t="s">
        <v>131</v>
      </c>
      <c r="D153" s="5">
        <v>43985</v>
      </c>
      <c r="E153" s="5">
        <f ca="1">INDIRECT("'Sheet1'!L16")</f>
        <v>0</v>
      </c>
      <c r="F153" t="b">
        <f t="shared" ca="1" si="7"/>
        <v>0</v>
      </c>
    </row>
    <row r="155" spans="1:6" x14ac:dyDescent="0.25">
      <c r="A155" t="s">
        <v>359</v>
      </c>
      <c r="B155" t="s">
        <v>352</v>
      </c>
      <c r="C155" t="s">
        <v>132</v>
      </c>
      <c r="D155">
        <v>47</v>
      </c>
      <c r="E155">
        <f ca="1">INDIRECT("'Sheet1'!M17")</f>
        <v>0</v>
      </c>
      <c r="F155" t="b">
        <f t="shared" ca="1" si="7"/>
        <v>0</v>
      </c>
    </row>
    <row r="156" spans="1:6" x14ac:dyDescent="0.25">
      <c r="A156" t="s">
        <v>360</v>
      </c>
      <c r="B156" t="s">
        <v>338</v>
      </c>
      <c r="C156" t="s">
        <v>133</v>
      </c>
      <c r="D156" s="5">
        <v>44258</v>
      </c>
      <c r="E156" s="5">
        <f ca="1">INDIRECT("'Sheet1'!N17")</f>
        <v>0</v>
      </c>
      <c r="F156" t="b">
        <f t="shared" ca="1" si="7"/>
        <v>0</v>
      </c>
    </row>
    <row r="158" spans="1:6" x14ac:dyDescent="0.25">
      <c r="A158" t="s">
        <v>361</v>
      </c>
      <c r="B158" t="s">
        <v>353</v>
      </c>
      <c r="C158" t="s">
        <v>134</v>
      </c>
      <c r="D158">
        <v>47</v>
      </c>
      <c r="E158">
        <f ca="1">INDIRECT("'Sheet1'!O18")</f>
        <v>0</v>
      </c>
      <c r="F158" t="b">
        <f t="shared" ca="1" si="7"/>
        <v>0</v>
      </c>
    </row>
    <row r="159" spans="1:6" x14ac:dyDescent="0.25">
      <c r="A159" t="s">
        <v>362</v>
      </c>
      <c r="B159" t="s">
        <v>339</v>
      </c>
      <c r="C159" t="s">
        <v>135</v>
      </c>
      <c r="D159" s="5">
        <v>44349</v>
      </c>
      <c r="E159" s="5">
        <f ca="1">INDIRECT("'Sheet1'!P18")</f>
        <v>0</v>
      </c>
      <c r="F159" t="b">
        <f t="shared" ca="1" si="7"/>
        <v>0</v>
      </c>
    </row>
    <row r="161" spans="1:6" x14ac:dyDescent="0.25">
      <c r="A161" t="s">
        <v>363</v>
      </c>
      <c r="B161" t="s">
        <v>354</v>
      </c>
      <c r="C161" t="s">
        <v>136</v>
      </c>
      <c r="D161">
        <v>47</v>
      </c>
      <c r="E161">
        <f ca="1">INDIRECT("'Sheet1'!Q19")</f>
        <v>0</v>
      </c>
      <c r="F161" t="b">
        <f t="shared" ca="1" si="7"/>
        <v>0</v>
      </c>
    </row>
    <row r="162" spans="1:6" x14ac:dyDescent="0.25">
      <c r="A162" t="s">
        <v>364</v>
      </c>
      <c r="B162" t="s">
        <v>340</v>
      </c>
      <c r="C162" t="s">
        <v>137</v>
      </c>
      <c r="D162" s="5">
        <v>43803</v>
      </c>
      <c r="E162" s="5">
        <f ca="1">INDIRECT("'Sheet1'!R19")</f>
        <v>0</v>
      </c>
      <c r="F162" t="b">
        <f t="shared" ca="1" si="7"/>
        <v>0</v>
      </c>
    </row>
    <row r="164" spans="1:6" x14ac:dyDescent="0.25">
      <c r="A164" t="s">
        <v>365</v>
      </c>
      <c r="B164" t="s">
        <v>395</v>
      </c>
      <c r="C164" t="s">
        <v>128</v>
      </c>
      <c r="D164">
        <v>47</v>
      </c>
      <c r="E164">
        <f ca="1">INDIRECT("'Sheet1'!I20")</f>
        <v>0</v>
      </c>
      <c r="F164" t="b">
        <f t="shared" ca="1" si="7"/>
        <v>0</v>
      </c>
    </row>
    <row r="165" spans="1:6" x14ac:dyDescent="0.25">
      <c r="A165" t="s">
        <v>366</v>
      </c>
      <c r="B165" t="s">
        <v>396</v>
      </c>
      <c r="C165" t="s">
        <v>129</v>
      </c>
      <c r="D165" s="2">
        <v>44076</v>
      </c>
      <c r="E165" s="5">
        <f ca="1">INDIRECT("'Sheet1'!J20")</f>
        <v>0</v>
      </c>
      <c r="F165" t="b">
        <f t="shared" ca="1" si="7"/>
        <v>0</v>
      </c>
    </row>
    <row r="166" spans="1:6" x14ac:dyDescent="0.25">
      <c r="A166" t="s">
        <v>367</v>
      </c>
      <c r="B166" t="s">
        <v>394</v>
      </c>
      <c r="C166" t="s">
        <v>130</v>
      </c>
      <c r="D166">
        <v>46</v>
      </c>
      <c r="E166">
        <f ca="1">INDIRECT("'Sheet1'!K20")</f>
        <v>0</v>
      </c>
      <c r="F166" t="b">
        <f t="shared" ca="1" si="7"/>
        <v>0</v>
      </c>
    </row>
    <row r="167" spans="1:6" x14ac:dyDescent="0.25">
      <c r="A167" t="s">
        <v>368</v>
      </c>
      <c r="B167" t="s">
        <v>397</v>
      </c>
      <c r="C167" t="s">
        <v>131</v>
      </c>
      <c r="D167" s="5">
        <v>44075</v>
      </c>
      <c r="E167" s="5">
        <f ca="1">INDIRECT("'Sheet1'!L20")</f>
        <v>0</v>
      </c>
      <c r="F167" t="b">
        <f t="shared" ca="1" si="7"/>
        <v>0</v>
      </c>
    </row>
    <row r="169" spans="1:6" x14ac:dyDescent="0.25">
      <c r="A169" t="s">
        <v>369</v>
      </c>
      <c r="B169" t="s">
        <v>398</v>
      </c>
      <c r="C169" t="s">
        <v>128</v>
      </c>
      <c r="D169">
        <v>46</v>
      </c>
      <c r="E169">
        <f ca="1">INDIRECT("'Sheet1'!I21")</f>
        <v>0</v>
      </c>
      <c r="F169" t="b">
        <f t="shared" ca="1" si="7"/>
        <v>0</v>
      </c>
    </row>
    <row r="170" spans="1:6" x14ac:dyDescent="0.25">
      <c r="A170" t="s">
        <v>370</v>
      </c>
      <c r="B170" t="s">
        <v>399</v>
      </c>
      <c r="C170" t="s">
        <v>129</v>
      </c>
      <c r="D170" s="5">
        <v>44257</v>
      </c>
      <c r="E170" s="5">
        <f ca="1">INDIRECT("'Sheet1'!J21")</f>
        <v>0</v>
      </c>
      <c r="F170" t="b">
        <f t="shared" ca="1" si="7"/>
        <v>0</v>
      </c>
    </row>
    <row r="171" spans="1:6" x14ac:dyDescent="0.25">
      <c r="A171" t="s">
        <v>371</v>
      </c>
      <c r="B171" t="s">
        <v>400</v>
      </c>
      <c r="C171" t="s">
        <v>132</v>
      </c>
      <c r="D171">
        <v>47</v>
      </c>
      <c r="E171">
        <f ca="1">INDIRECT("'Sheet1'!M21")</f>
        <v>0</v>
      </c>
      <c r="F171" t="b">
        <f t="shared" ca="1" si="7"/>
        <v>0</v>
      </c>
    </row>
    <row r="172" spans="1:6" x14ac:dyDescent="0.25">
      <c r="A172" t="s">
        <v>372</v>
      </c>
      <c r="B172" t="s">
        <v>401</v>
      </c>
      <c r="C172" t="s">
        <v>133</v>
      </c>
      <c r="D172" s="5">
        <v>44258</v>
      </c>
      <c r="E172" s="5">
        <f ca="1">INDIRECT("'Sheet1'!N21")</f>
        <v>0</v>
      </c>
      <c r="F172" t="b">
        <f t="shared" ca="1" si="7"/>
        <v>0</v>
      </c>
    </row>
    <row r="174" spans="1:6" x14ac:dyDescent="0.25">
      <c r="A174" t="s">
        <v>373</v>
      </c>
      <c r="B174" t="s">
        <v>402</v>
      </c>
      <c r="C174" t="s">
        <v>132</v>
      </c>
      <c r="D174">
        <v>46</v>
      </c>
      <c r="E174">
        <f ca="1">INDIRECT("'Sheet1'!M22")</f>
        <v>0</v>
      </c>
      <c r="F174" t="b">
        <f t="shared" ca="1" si="7"/>
        <v>0</v>
      </c>
    </row>
    <row r="175" spans="1:6" x14ac:dyDescent="0.25">
      <c r="A175" t="s">
        <v>374</v>
      </c>
      <c r="B175" t="s">
        <v>403</v>
      </c>
      <c r="C175" t="s">
        <v>133</v>
      </c>
      <c r="D175" s="5">
        <v>44348</v>
      </c>
      <c r="E175" s="5">
        <f ca="1">INDIRECT("'Sheet1'!N22")</f>
        <v>0</v>
      </c>
      <c r="F175" t="b">
        <f t="shared" ca="1" si="7"/>
        <v>0</v>
      </c>
    </row>
    <row r="176" spans="1:6" x14ac:dyDescent="0.25">
      <c r="A176" t="s">
        <v>375</v>
      </c>
      <c r="B176" t="s">
        <v>404</v>
      </c>
      <c r="C176" t="s">
        <v>134</v>
      </c>
      <c r="D176">
        <v>47</v>
      </c>
      <c r="E176">
        <f ca="1">INDIRECT("'Sheet1'!O22")</f>
        <v>0</v>
      </c>
      <c r="F176" t="b">
        <f t="shared" ca="1" si="7"/>
        <v>0</v>
      </c>
    </row>
    <row r="177" spans="1:6" x14ac:dyDescent="0.25">
      <c r="A177" t="s">
        <v>376</v>
      </c>
      <c r="B177" t="s">
        <v>405</v>
      </c>
      <c r="C177" t="s">
        <v>135</v>
      </c>
      <c r="D177" s="5">
        <v>44349</v>
      </c>
      <c r="E177" s="5">
        <f ca="1">INDIRECT("'Sheet1'!P22")</f>
        <v>0</v>
      </c>
      <c r="F177" t="b">
        <f t="shared" ca="1" si="7"/>
        <v>0</v>
      </c>
    </row>
    <row r="179" spans="1:6" x14ac:dyDescent="0.25">
      <c r="A179" t="s">
        <v>377</v>
      </c>
      <c r="B179" t="s">
        <v>406</v>
      </c>
      <c r="C179" t="s">
        <v>130</v>
      </c>
      <c r="D179">
        <v>47</v>
      </c>
      <c r="E179">
        <f ca="1">INDIRECT("'Sheet1'!K23")</f>
        <v>0</v>
      </c>
      <c r="F179" t="b">
        <f t="shared" ca="1" si="7"/>
        <v>0</v>
      </c>
    </row>
    <row r="180" spans="1:6" x14ac:dyDescent="0.25">
      <c r="A180" t="s">
        <v>378</v>
      </c>
      <c r="B180" t="s">
        <v>407</v>
      </c>
      <c r="C180" t="s">
        <v>131</v>
      </c>
      <c r="D180" s="5">
        <v>43985</v>
      </c>
      <c r="E180" s="5">
        <f ca="1">INDIRECT("'Sheet1'!L23")</f>
        <v>0</v>
      </c>
      <c r="F180" t="b">
        <f t="shared" ca="1" si="7"/>
        <v>0</v>
      </c>
    </row>
    <row r="181" spans="1:6" x14ac:dyDescent="0.25">
      <c r="A181" t="s">
        <v>380</v>
      </c>
      <c r="B181" t="s">
        <v>408</v>
      </c>
      <c r="C181" t="s">
        <v>136</v>
      </c>
      <c r="D181">
        <v>46</v>
      </c>
      <c r="E181">
        <f ca="1">INDIRECT("'Sheet1'!Q23")</f>
        <v>0</v>
      </c>
      <c r="F181" t="b">
        <f t="shared" ca="1" si="7"/>
        <v>0</v>
      </c>
    </row>
    <row r="182" spans="1:6" x14ac:dyDescent="0.25">
      <c r="A182" t="s">
        <v>379</v>
      </c>
      <c r="B182" t="s">
        <v>409</v>
      </c>
      <c r="C182" t="s">
        <v>137</v>
      </c>
      <c r="D182" s="5">
        <v>43984</v>
      </c>
      <c r="E182" s="5">
        <f ca="1">INDIRECT("'Sheet1'!R23")</f>
        <v>0</v>
      </c>
      <c r="F182" t="b">
        <f t="shared" ca="1" si="7"/>
        <v>0</v>
      </c>
    </row>
    <row r="184" spans="1:6" x14ac:dyDescent="0.25">
      <c r="A184" t="s">
        <v>381</v>
      </c>
      <c r="B184" t="s">
        <v>390</v>
      </c>
      <c r="C184" t="s">
        <v>134</v>
      </c>
      <c r="D184">
        <v>46</v>
      </c>
      <c r="E184">
        <f ca="1">INDIRECT("'Sheet1'!O24")</f>
        <v>0</v>
      </c>
      <c r="F184" t="b">
        <f t="shared" ca="1" si="7"/>
        <v>0</v>
      </c>
    </row>
    <row r="185" spans="1:6" x14ac:dyDescent="0.25">
      <c r="A185" t="s">
        <v>382</v>
      </c>
      <c r="B185" t="s">
        <v>391</v>
      </c>
      <c r="C185" t="s">
        <v>135</v>
      </c>
      <c r="D185" s="5">
        <v>44439</v>
      </c>
      <c r="E185" s="5">
        <f ca="1">INDIRECT("'Sheet1'!P24")</f>
        <v>0</v>
      </c>
      <c r="F185" t="b">
        <f t="shared" ca="1" si="7"/>
        <v>0</v>
      </c>
    </row>
    <row r="186" spans="1:6" x14ac:dyDescent="0.25">
      <c r="A186" t="s">
        <v>383</v>
      </c>
      <c r="B186" t="s">
        <v>392</v>
      </c>
      <c r="C186" t="s">
        <v>136</v>
      </c>
      <c r="D186">
        <v>45</v>
      </c>
      <c r="E186">
        <f ca="1">INDIRECT("'Sheet1'!Q24")</f>
        <v>0</v>
      </c>
      <c r="F186" t="b">
        <f t="shared" ca="1" si="7"/>
        <v>0</v>
      </c>
    </row>
    <row r="187" spans="1:6" x14ac:dyDescent="0.25">
      <c r="A187" t="s">
        <v>384</v>
      </c>
      <c r="B187" t="s">
        <v>393</v>
      </c>
      <c r="C187" t="s">
        <v>137</v>
      </c>
      <c r="D187" s="5">
        <v>43803</v>
      </c>
      <c r="E187" s="5">
        <f ca="1">INDIRECT("'Sheet1'!R24")</f>
        <v>0</v>
      </c>
      <c r="F187" t="b">
        <f t="shared" ca="1" si="7"/>
        <v>0</v>
      </c>
    </row>
    <row r="188" spans="1:6" x14ac:dyDescent="0.25">
      <c r="A188" t="s">
        <v>589</v>
      </c>
      <c r="B188" t="s">
        <v>591</v>
      </c>
      <c r="C188" t="s">
        <v>595</v>
      </c>
      <c r="D188" s="5"/>
      <c r="E188">
        <f ca="1">SUM(
  INDIRECT("'Sheet1'!I24"),
  INDIRECT("'Sheet1'!K24"),
  INDIRECT("'Sheet1'!M24")
)</f>
        <v>0</v>
      </c>
      <c r="F188" t="b">
        <f t="shared" ca="1" si="7"/>
        <v>1</v>
      </c>
    </row>
    <row r="189" spans="1:6" x14ac:dyDescent="0.25">
      <c r="A189" t="s">
        <v>590</v>
      </c>
      <c r="B189" t="s">
        <v>592</v>
      </c>
      <c r="C189" t="s">
        <v>596</v>
      </c>
      <c r="D189" s="5"/>
      <c r="E189">
        <f ca="1">SUM(
  INDIRECT("'Sheet1'!J24"),
  INDIRECT("'Sheet1'!L24"),
  INDIRECT("'Sheet1'!N24")
)</f>
        <v>0</v>
      </c>
      <c r="F189" t="b">
        <f t="shared" ca="1" si="7"/>
        <v>1</v>
      </c>
    </row>
    <row r="191" spans="1:6" x14ac:dyDescent="0.25">
      <c r="A191" t="s">
        <v>385</v>
      </c>
      <c r="B191" t="s">
        <v>410</v>
      </c>
      <c r="C191" t="s">
        <v>128</v>
      </c>
      <c r="D191">
        <v>45</v>
      </c>
      <c r="E191">
        <f ca="1">INDIRECT("'Sheet1'!I25")</f>
        <v>0</v>
      </c>
      <c r="F191" t="b">
        <f t="shared" ca="1" si="7"/>
        <v>0</v>
      </c>
    </row>
    <row r="192" spans="1:6" x14ac:dyDescent="0.25">
      <c r="A192" t="s">
        <v>386</v>
      </c>
      <c r="B192" t="s">
        <v>411</v>
      </c>
      <c r="C192" t="s">
        <v>129</v>
      </c>
      <c r="D192" s="5">
        <v>44257</v>
      </c>
      <c r="E192" s="5">
        <f ca="1">INDIRECT("'Sheet1'!J25")</f>
        <v>0</v>
      </c>
      <c r="F192" t="b">
        <f t="shared" ca="1" si="7"/>
        <v>0</v>
      </c>
    </row>
    <row r="193" spans="1:6" x14ac:dyDescent="0.25">
      <c r="A193" t="s">
        <v>387</v>
      </c>
      <c r="B193" t="s">
        <v>415</v>
      </c>
      <c r="C193" t="s">
        <v>130</v>
      </c>
      <c r="D193">
        <v>44</v>
      </c>
      <c r="E193">
        <f ca="1">INDIRECT("'Sheet1'!K25")</f>
        <v>0</v>
      </c>
      <c r="F193" t="b">
        <f t="shared" ca="1" si="7"/>
        <v>0</v>
      </c>
    </row>
    <row r="194" spans="1:6" x14ac:dyDescent="0.25">
      <c r="A194" t="s">
        <v>388</v>
      </c>
      <c r="B194" t="s">
        <v>416</v>
      </c>
      <c r="C194" t="s">
        <v>131</v>
      </c>
      <c r="D194" s="5">
        <v>44075</v>
      </c>
      <c r="E194" s="5">
        <f ca="1">INDIRECT("'Sheet1'!L25")</f>
        <v>0</v>
      </c>
      <c r="F194" t="b">
        <f t="shared" ca="1" si="7"/>
        <v>0</v>
      </c>
    </row>
    <row r="195" spans="1:6" x14ac:dyDescent="0.25">
      <c r="A195" t="s">
        <v>389</v>
      </c>
      <c r="B195" t="s">
        <v>417</v>
      </c>
      <c r="C195" t="s">
        <v>132</v>
      </c>
      <c r="D195">
        <v>46</v>
      </c>
      <c r="E195">
        <f ca="1">INDIRECT("'Sheet1'!M25")</f>
        <v>0</v>
      </c>
      <c r="F195" t="b">
        <f t="shared" ca="1" si="7"/>
        <v>0</v>
      </c>
    </row>
    <row r="196" spans="1:6" x14ac:dyDescent="0.25">
      <c r="A196" t="s">
        <v>412</v>
      </c>
      <c r="B196" t="s">
        <v>418</v>
      </c>
      <c r="C196" t="s">
        <v>133</v>
      </c>
      <c r="D196" s="5">
        <v>44348</v>
      </c>
      <c r="E196" s="5">
        <f ca="1">INDIRECT("'Sheet1'!N25")</f>
        <v>0</v>
      </c>
      <c r="F196" t="b">
        <f t="shared" ref="F196:F200" ca="1" si="8">E196=D196</f>
        <v>0</v>
      </c>
    </row>
    <row r="197" spans="1:6" x14ac:dyDescent="0.25">
      <c r="A197" t="s">
        <v>413</v>
      </c>
      <c r="B197" t="s">
        <v>419</v>
      </c>
      <c r="C197" t="s">
        <v>134</v>
      </c>
      <c r="D197">
        <v>47</v>
      </c>
      <c r="E197">
        <f ca="1">INDIRECT("'Sheet1'!O25")</f>
        <v>0</v>
      </c>
      <c r="F197" t="b">
        <f t="shared" ca="1" si="8"/>
        <v>0</v>
      </c>
    </row>
    <row r="198" spans="1:6" x14ac:dyDescent="0.25">
      <c r="A198" t="s">
        <v>414</v>
      </c>
      <c r="B198" t="s">
        <v>420</v>
      </c>
      <c r="C198" t="s">
        <v>135</v>
      </c>
      <c r="D198" s="5">
        <v>44439</v>
      </c>
      <c r="E198" s="5">
        <f ca="1">INDIRECT("'Sheet1'!P25")</f>
        <v>0</v>
      </c>
      <c r="F198" t="b">
        <f t="shared" ca="1" si="8"/>
        <v>0</v>
      </c>
    </row>
    <row r="199" spans="1:6" x14ac:dyDescent="0.25">
      <c r="A199" t="s">
        <v>423</v>
      </c>
      <c r="B199" t="s">
        <v>421</v>
      </c>
      <c r="C199" t="s">
        <v>136</v>
      </c>
      <c r="D199">
        <v>43</v>
      </c>
      <c r="E199">
        <f ca="1">INDIRECT("'Sheet1'!Q25")</f>
        <v>0</v>
      </c>
      <c r="F199" t="b">
        <f t="shared" ca="1" si="8"/>
        <v>0</v>
      </c>
    </row>
    <row r="200" spans="1:6" x14ac:dyDescent="0.25">
      <c r="A200" t="s">
        <v>424</v>
      </c>
      <c r="B200" t="s">
        <v>422</v>
      </c>
      <c r="C200" t="s">
        <v>137</v>
      </c>
      <c r="D200" s="5">
        <v>43984</v>
      </c>
      <c r="E200" s="5">
        <f ca="1">INDIRECT("'Sheet1'!R25")</f>
        <v>0</v>
      </c>
      <c r="F200" t="b">
        <f t="shared" ca="1" si="8"/>
        <v>0</v>
      </c>
    </row>
    <row r="202" spans="1:6" x14ac:dyDescent="0.25">
      <c r="A202" t="s">
        <v>425</v>
      </c>
      <c r="B202" t="s">
        <v>452</v>
      </c>
      <c r="C202" t="s">
        <v>128</v>
      </c>
      <c r="E202">
        <f ca="1">INDIRECT("'Sheet1'!I26")</f>
        <v>0</v>
      </c>
      <c r="F202" t="b">
        <f t="shared" ref="F202:F211" ca="1" si="9">E202=D202</f>
        <v>1</v>
      </c>
    </row>
    <row r="203" spans="1:6" x14ac:dyDescent="0.25">
      <c r="A203" t="s">
        <v>443</v>
      </c>
      <c r="B203" t="s">
        <v>454</v>
      </c>
      <c r="C203" t="s">
        <v>129</v>
      </c>
      <c r="D203" s="5"/>
      <c r="E203">
        <f ca="1">INDIRECT("'Sheet1'!J26")</f>
        <v>0</v>
      </c>
      <c r="F203" t="b">
        <f t="shared" ca="1" si="9"/>
        <v>1</v>
      </c>
    </row>
    <row r="204" spans="1:6" x14ac:dyDescent="0.25">
      <c r="A204" t="s">
        <v>444</v>
      </c>
      <c r="B204" t="s">
        <v>455</v>
      </c>
      <c r="C204" t="s">
        <v>130</v>
      </c>
      <c r="E204">
        <f ca="1">INDIRECT("'Sheet1'!K26")</f>
        <v>0</v>
      </c>
      <c r="F204" t="b">
        <f t="shared" ca="1" si="9"/>
        <v>1</v>
      </c>
    </row>
    <row r="205" spans="1:6" x14ac:dyDescent="0.25">
      <c r="A205" t="s">
        <v>445</v>
      </c>
      <c r="B205" t="s">
        <v>456</v>
      </c>
      <c r="C205" t="s">
        <v>131</v>
      </c>
      <c r="D205" s="5"/>
      <c r="E205">
        <f ca="1">INDIRECT("'Sheet1'!L26")</f>
        <v>0</v>
      </c>
      <c r="F205" t="b">
        <f t="shared" ca="1" si="9"/>
        <v>1</v>
      </c>
    </row>
    <row r="206" spans="1:6" x14ac:dyDescent="0.25">
      <c r="A206" t="s">
        <v>446</v>
      </c>
      <c r="B206" t="s">
        <v>457</v>
      </c>
      <c r="C206" t="s">
        <v>132</v>
      </c>
      <c r="E206">
        <f ca="1">INDIRECT("'Sheet1'!M26")</f>
        <v>0</v>
      </c>
      <c r="F206" t="b">
        <f t="shared" ca="1" si="9"/>
        <v>1</v>
      </c>
    </row>
    <row r="207" spans="1:6" x14ac:dyDescent="0.25">
      <c r="A207" t="s">
        <v>447</v>
      </c>
      <c r="B207" t="s">
        <v>458</v>
      </c>
      <c r="C207" t="s">
        <v>133</v>
      </c>
      <c r="D207" s="5"/>
      <c r="E207">
        <f ca="1">INDIRECT("'Sheet1'!N26")</f>
        <v>0</v>
      </c>
      <c r="F207" t="b">
        <f t="shared" ca="1" si="9"/>
        <v>1</v>
      </c>
    </row>
    <row r="208" spans="1:6" x14ac:dyDescent="0.25">
      <c r="A208" t="s">
        <v>448</v>
      </c>
      <c r="B208" t="s">
        <v>459</v>
      </c>
      <c r="C208" t="s">
        <v>134</v>
      </c>
      <c r="E208">
        <f ca="1">INDIRECT("'Sheet1'!O26")</f>
        <v>0</v>
      </c>
      <c r="F208" t="b">
        <f t="shared" ca="1" si="9"/>
        <v>1</v>
      </c>
    </row>
    <row r="209" spans="1:6" x14ac:dyDescent="0.25">
      <c r="A209" t="s">
        <v>449</v>
      </c>
      <c r="B209" t="s">
        <v>460</v>
      </c>
      <c r="C209" t="s">
        <v>135</v>
      </c>
      <c r="D209" s="5"/>
      <c r="E209">
        <f ca="1">INDIRECT("'Sheet1'!P26")</f>
        <v>0</v>
      </c>
      <c r="F209" t="b">
        <f t="shared" ca="1" si="9"/>
        <v>1</v>
      </c>
    </row>
    <row r="210" spans="1:6" x14ac:dyDescent="0.25">
      <c r="A210" t="s">
        <v>450</v>
      </c>
      <c r="B210" t="s">
        <v>461</v>
      </c>
      <c r="C210" t="s">
        <v>136</v>
      </c>
      <c r="E210">
        <f ca="1">INDIRECT("'Sheet1'!Q26")</f>
        <v>0</v>
      </c>
      <c r="F210" t="b">
        <f t="shared" ca="1" si="9"/>
        <v>1</v>
      </c>
    </row>
    <row r="211" spans="1:6" x14ac:dyDescent="0.25">
      <c r="A211" t="s">
        <v>451</v>
      </c>
      <c r="B211" t="s">
        <v>453</v>
      </c>
      <c r="C211" t="s">
        <v>137</v>
      </c>
      <c r="D211" s="5"/>
      <c r="E211">
        <f ca="1">INDIRECT("'Sheet1'!R26")</f>
        <v>0</v>
      </c>
      <c r="F211" t="b">
        <f t="shared" ca="1" si="9"/>
        <v>1</v>
      </c>
    </row>
    <row r="213" spans="1:6" x14ac:dyDescent="0.25">
      <c r="A213" t="s">
        <v>462</v>
      </c>
      <c r="B213" t="s">
        <v>472</v>
      </c>
      <c r="C213" t="s">
        <v>128</v>
      </c>
      <c r="E213">
        <f ca="1">INDIRECT("'Sheet1'!I37")</f>
        <v>0</v>
      </c>
      <c r="F213" t="b">
        <f t="shared" ref="F213:F226" ca="1" si="10">E213=D213</f>
        <v>1</v>
      </c>
    </row>
    <row r="214" spans="1:6" x14ac:dyDescent="0.25">
      <c r="A214" t="s">
        <v>463</v>
      </c>
      <c r="B214" t="s">
        <v>473</v>
      </c>
      <c r="C214" t="s">
        <v>129</v>
      </c>
      <c r="D214" s="5"/>
      <c r="E214">
        <f ca="1">INDIRECT("'Sheet1'!J37")</f>
        <v>0</v>
      </c>
      <c r="F214" t="b">
        <f t="shared" ca="1" si="10"/>
        <v>1</v>
      </c>
    </row>
    <row r="215" spans="1:6" x14ac:dyDescent="0.25">
      <c r="A215" t="s">
        <v>464</v>
      </c>
      <c r="B215" t="s">
        <v>474</v>
      </c>
      <c r="C215" t="s">
        <v>130</v>
      </c>
      <c r="E215">
        <f ca="1">INDIRECT("'Sheet1'!K37")</f>
        <v>0</v>
      </c>
      <c r="F215" t="b">
        <f t="shared" ca="1" si="10"/>
        <v>1</v>
      </c>
    </row>
    <row r="216" spans="1:6" x14ac:dyDescent="0.25">
      <c r="A216" t="s">
        <v>465</v>
      </c>
      <c r="B216" t="s">
        <v>475</v>
      </c>
      <c r="C216" t="s">
        <v>131</v>
      </c>
      <c r="D216" s="5"/>
      <c r="E216">
        <f ca="1">INDIRECT("'Sheet1'!L37")</f>
        <v>0</v>
      </c>
      <c r="F216" t="b">
        <f t="shared" ca="1" si="10"/>
        <v>1</v>
      </c>
    </row>
    <row r="217" spans="1:6" x14ac:dyDescent="0.25">
      <c r="A217" t="s">
        <v>466</v>
      </c>
      <c r="B217" t="s">
        <v>476</v>
      </c>
      <c r="C217" t="s">
        <v>132</v>
      </c>
      <c r="E217">
        <f ca="1">INDIRECT("'Sheet1'!M37")</f>
        <v>0</v>
      </c>
      <c r="F217" t="b">
        <f t="shared" ca="1" si="10"/>
        <v>1</v>
      </c>
    </row>
    <row r="218" spans="1:6" x14ac:dyDescent="0.25">
      <c r="A218" t="s">
        <v>467</v>
      </c>
      <c r="B218" t="s">
        <v>477</v>
      </c>
      <c r="C218" t="s">
        <v>133</v>
      </c>
      <c r="D218" s="5"/>
      <c r="E218">
        <f ca="1">INDIRECT("'Sheet1'!N37")</f>
        <v>0</v>
      </c>
      <c r="F218" t="b">
        <f t="shared" ca="1" si="10"/>
        <v>1</v>
      </c>
    </row>
    <row r="219" spans="1:6" x14ac:dyDescent="0.25">
      <c r="A219" t="s">
        <v>468</v>
      </c>
      <c r="B219" t="s">
        <v>478</v>
      </c>
      <c r="C219" t="s">
        <v>134</v>
      </c>
      <c r="E219">
        <f ca="1">INDIRECT("'Sheet1'!O37")</f>
        <v>0</v>
      </c>
      <c r="F219" t="b">
        <f t="shared" ca="1" si="10"/>
        <v>1</v>
      </c>
    </row>
    <row r="220" spans="1:6" x14ac:dyDescent="0.25">
      <c r="A220" t="s">
        <v>469</v>
      </c>
      <c r="B220" t="s">
        <v>479</v>
      </c>
      <c r="C220" t="s">
        <v>135</v>
      </c>
      <c r="D220" s="5"/>
      <c r="E220">
        <f ca="1">INDIRECT("'Sheet1'!P37")</f>
        <v>0</v>
      </c>
      <c r="F220" t="b">
        <f t="shared" ca="1" si="10"/>
        <v>1</v>
      </c>
    </row>
    <row r="221" spans="1:6" x14ac:dyDescent="0.25">
      <c r="A221" t="s">
        <v>470</v>
      </c>
      <c r="B221" t="s">
        <v>480</v>
      </c>
      <c r="C221" t="s">
        <v>136</v>
      </c>
      <c r="E221">
        <f ca="1">INDIRECT("'Sheet1'!Q37")</f>
        <v>0</v>
      </c>
      <c r="F221" t="b">
        <f t="shared" ca="1" si="10"/>
        <v>1</v>
      </c>
    </row>
    <row r="222" spans="1:6" x14ac:dyDescent="0.25">
      <c r="A222" t="s">
        <v>471</v>
      </c>
      <c r="B222" t="s">
        <v>481</v>
      </c>
      <c r="C222" t="s">
        <v>137</v>
      </c>
      <c r="D222" s="5"/>
      <c r="E222">
        <f ca="1">INDIRECT("'Sheet1'!R37")</f>
        <v>0</v>
      </c>
      <c r="F222" t="b">
        <f t="shared" ca="1" si="10"/>
        <v>1</v>
      </c>
    </row>
    <row r="224" spans="1:6" x14ac:dyDescent="0.25">
      <c r="A224" t="s">
        <v>482</v>
      </c>
      <c r="B224" t="s">
        <v>497</v>
      </c>
      <c r="C224" t="s">
        <v>138</v>
      </c>
      <c r="D224">
        <v>100.5</v>
      </c>
      <c r="E224">
        <f ca="1">INDIRECT("'Sheet1'!S28")</f>
        <v>0</v>
      </c>
      <c r="F224" t="b">
        <f t="shared" ca="1" si="10"/>
        <v>0</v>
      </c>
    </row>
    <row r="225" spans="1:6" x14ac:dyDescent="0.25">
      <c r="A225" t="s">
        <v>483</v>
      </c>
      <c r="B225" t="s">
        <v>704</v>
      </c>
      <c r="C225" t="s">
        <v>139</v>
      </c>
      <c r="D225" t="s">
        <v>294</v>
      </c>
      <c r="E225">
        <f ca="1">INDIRECT("'Sheet1'!T28")</f>
        <v>0</v>
      </c>
      <c r="F225" t="b">
        <f t="shared" ca="1" si="10"/>
        <v>0</v>
      </c>
    </row>
    <row r="226" spans="1:6" x14ac:dyDescent="0.25">
      <c r="A226" t="s">
        <v>484</v>
      </c>
      <c r="B226" t="s">
        <v>498</v>
      </c>
      <c r="C226" t="s">
        <v>140</v>
      </c>
      <c r="D226" s="5">
        <v>44531</v>
      </c>
      <c r="E226" s="5">
        <f ca="1">INDIRECT("'Sheet1'!U28")</f>
        <v>0</v>
      </c>
      <c r="F226" t="b">
        <f t="shared" ca="1" si="10"/>
        <v>0</v>
      </c>
    </row>
    <row r="228" spans="1:6" x14ac:dyDescent="0.25">
      <c r="A228" t="s">
        <v>486</v>
      </c>
      <c r="B228" t="s">
        <v>499</v>
      </c>
      <c r="C228" t="s">
        <v>138</v>
      </c>
      <c r="D228">
        <v>200</v>
      </c>
      <c r="E228">
        <f ca="1">INDIRECT("'Sheet1'!S29")</f>
        <v>0</v>
      </c>
      <c r="F228" t="b">
        <f t="shared" ref="F228:F230" ca="1" si="11">E228=D228</f>
        <v>0</v>
      </c>
    </row>
    <row r="229" spans="1:6" x14ac:dyDescent="0.25">
      <c r="A229" t="s">
        <v>487</v>
      </c>
      <c r="B229" t="s">
        <v>500</v>
      </c>
      <c r="C229" t="s">
        <v>139</v>
      </c>
      <c r="D229" t="s">
        <v>508</v>
      </c>
      <c r="E229">
        <f ca="1">INDIRECT("'Sheet1'!T29")</f>
        <v>0</v>
      </c>
      <c r="F229" t="b">
        <f t="shared" ca="1" si="11"/>
        <v>0</v>
      </c>
    </row>
    <row r="230" spans="1:6" x14ac:dyDescent="0.25">
      <c r="A230" t="s">
        <v>488</v>
      </c>
      <c r="B230" t="s">
        <v>501</v>
      </c>
      <c r="C230" t="s">
        <v>140</v>
      </c>
      <c r="D230" s="5">
        <v>44531</v>
      </c>
      <c r="E230" s="5">
        <f ca="1">INDIRECT("'Sheet1'!U29")</f>
        <v>0</v>
      </c>
      <c r="F230" t="b">
        <f t="shared" ca="1" si="11"/>
        <v>0</v>
      </c>
    </row>
    <row r="232" spans="1:6" x14ac:dyDescent="0.25">
      <c r="A232" t="s">
        <v>489</v>
      </c>
      <c r="B232" t="s">
        <v>502</v>
      </c>
      <c r="C232" t="s">
        <v>141</v>
      </c>
      <c r="D232">
        <v>100.5</v>
      </c>
      <c r="E232">
        <f ca="1">INDIRECT("'Sheet1'!V30")</f>
        <v>0</v>
      </c>
      <c r="F232" t="b">
        <f t="shared" ref="F232:F234" ca="1" si="12">E232=D232</f>
        <v>0</v>
      </c>
    </row>
    <row r="233" spans="1:6" x14ac:dyDescent="0.25">
      <c r="A233" t="s">
        <v>490</v>
      </c>
      <c r="B233" t="s">
        <v>700</v>
      </c>
      <c r="C233" t="s">
        <v>142</v>
      </c>
      <c r="E233">
        <f ca="1">INDIRECT("'Sheet1'!W30")</f>
        <v>0</v>
      </c>
      <c r="F233" t="b">
        <f t="shared" ca="1" si="12"/>
        <v>1</v>
      </c>
    </row>
    <row r="234" spans="1:6" x14ac:dyDescent="0.25">
      <c r="A234" t="s">
        <v>491</v>
      </c>
      <c r="B234" t="s">
        <v>503</v>
      </c>
      <c r="C234" t="s">
        <v>143</v>
      </c>
      <c r="D234" s="5">
        <v>44530</v>
      </c>
      <c r="E234" s="5">
        <f ca="1">INDIRECT("'Sheet1'!X30")</f>
        <v>0</v>
      </c>
      <c r="F234" t="b">
        <f t="shared" ca="1" si="12"/>
        <v>0</v>
      </c>
    </row>
    <row r="236" spans="1:6" x14ac:dyDescent="0.25">
      <c r="A236" t="s">
        <v>492</v>
      </c>
      <c r="B236" t="s">
        <v>1144</v>
      </c>
      <c r="C236" t="s">
        <v>141</v>
      </c>
      <c r="D236" t="s">
        <v>1637</v>
      </c>
      <c r="E236">
        <f ca="1">INDIRECT("'Sheet1'!V31")</f>
        <v>0</v>
      </c>
      <c r="F236" t="b">
        <f t="shared" ref="F236:F273" ca="1" si="13">E236=D236</f>
        <v>0</v>
      </c>
    </row>
    <row r="237" spans="1:6" x14ac:dyDescent="0.25">
      <c r="A237" t="s">
        <v>493</v>
      </c>
      <c r="B237" t="s">
        <v>701</v>
      </c>
      <c r="C237" t="s">
        <v>142</v>
      </c>
      <c r="D237" t="s">
        <v>294</v>
      </c>
      <c r="E237">
        <f ca="1">INDIRECT("'Sheet1'!W31")</f>
        <v>0</v>
      </c>
      <c r="F237" t="b">
        <f t="shared" ca="1" si="13"/>
        <v>0</v>
      </c>
    </row>
    <row r="238" spans="1:6" x14ac:dyDescent="0.25">
      <c r="A238" t="s">
        <v>494</v>
      </c>
      <c r="B238" t="s">
        <v>1143</v>
      </c>
      <c r="C238" t="s">
        <v>143</v>
      </c>
      <c r="D238" s="5">
        <v>44530</v>
      </c>
      <c r="E238" s="5">
        <f ca="1">INDIRECT("'Sheet1'!X31")</f>
        <v>0</v>
      </c>
      <c r="F238" t="b">
        <f t="shared" ca="1" si="13"/>
        <v>0</v>
      </c>
    </row>
    <row r="240" spans="1:6" x14ac:dyDescent="0.25">
      <c r="A240" t="s">
        <v>495</v>
      </c>
      <c r="B240" t="s">
        <v>504</v>
      </c>
      <c r="C240" t="s">
        <v>144</v>
      </c>
      <c r="D240">
        <v>100.5</v>
      </c>
      <c r="E240">
        <f ca="1">INDIRECT("'Sheet1'!Y32")</f>
        <v>0</v>
      </c>
      <c r="F240" t="b">
        <f t="shared" ca="1" si="13"/>
        <v>0</v>
      </c>
    </row>
    <row r="241" spans="1:6" x14ac:dyDescent="0.25">
      <c r="A241" t="s">
        <v>496</v>
      </c>
      <c r="B241" t="s">
        <v>505</v>
      </c>
      <c r="C241" t="s">
        <v>146</v>
      </c>
      <c r="D241" s="5">
        <v>44256</v>
      </c>
      <c r="E241" s="5">
        <f ca="1">INDIRECT("'Sheet1'!AA32")</f>
        <v>0</v>
      </c>
      <c r="F241" t="b">
        <f t="shared" ca="1" si="13"/>
        <v>0</v>
      </c>
    </row>
    <row r="243" spans="1:6" x14ac:dyDescent="0.25">
      <c r="A243" t="s">
        <v>509</v>
      </c>
      <c r="B243" s="6" t="s">
        <v>506</v>
      </c>
      <c r="C243" t="s">
        <v>147</v>
      </c>
      <c r="D243">
        <v>100</v>
      </c>
      <c r="E243">
        <f ca="1">INDIRECT("'Sheet1'!AB33")</f>
        <v>0</v>
      </c>
      <c r="F243" t="b">
        <f t="shared" ca="1" si="13"/>
        <v>0</v>
      </c>
    </row>
    <row r="244" spans="1:6" x14ac:dyDescent="0.25">
      <c r="A244" t="s">
        <v>510</v>
      </c>
      <c r="B244" s="6" t="s">
        <v>507</v>
      </c>
      <c r="C244" t="s">
        <v>149</v>
      </c>
      <c r="D244" s="5">
        <v>44166</v>
      </c>
      <c r="E244" s="5">
        <f ca="1">INDIRECT("'Sheet1'!AD33")</f>
        <v>0</v>
      </c>
      <c r="F244" t="b">
        <f t="shared" ca="1" si="13"/>
        <v>0</v>
      </c>
    </row>
    <row r="246" spans="1:6" x14ac:dyDescent="0.25">
      <c r="A246" t="s">
        <v>513</v>
      </c>
      <c r="B246" t="s">
        <v>512</v>
      </c>
      <c r="C246" t="s">
        <v>150</v>
      </c>
      <c r="D246">
        <v>100</v>
      </c>
      <c r="E246">
        <f ca="1">INDIRECT("'Sheet1'!AE34")</f>
        <v>0</v>
      </c>
      <c r="F246" t="b">
        <f t="shared" ca="1" si="13"/>
        <v>0</v>
      </c>
    </row>
    <row r="247" spans="1:6" x14ac:dyDescent="0.25">
      <c r="A247" t="s">
        <v>514</v>
      </c>
      <c r="B247" t="s">
        <v>511</v>
      </c>
      <c r="C247" t="s">
        <v>152</v>
      </c>
      <c r="D247" s="5">
        <v>44075</v>
      </c>
      <c r="E247" s="5">
        <f ca="1">INDIRECT("'Sheet1'!AG34")</f>
        <v>0</v>
      </c>
      <c r="F247" t="b">
        <f t="shared" ca="1" si="13"/>
        <v>0</v>
      </c>
    </row>
    <row r="249" spans="1:6" x14ac:dyDescent="0.25">
      <c r="A249" t="s">
        <v>515</v>
      </c>
      <c r="B249" s="6" t="s">
        <v>517</v>
      </c>
      <c r="C249" t="s">
        <v>153</v>
      </c>
      <c r="D249">
        <v>100</v>
      </c>
      <c r="E249">
        <f ca="1">INDIRECT("'Sheet1'!AH35")</f>
        <v>0</v>
      </c>
      <c r="F249" t="b">
        <f t="shared" ca="1" si="13"/>
        <v>0</v>
      </c>
    </row>
    <row r="250" spans="1:6" x14ac:dyDescent="0.25">
      <c r="A250" t="s">
        <v>516</v>
      </c>
      <c r="B250" s="6" t="s">
        <v>518</v>
      </c>
      <c r="C250" t="s">
        <v>155</v>
      </c>
      <c r="D250" s="5">
        <v>44258</v>
      </c>
      <c r="E250" s="5">
        <f ca="1">INDIRECT("'Sheet1'!AJ35")</f>
        <v>0</v>
      </c>
      <c r="F250" t="b">
        <f t="shared" ca="1" si="13"/>
        <v>0</v>
      </c>
    </row>
    <row r="252" spans="1:6" x14ac:dyDescent="0.25">
      <c r="A252" t="s">
        <v>519</v>
      </c>
      <c r="B252" t="s">
        <v>521</v>
      </c>
      <c r="C252" t="s">
        <v>156</v>
      </c>
      <c r="D252">
        <v>100</v>
      </c>
      <c r="E252">
        <f ca="1">INDIRECT("'Sheet1'!AK36")</f>
        <v>0</v>
      </c>
      <c r="F252" t="b">
        <f t="shared" ca="1" si="13"/>
        <v>0</v>
      </c>
    </row>
    <row r="253" spans="1:6" x14ac:dyDescent="0.25">
      <c r="A253" t="s">
        <v>520</v>
      </c>
      <c r="B253" t="s">
        <v>522</v>
      </c>
      <c r="C253" t="s">
        <v>158</v>
      </c>
      <c r="D253" s="5">
        <v>43984</v>
      </c>
      <c r="E253" s="5">
        <f ca="1">INDIRECT("'Sheet1'!AM36")</f>
        <v>0</v>
      </c>
      <c r="F253" t="b">
        <f t="shared" ca="1" si="13"/>
        <v>0</v>
      </c>
    </row>
    <row r="255" spans="1:6" x14ac:dyDescent="0.25">
      <c r="A255" t="s">
        <v>525</v>
      </c>
      <c r="B255" t="s">
        <v>523</v>
      </c>
      <c r="C255" t="s">
        <v>144</v>
      </c>
      <c r="D255">
        <v>100</v>
      </c>
      <c r="E255">
        <f ca="1">INDIRECT("'Sheet1'!Y37")</f>
        <v>0</v>
      </c>
      <c r="F255" t="b">
        <f t="shared" ca="1" si="13"/>
        <v>0</v>
      </c>
    </row>
    <row r="256" spans="1:6" x14ac:dyDescent="0.25">
      <c r="A256" t="s">
        <v>526</v>
      </c>
      <c r="B256" t="s">
        <v>524</v>
      </c>
      <c r="C256" t="s">
        <v>146</v>
      </c>
      <c r="D256" s="5">
        <v>44167</v>
      </c>
      <c r="E256" s="5">
        <f ca="1">INDIRECT("'Sheet1'!AA37")</f>
        <v>0</v>
      </c>
      <c r="F256" t="b">
        <f t="shared" ca="1" si="13"/>
        <v>0</v>
      </c>
    </row>
    <row r="258" spans="1:6" x14ac:dyDescent="0.25">
      <c r="A258" t="s">
        <v>527</v>
      </c>
      <c r="B258" t="s">
        <v>535</v>
      </c>
      <c r="C258" t="s">
        <v>147</v>
      </c>
      <c r="D258">
        <v>100</v>
      </c>
      <c r="E258">
        <f ca="1">INDIRECT("'Sheet1'!AB38")</f>
        <v>0</v>
      </c>
      <c r="F258" t="b">
        <f t="shared" ca="1" si="13"/>
        <v>0</v>
      </c>
    </row>
    <row r="259" spans="1:6" x14ac:dyDescent="0.25">
      <c r="A259" t="s">
        <v>528</v>
      </c>
      <c r="B259" t="s">
        <v>536</v>
      </c>
      <c r="C259" t="s">
        <v>149</v>
      </c>
      <c r="D259" s="5">
        <v>44166</v>
      </c>
      <c r="E259" s="5">
        <f ca="1">INDIRECT("'Sheet1'!AD38")</f>
        <v>0</v>
      </c>
      <c r="F259" t="b">
        <f t="shared" ca="1" si="13"/>
        <v>0</v>
      </c>
    </row>
    <row r="261" spans="1:6" x14ac:dyDescent="0.25">
      <c r="A261" t="s">
        <v>529</v>
      </c>
      <c r="B261" t="s">
        <v>537</v>
      </c>
      <c r="C261" t="s">
        <v>150</v>
      </c>
      <c r="D261">
        <v>100</v>
      </c>
      <c r="E261">
        <f ca="1">INDIRECT("'Sheet1'!AE39")</f>
        <v>0</v>
      </c>
      <c r="F261" t="b">
        <f t="shared" ca="1" si="13"/>
        <v>0</v>
      </c>
    </row>
    <row r="262" spans="1:6" x14ac:dyDescent="0.25">
      <c r="A262" t="s">
        <v>530</v>
      </c>
      <c r="B262" t="s">
        <v>538</v>
      </c>
      <c r="C262" t="s">
        <v>152</v>
      </c>
      <c r="D262" s="5">
        <v>44075</v>
      </c>
      <c r="E262" s="5">
        <f ca="1">INDIRECT("'Sheet1'!AG39")</f>
        <v>0</v>
      </c>
      <c r="F262" t="b">
        <f t="shared" ca="1" si="13"/>
        <v>0</v>
      </c>
    </row>
    <row r="264" spans="1:6" x14ac:dyDescent="0.25">
      <c r="A264" t="s">
        <v>531</v>
      </c>
      <c r="B264" t="s">
        <v>540</v>
      </c>
      <c r="C264" t="s">
        <v>153</v>
      </c>
      <c r="D264">
        <v>100</v>
      </c>
      <c r="E264">
        <f ca="1">INDIRECT("'Sheet1'!AH40")</f>
        <v>0</v>
      </c>
      <c r="F264" t="b">
        <f t="shared" ca="1" si="13"/>
        <v>0</v>
      </c>
    </row>
    <row r="265" spans="1:6" x14ac:dyDescent="0.25">
      <c r="A265" t="s">
        <v>532</v>
      </c>
      <c r="B265" t="s">
        <v>539</v>
      </c>
      <c r="C265" t="s">
        <v>155</v>
      </c>
      <c r="D265" s="5">
        <v>44258</v>
      </c>
      <c r="E265" s="5">
        <f ca="1">INDIRECT("'Sheet1'!AJ40")</f>
        <v>0</v>
      </c>
      <c r="F265" t="b">
        <f t="shared" ca="1" si="13"/>
        <v>0</v>
      </c>
    </row>
    <row r="267" spans="1:6" x14ac:dyDescent="0.25">
      <c r="A267" t="s">
        <v>533</v>
      </c>
      <c r="B267" t="s">
        <v>541</v>
      </c>
      <c r="C267" t="s">
        <v>156</v>
      </c>
      <c r="D267">
        <v>100</v>
      </c>
      <c r="E267">
        <f ca="1">INDIRECT("'Sheet1'!AK41")</f>
        <v>0</v>
      </c>
      <c r="F267" t="b">
        <f t="shared" ca="1" si="13"/>
        <v>0</v>
      </c>
    </row>
    <row r="268" spans="1:6" x14ac:dyDescent="0.25">
      <c r="A268" t="s">
        <v>534</v>
      </c>
      <c r="B268" t="s">
        <v>542</v>
      </c>
      <c r="C268" t="s">
        <v>158</v>
      </c>
      <c r="D268" s="5">
        <v>43984</v>
      </c>
      <c r="E268" s="5">
        <f ca="1">INDIRECT("'Sheet1'!AM41")</f>
        <v>0</v>
      </c>
      <c r="F268" t="b">
        <f t="shared" ca="1" si="13"/>
        <v>0</v>
      </c>
    </row>
    <row r="270" spans="1:6" x14ac:dyDescent="0.25">
      <c r="A270" t="s">
        <v>543</v>
      </c>
      <c r="B270" t="s">
        <v>567</v>
      </c>
      <c r="C270" t="s">
        <v>144</v>
      </c>
      <c r="D270">
        <v>100</v>
      </c>
      <c r="E270">
        <f ca="1">INDIRECT("'Sheet1'!Y42")</f>
        <v>0</v>
      </c>
      <c r="F270" t="b">
        <f t="shared" ca="1" si="13"/>
        <v>0</v>
      </c>
    </row>
    <row r="271" spans="1:6" x14ac:dyDescent="0.25">
      <c r="A271" t="s">
        <v>544</v>
      </c>
      <c r="B271" t="s">
        <v>568</v>
      </c>
      <c r="C271" t="s">
        <v>146</v>
      </c>
      <c r="D271" s="5">
        <v>44167</v>
      </c>
      <c r="E271" s="5">
        <f ca="1">INDIRECT("'Sheet1'!AA42")</f>
        <v>0</v>
      </c>
      <c r="F271" t="b">
        <f t="shared" ca="1" si="13"/>
        <v>0</v>
      </c>
    </row>
    <row r="272" spans="1:6" x14ac:dyDescent="0.25">
      <c r="A272" t="s">
        <v>545</v>
      </c>
      <c r="B272" t="s">
        <v>569</v>
      </c>
      <c r="C272" t="s">
        <v>147</v>
      </c>
      <c r="D272">
        <v>101</v>
      </c>
      <c r="E272">
        <f ca="1">INDIRECT("'Sheet1'!AB42")</f>
        <v>0</v>
      </c>
      <c r="F272" t="b">
        <f t="shared" ca="1" si="13"/>
        <v>0</v>
      </c>
    </row>
    <row r="273" spans="1:6" x14ac:dyDescent="0.25">
      <c r="A273" t="s">
        <v>546</v>
      </c>
      <c r="B273" t="s">
        <v>570</v>
      </c>
      <c r="C273" t="s">
        <v>149</v>
      </c>
      <c r="D273" s="5">
        <v>44166</v>
      </c>
      <c r="E273" s="5">
        <f ca="1">INDIRECT("'Sheet1'!AD42")</f>
        <v>0</v>
      </c>
      <c r="F273" t="b">
        <f t="shared" ca="1" si="13"/>
        <v>0</v>
      </c>
    </row>
    <row r="275" spans="1:6" x14ac:dyDescent="0.25">
      <c r="A275" t="s">
        <v>547</v>
      </c>
      <c r="B275" t="s">
        <v>571</v>
      </c>
      <c r="C275" t="s">
        <v>144</v>
      </c>
      <c r="D275">
        <v>100</v>
      </c>
      <c r="E275">
        <f ca="1">INDIRECT("'Sheet1'!Y43")</f>
        <v>0</v>
      </c>
      <c r="F275" t="b">
        <f t="shared" ref="F275:F278" ca="1" si="14">E275=D275</f>
        <v>0</v>
      </c>
    </row>
    <row r="276" spans="1:6" x14ac:dyDescent="0.25">
      <c r="A276" t="s">
        <v>548</v>
      </c>
      <c r="B276" t="s">
        <v>572</v>
      </c>
      <c r="C276" t="s">
        <v>146</v>
      </c>
      <c r="D276" s="5">
        <v>44257</v>
      </c>
      <c r="E276" s="5">
        <f ca="1">INDIRECT("'Sheet1'!AA43")</f>
        <v>0</v>
      </c>
      <c r="F276" t="b">
        <f t="shared" ca="1" si="14"/>
        <v>0</v>
      </c>
    </row>
    <row r="277" spans="1:6" x14ac:dyDescent="0.25">
      <c r="A277" t="s">
        <v>549</v>
      </c>
      <c r="B277" t="s">
        <v>573</v>
      </c>
      <c r="C277" t="s">
        <v>153</v>
      </c>
      <c r="D277">
        <v>101</v>
      </c>
      <c r="E277">
        <f ca="1">INDIRECT("'Sheet1'!AH43")</f>
        <v>0</v>
      </c>
      <c r="F277" t="b">
        <f t="shared" ca="1" si="14"/>
        <v>0</v>
      </c>
    </row>
    <row r="278" spans="1:6" x14ac:dyDescent="0.25">
      <c r="A278" t="s">
        <v>550</v>
      </c>
      <c r="B278" t="s">
        <v>574</v>
      </c>
      <c r="C278" t="s">
        <v>155</v>
      </c>
      <c r="D278" s="5">
        <v>44258</v>
      </c>
      <c r="E278" s="5">
        <f ca="1">INDIRECT("'Sheet1'!AJ43")</f>
        <v>0</v>
      </c>
      <c r="F278" t="b">
        <f t="shared" ca="1" si="14"/>
        <v>0</v>
      </c>
    </row>
    <row r="280" spans="1:6" x14ac:dyDescent="0.25">
      <c r="A280" t="s">
        <v>551</v>
      </c>
      <c r="B280" t="s">
        <v>575</v>
      </c>
      <c r="C280" t="s">
        <v>147</v>
      </c>
      <c r="D280">
        <v>100</v>
      </c>
      <c r="E280">
        <f ca="1">INDIRECT("'Sheet1'!AB44")</f>
        <v>0</v>
      </c>
      <c r="F280" t="b">
        <f t="shared" ref="F280:F283" ca="1" si="15">E280=D280</f>
        <v>0</v>
      </c>
    </row>
    <row r="281" spans="1:6" x14ac:dyDescent="0.25">
      <c r="A281" t="s">
        <v>552</v>
      </c>
      <c r="B281" t="s">
        <v>576</v>
      </c>
      <c r="C281" t="s">
        <v>149</v>
      </c>
      <c r="D281" s="5">
        <v>44076</v>
      </c>
      <c r="E281" s="5">
        <f ca="1">INDIRECT("'Sheet1'!AD44")</f>
        <v>0</v>
      </c>
      <c r="F281" t="b">
        <f t="shared" ca="1" si="15"/>
        <v>0</v>
      </c>
    </row>
    <row r="282" spans="1:6" x14ac:dyDescent="0.25">
      <c r="A282" t="s">
        <v>553</v>
      </c>
      <c r="B282" t="s">
        <v>577</v>
      </c>
      <c r="C282" t="s">
        <v>150</v>
      </c>
      <c r="D282">
        <v>101</v>
      </c>
      <c r="E282">
        <f ca="1">INDIRECT("'Sheet1'!AE44")</f>
        <v>0</v>
      </c>
      <c r="F282" t="b">
        <f t="shared" ca="1" si="15"/>
        <v>0</v>
      </c>
    </row>
    <row r="283" spans="1:6" x14ac:dyDescent="0.25">
      <c r="A283" t="s">
        <v>554</v>
      </c>
      <c r="B283" t="s">
        <v>578</v>
      </c>
      <c r="C283" t="s">
        <v>152</v>
      </c>
      <c r="D283" s="5">
        <v>44075</v>
      </c>
      <c r="E283" s="5">
        <f ca="1">INDIRECT("'Sheet1'!AG44")</f>
        <v>0</v>
      </c>
      <c r="F283" t="b">
        <f t="shared" ca="1" si="15"/>
        <v>0</v>
      </c>
    </row>
    <row r="285" spans="1:6" x14ac:dyDescent="0.25">
      <c r="A285" t="s">
        <v>555</v>
      </c>
      <c r="B285" t="s">
        <v>579</v>
      </c>
      <c r="C285" t="s">
        <v>150</v>
      </c>
      <c r="D285">
        <v>100</v>
      </c>
      <c r="E285">
        <f ca="1">INDIRECT("'Sheet1'!AE45")</f>
        <v>0</v>
      </c>
      <c r="F285" t="b">
        <f t="shared" ref="F285:F288" ca="1" si="16">E285=D285</f>
        <v>0</v>
      </c>
    </row>
    <row r="286" spans="1:6" x14ac:dyDescent="0.25">
      <c r="A286" t="s">
        <v>556</v>
      </c>
      <c r="B286" t="s">
        <v>580</v>
      </c>
      <c r="C286" t="s">
        <v>152</v>
      </c>
      <c r="D286" s="5">
        <v>43985</v>
      </c>
      <c r="E286" s="5">
        <f ca="1">INDIRECT("'Sheet1'!AG45")</f>
        <v>0</v>
      </c>
      <c r="F286" t="b">
        <f t="shared" ca="1" si="16"/>
        <v>0</v>
      </c>
    </row>
    <row r="287" spans="1:6" x14ac:dyDescent="0.25">
      <c r="A287" t="s">
        <v>557</v>
      </c>
      <c r="B287" t="s">
        <v>581</v>
      </c>
      <c r="C287" t="s">
        <v>156</v>
      </c>
      <c r="D287">
        <v>101</v>
      </c>
      <c r="E287">
        <f ca="1">INDIRECT("'Sheet1'!AK45")</f>
        <v>0</v>
      </c>
      <c r="F287" t="b">
        <f t="shared" ca="1" si="16"/>
        <v>0</v>
      </c>
    </row>
    <row r="288" spans="1:6" x14ac:dyDescent="0.25">
      <c r="A288" t="s">
        <v>558</v>
      </c>
      <c r="B288" t="s">
        <v>582</v>
      </c>
      <c r="C288" t="s">
        <v>158</v>
      </c>
      <c r="D288" s="5">
        <v>43984</v>
      </c>
      <c r="E288" s="5">
        <f ca="1">INDIRECT("'Sheet1'!AM45")</f>
        <v>0</v>
      </c>
      <c r="F288" t="b">
        <f t="shared" ca="1" si="16"/>
        <v>0</v>
      </c>
    </row>
    <row r="290" spans="1:6" x14ac:dyDescent="0.25">
      <c r="A290" t="s">
        <v>559</v>
      </c>
      <c r="B290" t="s">
        <v>583</v>
      </c>
      <c r="C290" t="s">
        <v>153</v>
      </c>
      <c r="D290">
        <v>100</v>
      </c>
      <c r="E290">
        <f ca="1">INDIRECT("'Sheet1'!AH46")</f>
        <v>0</v>
      </c>
      <c r="F290" t="b">
        <f t="shared" ref="F290:F293" ca="1" si="17">E290=D290</f>
        <v>0</v>
      </c>
    </row>
    <row r="291" spans="1:6" x14ac:dyDescent="0.25">
      <c r="A291" t="s">
        <v>560</v>
      </c>
      <c r="B291" t="s">
        <v>584</v>
      </c>
      <c r="C291" t="s">
        <v>155</v>
      </c>
      <c r="D291" s="5">
        <v>44439</v>
      </c>
      <c r="E291" s="5">
        <f ca="1">INDIRECT("'Sheet1'!AJ46")</f>
        <v>0</v>
      </c>
      <c r="F291" t="b">
        <f t="shared" ca="1" si="17"/>
        <v>0</v>
      </c>
    </row>
    <row r="292" spans="1:6" x14ac:dyDescent="0.25">
      <c r="A292" t="s">
        <v>561</v>
      </c>
      <c r="B292" t="s">
        <v>585</v>
      </c>
      <c r="C292" t="s">
        <v>141</v>
      </c>
      <c r="D292">
        <v>101</v>
      </c>
      <c r="E292">
        <f ca="1">INDIRECT("'Sheet1'!V46")</f>
        <v>0</v>
      </c>
      <c r="F292" t="b">
        <f t="shared" ca="1" si="17"/>
        <v>0</v>
      </c>
    </row>
    <row r="293" spans="1:6" x14ac:dyDescent="0.25">
      <c r="A293" t="s">
        <v>562</v>
      </c>
      <c r="B293" t="s">
        <v>586</v>
      </c>
      <c r="C293" t="s">
        <v>143</v>
      </c>
      <c r="D293" s="5">
        <v>44440</v>
      </c>
      <c r="E293" s="5">
        <f ca="1">INDIRECT("'Sheet1'!X46")</f>
        <v>0</v>
      </c>
      <c r="F293" t="b">
        <f t="shared" ca="1" si="17"/>
        <v>0</v>
      </c>
    </row>
    <row r="295" spans="1:6" x14ac:dyDescent="0.25">
      <c r="A295" t="s">
        <v>563</v>
      </c>
      <c r="B295" t="s">
        <v>587</v>
      </c>
      <c r="C295" t="s">
        <v>156</v>
      </c>
      <c r="D295">
        <v>100</v>
      </c>
      <c r="E295">
        <f ca="1">INDIRECT("'Sheet1'!AK47")</f>
        <v>0</v>
      </c>
      <c r="F295" t="b">
        <f t="shared" ref="F295:F353" ca="1" si="18">E295=D295</f>
        <v>0</v>
      </c>
    </row>
    <row r="296" spans="1:6" x14ac:dyDescent="0.25">
      <c r="A296" t="s">
        <v>564</v>
      </c>
      <c r="B296" t="s">
        <v>588</v>
      </c>
      <c r="C296" t="s">
        <v>158</v>
      </c>
      <c r="D296" s="5">
        <v>40879</v>
      </c>
      <c r="E296" s="5">
        <f ca="1">INDIRECT("'Sheet1'!AM47")</f>
        <v>0</v>
      </c>
      <c r="F296" t="b">
        <f t="shared" ca="1" si="18"/>
        <v>0</v>
      </c>
    </row>
    <row r="297" spans="1:6" x14ac:dyDescent="0.25">
      <c r="A297" t="s">
        <v>565</v>
      </c>
      <c r="B297" t="s">
        <v>593</v>
      </c>
      <c r="C297" t="s">
        <v>597</v>
      </c>
      <c r="E297">
        <f ca="1">SUM(
  INDIRECT("'Sheet1'!AH47"),
  INDIRECT("'Sheet1'!AE47"),
  INDIRECT("'Sheet1'!AB47"),
  INDIRECT("'Sheet1'!Y47"),
  INDIRECT("'Sheet1'!V47"),
  INDIRECT("'Sheet1'!S47")
)</f>
        <v>0</v>
      </c>
      <c r="F297" t="b">
        <f t="shared" ca="1" si="18"/>
        <v>1</v>
      </c>
    </row>
    <row r="298" spans="1:6" x14ac:dyDescent="0.25">
      <c r="A298" t="s">
        <v>566</v>
      </c>
      <c r="B298" t="s">
        <v>594</v>
      </c>
      <c r="C298" t="s">
        <v>598</v>
      </c>
      <c r="E298">
        <f ca="1">SUM(
  INDIRECT("'Sheet1'!U47"),
  INDIRECT("'Sheet1'!X47"),
  INDIRECT("'Sheet1'!AA47"),
  INDIRECT("'Sheet1'!AD47"),
  INDIRECT("'Sheet1'!AG47"),
  INDIRECT("'Sheet1'!AJ47")
)</f>
        <v>0</v>
      </c>
      <c r="F298" t="b">
        <f t="shared" ca="1" si="18"/>
        <v>1</v>
      </c>
    </row>
    <row r="300" spans="1:6" x14ac:dyDescent="0.25">
      <c r="A300" t="s">
        <v>599</v>
      </c>
      <c r="B300" t="s">
        <v>607</v>
      </c>
      <c r="C300" t="s">
        <v>138</v>
      </c>
      <c r="D300">
        <v>100</v>
      </c>
      <c r="E300">
        <f ca="1">INDIRECT("'Sheet1'!S48")</f>
        <v>0</v>
      </c>
      <c r="F300" t="b">
        <f t="shared" ca="1" si="18"/>
        <v>0</v>
      </c>
    </row>
    <row r="301" spans="1:6" x14ac:dyDescent="0.25">
      <c r="A301" t="s">
        <v>600</v>
      </c>
      <c r="B301" t="s">
        <v>608</v>
      </c>
      <c r="C301" t="s">
        <v>140</v>
      </c>
      <c r="D301" s="5">
        <v>44531</v>
      </c>
      <c r="E301" s="5">
        <f ca="1">INDIRECT("'Sheet1'!U48")</f>
        <v>0</v>
      </c>
      <c r="F301" t="b">
        <f t="shared" ca="1" si="18"/>
        <v>0</v>
      </c>
    </row>
    <row r="302" spans="1:6" x14ac:dyDescent="0.25">
      <c r="A302" t="s">
        <v>601</v>
      </c>
      <c r="B302" t="s">
        <v>609</v>
      </c>
      <c r="C302" t="s">
        <v>141</v>
      </c>
      <c r="D302">
        <v>101</v>
      </c>
      <c r="E302">
        <f ca="1">INDIRECT("'Sheet1'!V48")</f>
        <v>0</v>
      </c>
      <c r="F302" t="b">
        <f t="shared" ca="1" si="18"/>
        <v>0</v>
      </c>
    </row>
    <row r="303" spans="1:6" x14ac:dyDescent="0.25">
      <c r="A303" t="s">
        <v>602</v>
      </c>
      <c r="B303" t="s">
        <v>610</v>
      </c>
      <c r="C303" t="s">
        <v>143</v>
      </c>
      <c r="D303" s="5">
        <v>44530</v>
      </c>
      <c r="E303" s="5">
        <f ca="1">INDIRECT("'Sheet1'!X48")</f>
        <v>0</v>
      </c>
      <c r="F303" t="b">
        <f t="shared" ca="1" si="18"/>
        <v>0</v>
      </c>
    </row>
    <row r="305" spans="1:6" x14ac:dyDescent="0.25">
      <c r="A305" t="s">
        <v>603</v>
      </c>
      <c r="B305" t="s">
        <v>625</v>
      </c>
      <c r="C305" t="s">
        <v>138</v>
      </c>
      <c r="D305">
        <v>100</v>
      </c>
      <c r="E305">
        <f ca="1">INDIRECT("'Sheet1'!S49")</f>
        <v>0</v>
      </c>
      <c r="F305" t="b">
        <f t="shared" ca="1" si="18"/>
        <v>0</v>
      </c>
    </row>
    <row r="306" spans="1:6" x14ac:dyDescent="0.25">
      <c r="A306" t="s">
        <v>604</v>
      </c>
      <c r="B306" t="s">
        <v>626</v>
      </c>
      <c r="C306" t="s">
        <v>140</v>
      </c>
      <c r="D306" s="5">
        <v>44622</v>
      </c>
      <c r="E306">
        <f ca="1">INDIRECT("'Sheet1'!U49")</f>
        <v>0</v>
      </c>
      <c r="F306" t="b">
        <f t="shared" ca="1" si="18"/>
        <v>0</v>
      </c>
    </row>
    <row r="307" spans="1:6" x14ac:dyDescent="0.25">
      <c r="A307" t="s">
        <v>605</v>
      </c>
      <c r="B307" t="s">
        <v>627</v>
      </c>
      <c r="C307" t="s">
        <v>629</v>
      </c>
      <c r="E307">
        <f ca="1">SUM(
  INDIRECT("'Sheet1'!V49"),
  INDIRECT("'Sheet1'!Y49"),
  INDIRECT("'Sheet1'!AB49"),
  INDIRECT("'Sheet1'!AE49"),
  INDIRECT("'Sheet1'!AH49"),
  INDIRECT("'Sheet1'!AK49")
)</f>
        <v>0</v>
      </c>
      <c r="F307" t="b">
        <f t="shared" ca="1" si="18"/>
        <v>1</v>
      </c>
    </row>
    <row r="308" spans="1:6" x14ac:dyDescent="0.25">
      <c r="A308" t="s">
        <v>606</v>
      </c>
      <c r="B308" t="s">
        <v>628</v>
      </c>
      <c r="C308" t="s">
        <v>630</v>
      </c>
      <c r="E308">
        <f ca="1">SUM(
  INDIRECT("'Sheet1'!X49"),
  INDIRECT("'Sheet1'!AA49"),
  INDIRECT("'Sheet1'!AD49"),
  INDIRECT("'Sheet1'!AG49"),
  INDIRECT("'Sheet1'!AJ49"),
  INDIRECT("'Sheet1'!AM49")
)</f>
        <v>0</v>
      </c>
      <c r="F308" t="b">
        <f t="shared" ca="1" si="18"/>
        <v>1</v>
      </c>
    </row>
    <row r="310" spans="1:6" x14ac:dyDescent="0.25">
      <c r="A310" t="s">
        <v>611</v>
      </c>
      <c r="B310" t="s">
        <v>631</v>
      </c>
      <c r="C310" t="s">
        <v>138</v>
      </c>
      <c r="D310">
        <v>100</v>
      </c>
      <c r="E310">
        <f ca="1">INDIRECT("'Sheet1'!S50")</f>
        <v>0</v>
      </c>
      <c r="F310" t="b">
        <f t="shared" ca="1" si="18"/>
        <v>0</v>
      </c>
    </row>
    <row r="311" spans="1:6" x14ac:dyDescent="0.25">
      <c r="A311" t="s">
        <v>612</v>
      </c>
      <c r="B311" t="s">
        <v>632</v>
      </c>
      <c r="C311" t="s">
        <v>140</v>
      </c>
      <c r="D311" s="5">
        <v>44531</v>
      </c>
      <c r="E311" s="5">
        <f ca="1">INDIRECT("'Sheet1'!U50")</f>
        <v>0</v>
      </c>
      <c r="F311" t="b">
        <f t="shared" ca="1" si="18"/>
        <v>0</v>
      </c>
    </row>
    <row r="312" spans="1:6" x14ac:dyDescent="0.25">
      <c r="A312" t="s">
        <v>613</v>
      </c>
      <c r="B312" t="s">
        <v>633</v>
      </c>
      <c r="C312" t="s">
        <v>141</v>
      </c>
      <c r="D312">
        <v>101</v>
      </c>
      <c r="E312" s="5">
        <f ca="1">INDIRECT("'Sheet1'!V50")</f>
        <v>0</v>
      </c>
      <c r="F312" t="b">
        <f t="shared" ca="1" si="18"/>
        <v>0</v>
      </c>
    </row>
    <row r="313" spans="1:6" x14ac:dyDescent="0.25">
      <c r="A313" t="s">
        <v>614</v>
      </c>
      <c r="B313" t="s">
        <v>634</v>
      </c>
      <c r="C313" t="s">
        <v>143</v>
      </c>
      <c r="D313" s="5">
        <v>44530</v>
      </c>
      <c r="E313" s="5">
        <f ca="1">INDIRECT("'Sheet1'!X50")</f>
        <v>0</v>
      </c>
      <c r="F313" t="b">
        <f t="shared" ca="1" si="18"/>
        <v>0</v>
      </c>
    </row>
    <row r="314" spans="1:6" x14ac:dyDescent="0.25">
      <c r="A314" t="s">
        <v>615</v>
      </c>
      <c r="B314" t="s">
        <v>635</v>
      </c>
      <c r="C314" t="s">
        <v>144</v>
      </c>
      <c r="D314">
        <v>102</v>
      </c>
      <c r="E314">
        <f ca="1">INDIRECT("'Sheet1'!Y50")</f>
        <v>0</v>
      </c>
      <c r="F314" t="b">
        <f t="shared" ca="1" si="18"/>
        <v>0</v>
      </c>
    </row>
    <row r="315" spans="1:6" x14ac:dyDescent="0.25">
      <c r="A315" t="s">
        <v>616</v>
      </c>
      <c r="B315" t="s">
        <v>636</v>
      </c>
      <c r="C315" t="s">
        <v>146</v>
      </c>
      <c r="D315" s="5">
        <v>44257</v>
      </c>
      <c r="E315" s="5">
        <f ca="1">INDIRECT("'Sheet1'!AA50")</f>
        <v>0</v>
      </c>
      <c r="F315" t="b">
        <f t="shared" ca="1" si="18"/>
        <v>0</v>
      </c>
    </row>
    <row r="316" spans="1:6" x14ac:dyDescent="0.25">
      <c r="A316" t="s">
        <v>617</v>
      </c>
      <c r="B316" t="s">
        <v>637</v>
      </c>
      <c r="C316" t="s">
        <v>147</v>
      </c>
      <c r="D316">
        <v>103</v>
      </c>
      <c r="E316">
        <f ca="1">INDIRECT("'Sheet1'!AB50")</f>
        <v>0</v>
      </c>
      <c r="F316" t="b">
        <f t="shared" ca="1" si="18"/>
        <v>0</v>
      </c>
    </row>
    <row r="317" spans="1:6" x14ac:dyDescent="0.25">
      <c r="A317" t="s">
        <v>618</v>
      </c>
      <c r="B317" t="s">
        <v>638</v>
      </c>
      <c r="C317" t="s">
        <v>149</v>
      </c>
      <c r="D317" s="5">
        <v>44166</v>
      </c>
      <c r="E317" s="5">
        <f ca="1">INDIRECT("'Sheet1'!AD50")</f>
        <v>0</v>
      </c>
      <c r="F317" t="b">
        <f t="shared" ca="1" si="18"/>
        <v>0</v>
      </c>
    </row>
    <row r="318" spans="1:6" x14ac:dyDescent="0.25">
      <c r="A318" t="s">
        <v>619</v>
      </c>
      <c r="B318" t="s">
        <v>639</v>
      </c>
      <c r="C318" t="s">
        <v>150</v>
      </c>
      <c r="D318">
        <v>104</v>
      </c>
      <c r="E318">
        <f ca="1">INDIRECT("'Sheet1'!AE50")</f>
        <v>0</v>
      </c>
      <c r="F318" t="b">
        <f t="shared" ca="1" si="18"/>
        <v>0</v>
      </c>
    </row>
    <row r="319" spans="1:6" x14ac:dyDescent="0.25">
      <c r="A319" t="s">
        <v>620</v>
      </c>
      <c r="B319" t="s">
        <v>640</v>
      </c>
      <c r="C319" t="s">
        <v>152</v>
      </c>
      <c r="D319" s="5">
        <v>44075</v>
      </c>
      <c r="E319" s="5">
        <f ca="1">INDIRECT("'Sheet1'!AG50")</f>
        <v>0</v>
      </c>
      <c r="F319" t="b">
        <f t="shared" ca="1" si="18"/>
        <v>0</v>
      </c>
    </row>
    <row r="320" spans="1:6" x14ac:dyDescent="0.25">
      <c r="A320" t="s">
        <v>621</v>
      </c>
      <c r="B320" t="s">
        <v>641</v>
      </c>
      <c r="C320" t="s">
        <v>153</v>
      </c>
      <c r="D320">
        <v>105</v>
      </c>
      <c r="E320">
        <f ca="1">INDIRECT("'Sheet1'!AH50")</f>
        <v>0</v>
      </c>
      <c r="F320" t="b">
        <f t="shared" ca="1" si="18"/>
        <v>0</v>
      </c>
    </row>
    <row r="321" spans="1:6" x14ac:dyDescent="0.25">
      <c r="A321" t="s">
        <v>622</v>
      </c>
      <c r="B321" t="s">
        <v>642</v>
      </c>
      <c r="C321" t="s">
        <v>155</v>
      </c>
      <c r="D321" s="5">
        <v>44439</v>
      </c>
      <c r="E321" s="5">
        <f ca="1">INDIRECT("'Sheet1'!AJ50")</f>
        <v>0</v>
      </c>
      <c r="F321" t="b">
        <f t="shared" ca="1" si="18"/>
        <v>0</v>
      </c>
    </row>
    <row r="322" spans="1:6" x14ac:dyDescent="0.25">
      <c r="A322" t="s">
        <v>623</v>
      </c>
      <c r="B322" t="s">
        <v>643</v>
      </c>
      <c r="C322" t="s">
        <v>156</v>
      </c>
      <c r="D322">
        <v>106</v>
      </c>
      <c r="E322">
        <f ca="1">INDIRECT("'Sheet1'!AK50")</f>
        <v>0</v>
      </c>
      <c r="F322" t="b">
        <f t="shared" ca="1" si="18"/>
        <v>0</v>
      </c>
    </row>
    <row r="323" spans="1:6" x14ac:dyDescent="0.25">
      <c r="A323" t="s">
        <v>624</v>
      </c>
      <c r="B323" t="s">
        <v>644</v>
      </c>
      <c r="C323" t="s">
        <v>158</v>
      </c>
      <c r="D323" s="5">
        <v>43984</v>
      </c>
      <c r="E323" s="5">
        <f ca="1">INDIRECT("'Sheet1'!AM50")</f>
        <v>0</v>
      </c>
      <c r="F323" t="b">
        <f t="shared" ca="1" si="18"/>
        <v>0</v>
      </c>
    </row>
    <row r="325" spans="1:6" x14ac:dyDescent="0.25">
      <c r="A325" t="s">
        <v>645</v>
      </c>
      <c r="B325" t="s">
        <v>659</v>
      </c>
      <c r="C325" t="s">
        <v>138</v>
      </c>
      <c r="E325">
        <f ca="1">INDIRECT("'Sheet1'!S51")</f>
        <v>0</v>
      </c>
      <c r="F325" t="b">
        <f t="shared" ca="1" si="18"/>
        <v>1</v>
      </c>
    </row>
    <row r="326" spans="1:6" x14ac:dyDescent="0.25">
      <c r="A326" t="s">
        <v>646</v>
      </c>
      <c r="B326" t="s">
        <v>660</v>
      </c>
      <c r="C326" t="s">
        <v>140</v>
      </c>
      <c r="E326" s="5">
        <f ca="1">INDIRECT("'Sheet1'!U51")</f>
        <v>0</v>
      </c>
      <c r="F326" t="b">
        <f t="shared" ca="1" si="18"/>
        <v>1</v>
      </c>
    </row>
    <row r="327" spans="1:6" x14ac:dyDescent="0.25">
      <c r="A327" t="s">
        <v>647</v>
      </c>
      <c r="B327" t="s">
        <v>661</v>
      </c>
      <c r="C327" t="s">
        <v>141</v>
      </c>
      <c r="E327">
        <f ca="1">INDIRECT("'Sheet1'!V51")</f>
        <v>0</v>
      </c>
      <c r="F327" t="b">
        <f t="shared" ca="1" si="18"/>
        <v>1</v>
      </c>
    </row>
    <row r="328" spans="1:6" x14ac:dyDescent="0.25">
      <c r="A328" t="s">
        <v>648</v>
      </c>
      <c r="B328" t="s">
        <v>662</v>
      </c>
      <c r="C328" t="s">
        <v>143</v>
      </c>
      <c r="E328" s="5">
        <f ca="1">INDIRECT("'Sheet1'!X51")</f>
        <v>0</v>
      </c>
      <c r="F328" t="b">
        <f t="shared" ca="1" si="18"/>
        <v>1</v>
      </c>
    </row>
    <row r="329" spans="1:6" x14ac:dyDescent="0.25">
      <c r="A329" t="s">
        <v>649</v>
      </c>
      <c r="B329" t="s">
        <v>663</v>
      </c>
      <c r="C329" t="s">
        <v>144</v>
      </c>
      <c r="E329">
        <f ca="1">INDIRECT("'Sheet1'!Y51")</f>
        <v>0</v>
      </c>
      <c r="F329" t="b">
        <f t="shared" ca="1" si="18"/>
        <v>1</v>
      </c>
    </row>
    <row r="330" spans="1:6" x14ac:dyDescent="0.25">
      <c r="A330" t="s">
        <v>650</v>
      </c>
      <c r="B330" t="s">
        <v>664</v>
      </c>
      <c r="C330" t="s">
        <v>146</v>
      </c>
      <c r="E330" s="5">
        <f ca="1">INDIRECT("'Sheet1'!AA51")</f>
        <v>0</v>
      </c>
      <c r="F330" t="b">
        <f t="shared" ca="1" si="18"/>
        <v>1</v>
      </c>
    </row>
    <row r="331" spans="1:6" x14ac:dyDescent="0.25">
      <c r="A331" t="s">
        <v>651</v>
      </c>
      <c r="B331" t="s">
        <v>665</v>
      </c>
      <c r="C331" t="s">
        <v>147</v>
      </c>
      <c r="E331">
        <f ca="1">INDIRECT("'Sheet1'!AB51")</f>
        <v>0</v>
      </c>
      <c r="F331" t="b">
        <f t="shared" ca="1" si="18"/>
        <v>1</v>
      </c>
    </row>
    <row r="332" spans="1:6" x14ac:dyDescent="0.25">
      <c r="A332" t="s">
        <v>652</v>
      </c>
      <c r="B332" t="s">
        <v>666</v>
      </c>
      <c r="C332" t="s">
        <v>149</v>
      </c>
      <c r="E332" s="5">
        <f ca="1">INDIRECT("'Sheet1'!AD51")</f>
        <v>0</v>
      </c>
      <c r="F332" t="b">
        <f t="shared" ca="1" si="18"/>
        <v>1</v>
      </c>
    </row>
    <row r="333" spans="1:6" x14ac:dyDescent="0.25">
      <c r="A333" t="s">
        <v>653</v>
      </c>
      <c r="B333" t="s">
        <v>667</v>
      </c>
      <c r="C333" t="s">
        <v>150</v>
      </c>
      <c r="E333">
        <f ca="1">INDIRECT("'Sheet1'!AE51")</f>
        <v>0</v>
      </c>
      <c r="F333" t="b">
        <f t="shared" ca="1" si="18"/>
        <v>1</v>
      </c>
    </row>
    <row r="334" spans="1:6" x14ac:dyDescent="0.25">
      <c r="A334" t="s">
        <v>654</v>
      </c>
      <c r="B334" t="s">
        <v>668</v>
      </c>
      <c r="C334" t="s">
        <v>152</v>
      </c>
      <c r="E334" s="5">
        <f ca="1">INDIRECT("'Sheet1'!AG51")</f>
        <v>0</v>
      </c>
      <c r="F334" t="b">
        <f t="shared" ca="1" si="18"/>
        <v>1</v>
      </c>
    </row>
    <row r="335" spans="1:6" x14ac:dyDescent="0.25">
      <c r="A335" t="s">
        <v>655</v>
      </c>
      <c r="B335" t="s">
        <v>669</v>
      </c>
      <c r="C335" t="s">
        <v>153</v>
      </c>
      <c r="E335">
        <f ca="1">INDIRECT("'Sheet1'!AH51")</f>
        <v>0</v>
      </c>
      <c r="F335" t="b">
        <f t="shared" ca="1" si="18"/>
        <v>1</v>
      </c>
    </row>
    <row r="336" spans="1:6" x14ac:dyDescent="0.25">
      <c r="A336" t="s">
        <v>656</v>
      </c>
      <c r="B336" t="s">
        <v>670</v>
      </c>
      <c r="C336" t="s">
        <v>155</v>
      </c>
      <c r="E336" s="5">
        <f ca="1">INDIRECT("'Sheet1'!AJ51")</f>
        <v>0</v>
      </c>
      <c r="F336" t="b">
        <f t="shared" ca="1" si="18"/>
        <v>1</v>
      </c>
    </row>
    <row r="337" spans="1:6" x14ac:dyDescent="0.25">
      <c r="A337" t="s">
        <v>657</v>
      </c>
      <c r="B337" t="s">
        <v>706</v>
      </c>
      <c r="C337" t="s">
        <v>156</v>
      </c>
      <c r="E337">
        <f ca="1">INDIRECT("'Sheet1'!AK51")</f>
        <v>0</v>
      </c>
      <c r="F337" t="b">
        <f t="shared" ca="1" si="18"/>
        <v>1</v>
      </c>
    </row>
    <row r="338" spans="1:6" x14ac:dyDescent="0.25">
      <c r="A338" t="s">
        <v>658</v>
      </c>
      <c r="B338" t="s">
        <v>705</v>
      </c>
      <c r="C338" t="s">
        <v>158</v>
      </c>
      <c r="E338" s="5">
        <f ca="1">INDIRECT("'Sheet1'!AM51")</f>
        <v>0</v>
      </c>
      <c r="F338" t="b">
        <f t="shared" ca="1" si="18"/>
        <v>1</v>
      </c>
    </row>
    <row r="340" spans="1:6" x14ac:dyDescent="0.25">
      <c r="A340" t="s">
        <v>671</v>
      </c>
      <c r="B340" t="s">
        <v>685</v>
      </c>
      <c r="C340" t="s">
        <v>138</v>
      </c>
      <c r="E340">
        <f ca="1">INDIRECT("'Sheet1'!S52")</f>
        <v>0</v>
      </c>
      <c r="F340" t="b">
        <f t="shared" ca="1" si="18"/>
        <v>1</v>
      </c>
    </row>
    <row r="341" spans="1:6" x14ac:dyDescent="0.25">
      <c r="A341" t="s">
        <v>672</v>
      </c>
      <c r="B341" t="s">
        <v>686</v>
      </c>
      <c r="C341" t="s">
        <v>140</v>
      </c>
      <c r="E341">
        <f ca="1">INDIRECT("'Sheet1'!U52")</f>
        <v>0</v>
      </c>
      <c r="F341" t="b">
        <f t="shared" ca="1" si="18"/>
        <v>1</v>
      </c>
    </row>
    <row r="342" spans="1:6" x14ac:dyDescent="0.25">
      <c r="A342" t="s">
        <v>673</v>
      </c>
      <c r="B342" t="s">
        <v>687</v>
      </c>
      <c r="C342" t="s">
        <v>141</v>
      </c>
      <c r="E342">
        <f ca="1">INDIRECT("'Sheet1'!V52")</f>
        <v>0</v>
      </c>
      <c r="F342" t="b">
        <f t="shared" ca="1" si="18"/>
        <v>1</v>
      </c>
    </row>
    <row r="343" spans="1:6" x14ac:dyDescent="0.25">
      <c r="A343" t="s">
        <v>674</v>
      </c>
      <c r="B343" t="s">
        <v>688</v>
      </c>
      <c r="C343" t="s">
        <v>143</v>
      </c>
      <c r="E343">
        <f ca="1">INDIRECT("'Sheet1'!X52")</f>
        <v>0</v>
      </c>
      <c r="F343" t="b">
        <f t="shared" ca="1" si="18"/>
        <v>1</v>
      </c>
    </row>
    <row r="344" spans="1:6" x14ac:dyDescent="0.25">
      <c r="A344" t="s">
        <v>675</v>
      </c>
      <c r="B344" t="s">
        <v>689</v>
      </c>
      <c r="C344" t="s">
        <v>144</v>
      </c>
      <c r="E344">
        <f ca="1">INDIRECT("'Sheet1'!Y52")</f>
        <v>0</v>
      </c>
      <c r="F344" t="b">
        <f t="shared" ca="1" si="18"/>
        <v>1</v>
      </c>
    </row>
    <row r="345" spans="1:6" x14ac:dyDescent="0.25">
      <c r="A345" t="s">
        <v>676</v>
      </c>
      <c r="B345" t="s">
        <v>690</v>
      </c>
      <c r="C345" t="s">
        <v>146</v>
      </c>
      <c r="E345">
        <f ca="1">INDIRECT("'Sheet1'!AA52")</f>
        <v>0</v>
      </c>
      <c r="F345" t="b">
        <f t="shared" ca="1" si="18"/>
        <v>1</v>
      </c>
    </row>
    <row r="346" spans="1:6" x14ac:dyDescent="0.25">
      <c r="A346" t="s">
        <v>677</v>
      </c>
      <c r="B346" t="s">
        <v>691</v>
      </c>
      <c r="C346" t="s">
        <v>147</v>
      </c>
      <c r="E346">
        <f ca="1">INDIRECT("'Sheet1'!AB52")</f>
        <v>0</v>
      </c>
      <c r="F346" t="b">
        <f t="shared" ca="1" si="18"/>
        <v>1</v>
      </c>
    </row>
    <row r="347" spans="1:6" x14ac:dyDescent="0.25">
      <c r="A347" t="s">
        <v>678</v>
      </c>
      <c r="B347" t="s">
        <v>692</v>
      </c>
      <c r="C347" t="s">
        <v>149</v>
      </c>
      <c r="E347">
        <f ca="1">INDIRECT("'Sheet1'!AD52")</f>
        <v>0</v>
      </c>
      <c r="F347" t="b">
        <f t="shared" ca="1" si="18"/>
        <v>1</v>
      </c>
    </row>
    <row r="348" spans="1:6" x14ac:dyDescent="0.25">
      <c r="A348" t="s">
        <v>679</v>
      </c>
      <c r="B348" t="s">
        <v>693</v>
      </c>
      <c r="C348" t="s">
        <v>150</v>
      </c>
      <c r="E348">
        <f ca="1">INDIRECT("'Sheet1'!AE52")</f>
        <v>0</v>
      </c>
      <c r="F348" t="b">
        <f t="shared" ca="1" si="18"/>
        <v>1</v>
      </c>
    </row>
    <row r="349" spans="1:6" x14ac:dyDescent="0.25">
      <c r="A349" t="s">
        <v>680</v>
      </c>
      <c r="B349" t="s">
        <v>694</v>
      </c>
      <c r="C349" t="s">
        <v>152</v>
      </c>
      <c r="E349">
        <f ca="1">INDIRECT("'Sheet1'!AG52")</f>
        <v>0</v>
      </c>
      <c r="F349" t="b">
        <f t="shared" ca="1" si="18"/>
        <v>1</v>
      </c>
    </row>
    <row r="350" spans="1:6" x14ac:dyDescent="0.25">
      <c r="A350" t="s">
        <v>681</v>
      </c>
      <c r="B350" t="s">
        <v>695</v>
      </c>
      <c r="C350" t="s">
        <v>153</v>
      </c>
      <c r="E350">
        <f ca="1">INDIRECT("'Sheet1'!AH52")</f>
        <v>0</v>
      </c>
      <c r="F350" t="b">
        <f t="shared" ca="1" si="18"/>
        <v>1</v>
      </c>
    </row>
    <row r="351" spans="1:6" x14ac:dyDescent="0.25">
      <c r="A351" t="s">
        <v>682</v>
      </c>
      <c r="B351" t="s">
        <v>696</v>
      </c>
      <c r="C351" t="s">
        <v>155</v>
      </c>
      <c r="E351">
        <f ca="1">INDIRECT("'Sheet1'!AJ52")</f>
        <v>0</v>
      </c>
      <c r="F351" t="b">
        <f t="shared" ca="1" si="18"/>
        <v>1</v>
      </c>
    </row>
    <row r="352" spans="1:6" x14ac:dyDescent="0.25">
      <c r="A352" t="s">
        <v>683</v>
      </c>
      <c r="B352" t="s">
        <v>697</v>
      </c>
      <c r="C352" t="s">
        <v>156</v>
      </c>
      <c r="E352">
        <f ca="1">INDIRECT("'Sheet1'!AK52")</f>
        <v>0</v>
      </c>
      <c r="F352" t="b">
        <f t="shared" ca="1" si="18"/>
        <v>1</v>
      </c>
    </row>
    <row r="353" spans="1:6" x14ac:dyDescent="0.25">
      <c r="A353" t="s">
        <v>684</v>
      </c>
      <c r="B353" t="s">
        <v>698</v>
      </c>
      <c r="C353" t="s">
        <v>158</v>
      </c>
      <c r="E353">
        <f ca="1">INDIRECT("'Sheet1'!AM52")</f>
        <v>0</v>
      </c>
      <c r="F353" t="b">
        <f t="shared" ca="1" si="18"/>
        <v>1</v>
      </c>
    </row>
    <row r="355" spans="1:6" x14ac:dyDescent="0.25">
      <c r="A355" t="s">
        <v>721</v>
      </c>
      <c r="B355" t="s">
        <v>707</v>
      </c>
      <c r="C355" t="s">
        <v>138</v>
      </c>
      <c r="D355">
        <v>100</v>
      </c>
      <c r="E355">
        <f ca="1">INDIRECT("'Sheet1'!S53")</f>
        <v>0</v>
      </c>
      <c r="F355" t="b">
        <f t="shared" ref="F355:F368" ca="1" si="19">E355=D355</f>
        <v>0</v>
      </c>
    </row>
    <row r="356" spans="1:6" x14ac:dyDescent="0.25">
      <c r="A356" t="s">
        <v>722</v>
      </c>
      <c r="B356" t="s">
        <v>708</v>
      </c>
      <c r="C356" t="s">
        <v>140</v>
      </c>
      <c r="D356" s="5">
        <v>44531</v>
      </c>
      <c r="E356" s="5">
        <f ca="1">INDIRECT("'Sheet1'!U53")</f>
        <v>0</v>
      </c>
      <c r="F356" t="b">
        <f t="shared" ca="1" si="19"/>
        <v>0</v>
      </c>
    </row>
    <row r="357" spans="1:6" x14ac:dyDescent="0.25">
      <c r="A357" t="s">
        <v>723</v>
      </c>
      <c r="B357" t="s">
        <v>709</v>
      </c>
      <c r="C357" t="s">
        <v>141</v>
      </c>
      <c r="D357">
        <v>101</v>
      </c>
      <c r="E357">
        <f ca="1">INDIRECT("'Sheet1'!V53")</f>
        <v>0</v>
      </c>
      <c r="F357" t="b">
        <f t="shared" ca="1" si="19"/>
        <v>0</v>
      </c>
    </row>
    <row r="358" spans="1:6" x14ac:dyDescent="0.25">
      <c r="A358" t="s">
        <v>724</v>
      </c>
      <c r="B358" t="s">
        <v>710</v>
      </c>
      <c r="C358" t="s">
        <v>143</v>
      </c>
      <c r="D358" s="5">
        <v>44530</v>
      </c>
      <c r="E358" s="5">
        <f ca="1">INDIRECT("'Sheet1'!X53")</f>
        <v>0</v>
      </c>
      <c r="F358" t="b">
        <f t="shared" ca="1" si="19"/>
        <v>0</v>
      </c>
    </row>
    <row r="359" spans="1:6" x14ac:dyDescent="0.25">
      <c r="A359" t="s">
        <v>725</v>
      </c>
      <c r="B359" t="s">
        <v>711</v>
      </c>
      <c r="C359" t="s">
        <v>144</v>
      </c>
      <c r="D359">
        <v>102</v>
      </c>
      <c r="E359">
        <f ca="1">INDIRECT("'Sheet1'!Y53")</f>
        <v>0</v>
      </c>
      <c r="F359" t="b">
        <f t="shared" ca="1" si="19"/>
        <v>0</v>
      </c>
    </row>
    <row r="360" spans="1:6" x14ac:dyDescent="0.25">
      <c r="A360" t="s">
        <v>726</v>
      </c>
      <c r="B360" t="s">
        <v>712</v>
      </c>
      <c r="C360" t="s">
        <v>146</v>
      </c>
      <c r="D360" s="5">
        <v>44257</v>
      </c>
      <c r="E360" s="5">
        <f ca="1">INDIRECT("'Sheet1'!AA53")</f>
        <v>0</v>
      </c>
      <c r="F360" t="b">
        <f t="shared" ca="1" si="19"/>
        <v>0</v>
      </c>
    </row>
    <row r="361" spans="1:6" x14ac:dyDescent="0.25">
      <c r="A361" t="s">
        <v>727</v>
      </c>
      <c r="B361" t="s">
        <v>713</v>
      </c>
      <c r="C361" t="s">
        <v>147</v>
      </c>
      <c r="D361">
        <v>103</v>
      </c>
      <c r="E361">
        <f ca="1">INDIRECT("'Sheet1'!AB53")</f>
        <v>0</v>
      </c>
      <c r="F361" t="b">
        <f t="shared" ca="1" si="19"/>
        <v>0</v>
      </c>
    </row>
    <row r="362" spans="1:6" x14ac:dyDescent="0.25">
      <c r="A362" t="s">
        <v>728</v>
      </c>
      <c r="B362" t="s">
        <v>714</v>
      </c>
      <c r="C362" t="s">
        <v>149</v>
      </c>
      <c r="D362" s="5">
        <v>44166</v>
      </c>
      <c r="E362" s="5">
        <f ca="1">INDIRECT("'Sheet1'!AD53")</f>
        <v>0</v>
      </c>
      <c r="F362" t="b">
        <f t="shared" ca="1" si="19"/>
        <v>0</v>
      </c>
    </row>
    <row r="363" spans="1:6" x14ac:dyDescent="0.25">
      <c r="A363" t="s">
        <v>729</v>
      </c>
      <c r="B363" t="s">
        <v>715</v>
      </c>
      <c r="C363" t="s">
        <v>150</v>
      </c>
      <c r="D363">
        <v>104</v>
      </c>
      <c r="E363">
        <f ca="1">INDIRECT("'Sheet1'!AE53")</f>
        <v>0</v>
      </c>
      <c r="F363" t="b">
        <f t="shared" ca="1" si="19"/>
        <v>0</v>
      </c>
    </row>
    <row r="364" spans="1:6" x14ac:dyDescent="0.25">
      <c r="A364" t="s">
        <v>730</v>
      </c>
      <c r="B364" t="s">
        <v>716</v>
      </c>
      <c r="C364" t="s">
        <v>152</v>
      </c>
      <c r="D364" s="5">
        <v>44075</v>
      </c>
      <c r="E364" s="5">
        <f ca="1">INDIRECT("'Sheet1'!AG53")</f>
        <v>0</v>
      </c>
      <c r="F364" t="b">
        <f t="shared" ca="1" si="19"/>
        <v>0</v>
      </c>
    </row>
    <row r="365" spans="1:6" x14ac:dyDescent="0.25">
      <c r="A365" t="s">
        <v>731</v>
      </c>
      <c r="B365" t="s">
        <v>717</v>
      </c>
      <c r="C365" t="s">
        <v>153</v>
      </c>
      <c r="D365">
        <v>105</v>
      </c>
      <c r="E365">
        <f ca="1">INDIRECT("'Sheet1'!AH53")</f>
        <v>0</v>
      </c>
      <c r="F365" t="b">
        <f t="shared" ca="1" si="19"/>
        <v>0</v>
      </c>
    </row>
    <row r="366" spans="1:6" x14ac:dyDescent="0.25">
      <c r="A366" t="s">
        <v>732</v>
      </c>
      <c r="B366" t="s">
        <v>718</v>
      </c>
      <c r="C366" t="s">
        <v>155</v>
      </c>
      <c r="D366" s="5">
        <v>44439</v>
      </c>
      <c r="E366" s="5">
        <f ca="1">INDIRECT("'Sheet1'!AJ53")</f>
        <v>0</v>
      </c>
      <c r="F366" t="b">
        <f t="shared" ca="1" si="19"/>
        <v>0</v>
      </c>
    </row>
    <row r="367" spans="1:6" x14ac:dyDescent="0.25">
      <c r="A367" t="s">
        <v>733</v>
      </c>
      <c r="B367" t="s">
        <v>719</v>
      </c>
      <c r="C367" t="s">
        <v>156</v>
      </c>
      <c r="D367">
        <v>106</v>
      </c>
      <c r="E367">
        <f ca="1">INDIRECT("'Sheet1'!AK53")</f>
        <v>0</v>
      </c>
      <c r="F367" t="b">
        <f t="shared" ca="1" si="19"/>
        <v>0</v>
      </c>
    </row>
    <row r="368" spans="1:6" x14ac:dyDescent="0.25">
      <c r="A368" t="s">
        <v>734</v>
      </c>
      <c r="B368" t="s">
        <v>720</v>
      </c>
      <c r="C368" t="s">
        <v>158</v>
      </c>
      <c r="D368" s="5">
        <v>43984</v>
      </c>
      <c r="E368" s="5">
        <f ca="1">INDIRECT("'Sheet1'!AM53")</f>
        <v>0</v>
      </c>
      <c r="F368" t="b">
        <f t="shared" ca="1" si="19"/>
        <v>0</v>
      </c>
    </row>
    <row r="370" spans="1:6" x14ac:dyDescent="0.25">
      <c r="A370" t="s">
        <v>735</v>
      </c>
      <c r="B370" t="s">
        <v>707</v>
      </c>
      <c r="C370" t="s">
        <v>138</v>
      </c>
      <c r="D370">
        <v>100</v>
      </c>
      <c r="E370">
        <f ca="1">INDIRECT("'Sheet1'!S54")</f>
        <v>0</v>
      </c>
      <c r="F370" t="b">
        <f t="shared" ref="F370:F383" ca="1" si="20">E370=D370</f>
        <v>0</v>
      </c>
    </row>
    <row r="371" spans="1:6" x14ac:dyDescent="0.25">
      <c r="A371" t="s">
        <v>736</v>
      </c>
      <c r="B371" t="s">
        <v>708</v>
      </c>
      <c r="C371" t="s">
        <v>140</v>
      </c>
      <c r="D371" s="5">
        <v>44531</v>
      </c>
      <c r="E371" s="5">
        <f ca="1">INDIRECT("'Sheet1'!U54")</f>
        <v>0</v>
      </c>
      <c r="F371" t="b">
        <f t="shared" ca="1" si="20"/>
        <v>0</v>
      </c>
    </row>
    <row r="372" spans="1:6" x14ac:dyDescent="0.25">
      <c r="A372" t="s">
        <v>737</v>
      </c>
      <c r="B372" t="s">
        <v>709</v>
      </c>
      <c r="C372" t="s">
        <v>141</v>
      </c>
      <c r="D372">
        <v>101</v>
      </c>
      <c r="E372">
        <f ca="1">INDIRECT("'Sheet1'!V54")</f>
        <v>0</v>
      </c>
      <c r="F372" t="b">
        <f t="shared" ca="1" si="20"/>
        <v>0</v>
      </c>
    </row>
    <row r="373" spans="1:6" x14ac:dyDescent="0.25">
      <c r="A373" t="s">
        <v>738</v>
      </c>
      <c r="B373" t="s">
        <v>710</v>
      </c>
      <c r="C373" t="s">
        <v>143</v>
      </c>
      <c r="D373" s="5">
        <v>44530</v>
      </c>
      <c r="E373" s="5">
        <f ca="1">INDIRECT("'Sheet1'!X54")</f>
        <v>0</v>
      </c>
      <c r="F373" t="b">
        <f t="shared" ca="1" si="20"/>
        <v>0</v>
      </c>
    </row>
    <row r="374" spans="1:6" x14ac:dyDescent="0.25">
      <c r="A374" t="s">
        <v>739</v>
      </c>
      <c r="B374" t="s">
        <v>711</v>
      </c>
      <c r="C374" t="s">
        <v>144</v>
      </c>
      <c r="D374">
        <v>102</v>
      </c>
      <c r="E374">
        <f ca="1">INDIRECT("'Sheet1'!Y54")</f>
        <v>0</v>
      </c>
      <c r="F374" t="b">
        <f t="shared" ca="1" si="20"/>
        <v>0</v>
      </c>
    </row>
    <row r="375" spans="1:6" x14ac:dyDescent="0.25">
      <c r="A375" t="s">
        <v>740</v>
      </c>
      <c r="B375" t="s">
        <v>712</v>
      </c>
      <c r="C375" t="s">
        <v>146</v>
      </c>
      <c r="D375" s="5">
        <v>44257</v>
      </c>
      <c r="E375" s="5">
        <f ca="1">INDIRECT("'Sheet1'!AA54")</f>
        <v>0</v>
      </c>
      <c r="F375" t="b">
        <f t="shared" ca="1" si="20"/>
        <v>0</v>
      </c>
    </row>
    <row r="376" spans="1:6" x14ac:dyDescent="0.25">
      <c r="A376" t="s">
        <v>741</v>
      </c>
      <c r="B376" t="s">
        <v>713</v>
      </c>
      <c r="C376" t="s">
        <v>147</v>
      </c>
      <c r="D376">
        <v>103</v>
      </c>
      <c r="E376">
        <f ca="1">INDIRECT("'Sheet1'!AB54")</f>
        <v>0</v>
      </c>
      <c r="F376" t="b">
        <f t="shared" ca="1" si="20"/>
        <v>0</v>
      </c>
    </row>
    <row r="377" spans="1:6" x14ac:dyDescent="0.25">
      <c r="A377" t="s">
        <v>742</v>
      </c>
      <c r="B377" t="s">
        <v>714</v>
      </c>
      <c r="C377" t="s">
        <v>149</v>
      </c>
      <c r="D377" s="5">
        <v>44166</v>
      </c>
      <c r="E377" s="5">
        <f ca="1">INDIRECT("'Sheet1'!AD54")</f>
        <v>0</v>
      </c>
      <c r="F377" t="b">
        <f t="shared" ca="1" si="20"/>
        <v>0</v>
      </c>
    </row>
    <row r="378" spans="1:6" x14ac:dyDescent="0.25">
      <c r="A378" t="s">
        <v>743</v>
      </c>
      <c r="B378" t="s">
        <v>715</v>
      </c>
      <c r="C378" t="s">
        <v>150</v>
      </c>
      <c r="D378">
        <v>104</v>
      </c>
      <c r="E378">
        <f ca="1">INDIRECT("'Sheet1'!AE54")</f>
        <v>0</v>
      </c>
      <c r="F378" t="b">
        <f t="shared" ca="1" si="20"/>
        <v>0</v>
      </c>
    </row>
    <row r="379" spans="1:6" x14ac:dyDescent="0.25">
      <c r="A379" t="s">
        <v>744</v>
      </c>
      <c r="B379" t="s">
        <v>716</v>
      </c>
      <c r="C379" t="s">
        <v>152</v>
      </c>
      <c r="D379" s="5">
        <v>44075</v>
      </c>
      <c r="E379" s="5">
        <f ca="1">INDIRECT("'Sheet1'!AG54")</f>
        <v>0</v>
      </c>
      <c r="F379" t="b">
        <f t="shared" ca="1" si="20"/>
        <v>0</v>
      </c>
    </row>
    <row r="380" spans="1:6" x14ac:dyDescent="0.25">
      <c r="A380" t="s">
        <v>745</v>
      </c>
      <c r="B380" t="s">
        <v>717</v>
      </c>
      <c r="C380" t="s">
        <v>153</v>
      </c>
      <c r="D380">
        <v>105</v>
      </c>
      <c r="E380">
        <f ca="1">INDIRECT("'Sheet1'!AH54")</f>
        <v>0</v>
      </c>
      <c r="F380" t="b">
        <f t="shared" ca="1" si="20"/>
        <v>0</v>
      </c>
    </row>
    <row r="381" spans="1:6" x14ac:dyDescent="0.25">
      <c r="A381" t="s">
        <v>746</v>
      </c>
      <c r="B381" t="s">
        <v>718</v>
      </c>
      <c r="C381" t="s">
        <v>155</v>
      </c>
      <c r="D381" s="5">
        <v>44439</v>
      </c>
      <c r="E381" s="5">
        <f ca="1">INDIRECT("'Sheet1'!AJ54")</f>
        <v>0</v>
      </c>
      <c r="F381" t="b">
        <f t="shared" ca="1" si="20"/>
        <v>0</v>
      </c>
    </row>
    <row r="382" spans="1:6" x14ac:dyDescent="0.25">
      <c r="A382" t="s">
        <v>747</v>
      </c>
      <c r="B382" t="s">
        <v>719</v>
      </c>
      <c r="C382" t="s">
        <v>156</v>
      </c>
      <c r="D382">
        <v>106</v>
      </c>
      <c r="E382">
        <f ca="1">INDIRECT("'Sheet1'!AK54")</f>
        <v>0</v>
      </c>
      <c r="F382" t="b">
        <f t="shared" ca="1" si="20"/>
        <v>0</v>
      </c>
    </row>
    <row r="383" spans="1:6" x14ac:dyDescent="0.25">
      <c r="A383" t="s">
        <v>748</v>
      </c>
      <c r="B383" t="s">
        <v>720</v>
      </c>
      <c r="C383" t="s">
        <v>158</v>
      </c>
      <c r="D383" s="5">
        <v>43984</v>
      </c>
      <c r="E383" s="5">
        <f ca="1">INDIRECT("'Sheet1'!AM54")</f>
        <v>0</v>
      </c>
      <c r="F383" t="b">
        <f t="shared" ca="1" si="20"/>
        <v>0</v>
      </c>
    </row>
    <row r="385" spans="1:6" x14ac:dyDescent="0.25">
      <c r="A385" t="s">
        <v>749</v>
      </c>
      <c r="B385" t="s">
        <v>707</v>
      </c>
      <c r="C385" t="s">
        <v>138</v>
      </c>
      <c r="D385">
        <v>100</v>
      </c>
      <c r="E385">
        <f ca="1">INDIRECT("'Sheet1'!S55")</f>
        <v>0</v>
      </c>
      <c r="F385" t="b">
        <f t="shared" ref="F385:F398" ca="1" si="21">E385=D385</f>
        <v>0</v>
      </c>
    </row>
    <row r="386" spans="1:6" x14ac:dyDescent="0.25">
      <c r="A386" t="s">
        <v>750</v>
      </c>
      <c r="B386" t="s">
        <v>708</v>
      </c>
      <c r="C386" t="s">
        <v>140</v>
      </c>
      <c r="D386" s="5">
        <v>44531</v>
      </c>
      <c r="E386" s="5">
        <f ca="1">INDIRECT("'Sheet1'!U55")</f>
        <v>0</v>
      </c>
      <c r="F386" t="b">
        <f t="shared" ca="1" si="21"/>
        <v>0</v>
      </c>
    </row>
    <row r="387" spans="1:6" x14ac:dyDescent="0.25">
      <c r="A387" t="s">
        <v>751</v>
      </c>
      <c r="B387" t="s">
        <v>709</v>
      </c>
      <c r="C387" t="s">
        <v>141</v>
      </c>
      <c r="D387">
        <v>101</v>
      </c>
      <c r="E387">
        <f ca="1">INDIRECT("'Sheet1'!V55")</f>
        <v>0</v>
      </c>
      <c r="F387" t="b">
        <f t="shared" ca="1" si="21"/>
        <v>0</v>
      </c>
    </row>
    <row r="388" spans="1:6" x14ac:dyDescent="0.25">
      <c r="A388" t="s">
        <v>752</v>
      </c>
      <c r="B388" t="s">
        <v>710</v>
      </c>
      <c r="C388" t="s">
        <v>143</v>
      </c>
      <c r="D388" s="5">
        <v>44530</v>
      </c>
      <c r="E388" s="5">
        <f ca="1">INDIRECT("'Sheet1'!X55")</f>
        <v>0</v>
      </c>
      <c r="F388" t="b">
        <f t="shared" ca="1" si="21"/>
        <v>0</v>
      </c>
    </row>
    <row r="389" spans="1:6" x14ac:dyDescent="0.25">
      <c r="A389" t="s">
        <v>753</v>
      </c>
      <c r="B389" t="s">
        <v>711</v>
      </c>
      <c r="C389" t="s">
        <v>144</v>
      </c>
      <c r="D389">
        <v>102</v>
      </c>
      <c r="E389">
        <f ca="1">INDIRECT("'Sheet1'!Y55")</f>
        <v>0</v>
      </c>
      <c r="F389" t="b">
        <f t="shared" ca="1" si="21"/>
        <v>0</v>
      </c>
    </row>
    <row r="390" spans="1:6" x14ac:dyDescent="0.25">
      <c r="A390" t="s">
        <v>754</v>
      </c>
      <c r="B390" t="s">
        <v>712</v>
      </c>
      <c r="C390" t="s">
        <v>146</v>
      </c>
      <c r="D390" s="5">
        <v>44257</v>
      </c>
      <c r="E390" s="5">
        <f ca="1">INDIRECT("'Sheet1'!AA55")</f>
        <v>0</v>
      </c>
      <c r="F390" t="b">
        <f t="shared" ca="1" si="21"/>
        <v>0</v>
      </c>
    </row>
    <row r="391" spans="1:6" x14ac:dyDescent="0.25">
      <c r="A391" t="s">
        <v>755</v>
      </c>
      <c r="B391" t="s">
        <v>713</v>
      </c>
      <c r="C391" t="s">
        <v>147</v>
      </c>
      <c r="D391">
        <v>103</v>
      </c>
      <c r="E391">
        <f ca="1">INDIRECT("'Sheet1'!AB55")</f>
        <v>0</v>
      </c>
      <c r="F391" t="b">
        <f t="shared" ca="1" si="21"/>
        <v>0</v>
      </c>
    </row>
    <row r="392" spans="1:6" x14ac:dyDescent="0.25">
      <c r="A392" t="s">
        <v>756</v>
      </c>
      <c r="B392" t="s">
        <v>714</v>
      </c>
      <c r="C392" t="s">
        <v>149</v>
      </c>
      <c r="D392" s="5">
        <v>44166</v>
      </c>
      <c r="E392" s="5">
        <f ca="1">INDIRECT("'Sheet1'!AD55")</f>
        <v>0</v>
      </c>
      <c r="F392" t="b">
        <f t="shared" ca="1" si="21"/>
        <v>0</v>
      </c>
    </row>
    <row r="393" spans="1:6" x14ac:dyDescent="0.25">
      <c r="A393" t="s">
        <v>757</v>
      </c>
      <c r="B393" t="s">
        <v>715</v>
      </c>
      <c r="C393" t="s">
        <v>150</v>
      </c>
      <c r="D393">
        <v>104</v>
      </c>
      <c r="E393">
        <f ca="1">INDIRECT("'Sheet1'!AE55")</f>
        <v>0</v>
      </c>
      <c r="F393" t="b">
        <f t="shared" ca="1" si="21"/>
        <v>0</v>
      </c>
    </row>
    <row r="394" spans="1:6" x14ac:dyDescent="0.25">
      <c r="A394" t="s">
        <v>758</v>
      </c>
      <c r="B394" t="s">
        <v>716</v>
      </c>
      <c r="C394" t="s">
        <v>152</v>
      </c>
      <c r="D394" s="5">
        <v>44075</v>
      </c>
      <c r="E394" s="5">
        <f ca="1">INDIRECT("'Sheet1'!AG55")</f>
        <v>0</v>
      </c>
      <c r="F394" t="b">
        <f t="shared" ca="1" si="21"/>
        <v>0</v>
      </c>
    </row>
    <row r="395" spans="1:6" x14ac:dyDescent="0.25">
      <c r="A395" t="s">
        <v>759</v>
      </c>
      <c r="B395" t="s">
        <v>717</v>
      </c>
      <c r="C395" t="s">
        <v>153</v>
      </c>
      <c r="D395">
        <v>105</v>
      </c>
      <c r="E395">
        <f ca="1">INDIRECT("'Sheet1'!AH55")</f>
        <v>0</v>
      </c>
      <c r="F395" t="b">
        <f t="shared" ca="1" si="21"/>
        <v>0</v>
      </c>
    </row>
    <row r="396" spans="1:6" x14ac:dyDescent="0.25">
      <c r="A396" t="s">
        <v>760</v>
      </c>
      <c r="B396" t="s">
        <v>718</v>
      </c>
      <c r="C396" t="s">
        <v>155</v>
      </c>
      <c r="D396" s="5">
        <v>44439</v>
      </c>
      <c r="E396" s="5">
        <f ca="1">INDIRECT("'Sheet1'!AJ55")</f>
        <v>0</v>
      </c>
      <c r="F396" t="b">
        <f t="shared" ca="1" si="21"/>
        <v>0</v>
      </c>
    </row>
    <row r="397" spans="1:6" x14ac:dyDescent="0.25">
      <c r="A397" t="s">
        <v>761</v>
      </c>
      <c r="B397" t="s">
        <v>719</v>
      </c>
      <c r="C397" t="s">
        <v>156</v>
      </c>
      <c r="D397">
        <v>106</v>
      </c>
      <c r="E397">
        <f ca="1">INDIRECT("'Sheet1'!AK55")</f>
        <v>0</v>
      </c>
      <c r="F397" t="b">
        <f t="shared" ca="1" si="21"/>
        <v>0</v>
      </c>
    </row>
    <row r="398" spans="1:6" x14ac:dyDescent="0.25">
      <c r="A398" t="s">
        <v>762</v>
      </c>
      <c r="B398" t="s">
        <v>720</v>
      </c>
      <c r="C398" t="s">
        <v>158</v>
      </c>
      <c r="D398" s="5">
        <v>43984</v>
      </c>
      <c r="E398" s="5">
        <f ca="1">INDIRECT("'Sheet1'!AM55")</f>
        <v>0</v>
      </c>
      <c r="F398" t="b">
        <f t="shared" ca="1" si="21"/>
        <v>0</v>
      </c>
    </row>
    <row r="400" spans="1:6" x14ac:dyDescent="0.25">
      <c r="A400" t="s">
        <v>763</v>
      </c>
      <c r="B400" t="s">
        <v>707</v>
      </c>
      <c r="C400" t="s">
        <v>138</v>
      </c>
      <c r="D400">
        <v>100</v>
      </c>
      <c r="E400">
        <f ca="1">INDIRECT("'Sheet1'!S56")</f>
        <v>0</v>
      </c>
      <c r="F400" t="b">
        <f t="shared" ref="F400:F413" ca="1" si="22">E400=D400</f>
        <v>0</v>
      </c>
    </row>
    <row r="401" spans="1:6" x14ac:dyDescent="0.25">
      <c r="A401" t="s">
        <v>764</v>
      </c>
      <c r="B401" t="s">
        <v>708</v>
      </c>
      <c r="C401" t="s">
        <v>140</v>
      </c>
      <c r="D401" s="5">
        <v>44531</v>
      </c>
      <c r="E401" s="5">
        <f ca="1">INDIRECT("'Sheet1'!U56")</f>
        <v>0</v>
      </c>
      <c r="F401" t="b">
        <f t="shared" ca="1" si="22"/>
        <v>0</v>
      </c>
    </row>
    <row r="402" spans="1:6" x14ac:dyDescent="0.25">
      <c r="A402" t="s">
        <v>765</v>
      </c>
      <c r="B402" t="s">
        <v>709</v>
      </c>
      <c r="C402" t="s">
        <v>141</v>
      </c>
      <c r="D402">
        <v>101</v>
      </c>
      <c r="E402">
        <f ca="1">INDIRECT("'Sheet1'!V56")</f>
        <v>0</v>
      </c>
      <c r="F402" t="b">
        <f t="shared" ca="1" si="22"/>
        <v>0</v>
      </c>
    </row>
    <row r="403" spans="1:6" x14ac:dyDescent="0.25">
      <c r="A403" t="s">
        <v>766</v>
      </c>
      <c r="B403" t="s">
        <v>710</v>
      </c>
      <c r="C403" t="s">
        <v>143</v>
      </c>
      <c r="D403" s="5">
        <v>44530</v>
      </c>
      <c r="E403" s="5">
        <f ca="1">INDIRECT("'Sheet1'!X56")</f>
        <v>0</v>
      </c>
      <c r="F403" t="b">
        <f t="shared" ca="1" si="22"/>
        <v>0</v>
      </c>
    </row>
    <row r="404" spans="1:6" x14ac:dyDescent="0.25">
      <c r="A404" t="s">
        <v>767</v>
      </c>
      <c r="B404" t="s">
        <v>711</v>
      </c>
      <c r="C404" t="s">
        <v>144</v>
      </c>
      <c r="D404">
        <v>102</v>
      </c>
      <c r="E404">
        <f ca="1">INDIRECT("'Sheet1'!Y56")</f>
        <v>0</v>
      </c>
      <c r="F404" t="b">
        <f t="shared" ca="1" si="22"/>
        <v>0</v>
      </c>
    </row>
    <row r="405" spans="1:6" x14ac:dyDescent="0.25">
      <c r="A405" t="s">
        <v>768</v>
      </c>
      <c r="B405" t="s">
        <v>712</v>
      </c>
      <c r="C405" t="s">
        <v>146</v>
      </c>
      <c r="D405" s="5">
        <v>44257</v>
      </c>
      <c r="E405" s="5">
        <f ca="1">INDIRECT("'Sheet1'!AA56")</f>
        <v>0</v>
      </c>
      <c r="F405" t="b">
        <f t="shared" ca="1" si="22"/>
        <v>0</v>
      </c>
    </row>
    <row r="406" spans="1:6" x14ac:dyDescent="0.25">
      <c r="A406" t="s">
        <v>769</v>
      </c>
      <c r="B406" t="s">
        <v>713</v>
      </c>
      <c r="C406" t="s">
        <v>147</v>
      </c>
      <c r="D406">
        <v>103</v>
      </c>
      <c r="E406">
        <f ca="1">INDIRECT("'Sheet1'!AB56")</f>
        <v>0</v>
      </c>
      <c r="F406" t="b">
        <f t="shared" ca="1" si="22"/>
        <v>0</v>
      </c>
    </row>
    <row r="407" spans="1:6" x14ac:dyDescent="0.25">
      <c r="A407" t="s">
        <v>770</v>
      </c>
      <c r="B407" t="s">
        <v>714</v>
      </c>
      <c r="C407" t="s">
        <v>149</v>
      </c>
      <c r="D407" s="5">
        <v>44166</v>
      </c>
      <c r="E407" s="5">
        <f ca="1">INDIRECT("'Sheet1'!AD56")</f>
        <v>0</v>
      </c>
      <c r="F407" t="b">
        <f t="shared" ca="1" si="22"/>
        <v>0</v>
      </c>
    </row>
    <row r="408" spans="1:6" x14ac:dyDescent="0.25">
      <c r="A408" t="s">
        <v>771</v>
      </c>
      <c r="B408" t="s">
        <v>715</v>
      </c>
      <c r="C408" t="s">
        <v>150</v>
      </c>
      <c r="D408">
        <v>104</v>
      </c>
      <c r="E408">
        <f ca="1">INDIRECT("'Sheet1'!AE56")</f>
        <v>0</v>
      </c>
      <c r="F408" t="b">
        <f t="shared" ca="1" si="22"/>
        <v>0</v>
      </c>
    </row>
    <row r="409" spans="1:6" x14ac:dyDescent="0.25">
      <c r="A409" t="s">
        <v>772</v>
      </c>
      <c r="B409" t="s">
        <v>716</v>
      </c>
      <c r="C409" t="s">
        <v>152</v>
      </c>
      <c r="D409" s="5">
        <v>44075</v>
      </c>
      <c r="E409" s="5">
        <f ca="1">INDIRECT("'Sheet1'!AG56")</f>
        <v>0</v>
      </c>
      <c r="F409" t="b">
        <f t="shared" ca="1" si="22"/>
        <v>0</v>
      </c>
    </row>
    <row r="410" spans="1:6" x14ac:dyDescent="0.25">
      <c r="A410" t="s">
        <v>773</v>
      </c>
      <c r="B410" t="s">
        <v>717</v>
      </c>
      <c r="C410" t="s">
        <v>153</v>
      </c>
      <c r="D410">
        <v>105</v>
      </c>
      <c r="E410">
        <f ca="1">INDIRECT("'Sheet1'!AH56")</f>
        <v>0</v>
      </c>
      <c r="F410" t="b">
        <f t="shared" ca="1" si="22"/>
        <v>0</v>
      </c>
    </row>
    <row r="411" spans="1:6" x14ac:dyDescent="0.25">
      <c r="A411" t="s">
        <v>774</v>
      </c>
      <c r="B411" t="s">
        <v>718</v>
      </c>
      <c r="C411" t="s">
        <v>155</v>
      </c>
      <c r="D411" s="5">
        <v>44439</v>
      </c>
      <c r="E411" s="5">
        <f ca="1">INDIRECT("'Sheet1'!AJ56")</f>
        <v>0</v>
      </c>
      <c r="F411" t="b">
        <f t="shared" ca="1" si="22"/>
        <v>0</v>
      </c>
    </row>
    <row r="412" spans="1:6" x14ac:dyDescent="0.25">
      <c r="A412" t="s">
        <v>775</v>
      </c>
      <c r="B412" t="s">
        <v>719</v>
      </c>
      <c r="C412" t="s">
        <v>156</v>
      </c>
      <c r="D412">
        <v>106</v>
      </c>
      <c r="E412">
        <f ca="1">INDIRECT("'Sheet1'!AK56")</f>
        <v>0</v>
      </c>
      <c r="F412" t="b">
        <f t="shared" ca="1" si="22"/>
        <v>0</v>
      </c>
    </row>
    <row r="413" spans="1:6" x14ac:dyDescent="0.25">
      <c r="A413" t="s">
        <v>776</v>
      </c>
      <c r="B413" t="s">
        <v>720</v>
      </c>
      <c r="C413" t="s">
        <v>158</v>
      </c>
      <c r="D413" s="5">
        <v>43984</v>
      </c>
      <c r="E413" s="5">
        <f ca="1">INDIRECT("'Sheet1'!AM56")</f>
        <v>0</v>
      </c>
      <c r="F413" t="b">
        <f t="shared" ca="1" si="22"/>
        <v>0</v>
      </c>
    </row>
    <row r="415" spans="1:6" x14ac:dyDescent="0.25">
      <c r="A415" t="s">
        <v>777</v>
      </c>
      <c r="B415" t="s">
        <v>707</v>
      </c>
      <c r="C415" t="s">
        <v>138</v>
      </c>
      <c r="D415">
        <v>100</v>
      </c>
      <c r="E415">
        <f ca="1">INDIRECT("'Sheet1'!S57")</f>
        <v>0</v>
      </c>
      <c r="F415" t="b">
        <f t="shared" ref="F415:F428" ca="1" si="23">E415=D415</f>
        <v>0</v>
      </c>
    </row>
    <row r="416" spans="1:6" x14ac:dyDescent="0.25">
      <c r="A416" t="s">
        <v>778</v>
      </c>
      <c r="B416" t="s">
        <v>708</v>
      </c>
      <c r="C416" t="s">
        <v>140</v>
      </c>
      <c r="D416" s="5">
        <v>44531</v>
      </c>
      <c r="E416" s="5">
        <f ca="1">INDIRECT("'Sheet1'!U57")</f>
        <v>0</v>
      </c>
      <c r="F416" t="b">
        <f t="shared" ca="1" si="23"/>
        <v>0</v>
      </c>
    </row>
    <row r="417" spans="1:6" x14ac:dyDescent="0.25">
      <c r="A417" t="s">
        <v>779</v>
      </c>
      <c r="B417" t="s">
        <v>709</v>
      </c>
      <c r="C417" t="s">
        <v>141</v>
      </c>
      <c r="D417">
        <v>101</v>
      </c>
      <c r="E417">
        <f ca="1">INDIRECT("'Sheet1'!V57")</f>
        <v>0</v>
      </c>
      <c r="F417" t="b">
        <f t="shared" ca="1" si="23"/>
        <v>0</v>
      </c>
    </row>
    <row r="418" spans="1:6" x14ac:dyDescent="0.25">
      <c r="A418" t="s">
        <v>780</v>
      </c>
      <c r="B418" t="s">
        <v>710</v>
      </c>
      <c r="C418" t="s">
        <v>143</v>
      </c>
      <c r="D418" s="5">
        <v>44530</v>
      </c>
      <c r="E418" s="5">
        <f ca="1">INDIRECT("'Sheet1'!X57")</f>
        <v>0</v>
      </c>
      <c r="F418" t="b">
        <f t="shared" ca="1" si="23"/>
        <v>0</v>
      </c>
    </row>
    <row r="419" spans="1:6" x14ac:dyDescent="0.25">
      <c r="A419" t="s">
        <v>781</v>
      </c>
      <c r="B419" t="s">
        <v>711</v>
      </c>
      <c r="C419" t="s">
        <v>144</v>
      </c>
      <c r="D419">
        <v>102</v>
      </c>
      <c r="E419">
        <f ca="1">INDIRECT("'Sheet1'!Y57")</f>
        <v>0</v>
      </c>
      <c r="F419" t="b">
        <f t="shared" ca="1" si="23"/>
        <v>0</v>
      </c>
    </row>
    <row r="420" spans="1:6" x14ac:dyDescent="0.25">
      <c r="A420" t="s">
        <v>782</v>
      </c>
      <c r="B420" t="s">
        <v>712</v>
      </c>
      <c r="C420" t="s">
        <v>146</v>
      </c>
      <c r="D420" s="5">
        <v>44257</v>
      </c>
      <c r="E420" s="5">
        <f ca="1">INDIRECT("'Sheet1'!AA57")</f>
        <v>0</v>
      </c>
      <c r="F420" t="b">
        <f t="shared" ca="1" si="23"/>
        <v>0</v>
      </c>
    </row>
    <row r="421" spans="1:6" x14ac:dyDescent="0.25">
      <c r="A421" t="s">
        <v>783</v>
      </c>
      <c r="B421" t="s">
        <v>713</v>
      </c>
      <c r="C421" t="s">
        <v>147</v>
      </c>
      <c r="D421">
        <v>103</v>
      </c>
      <c r="E421">
        <f ca="1">INDIRECT("'Sheet1'!AB57")</f>
        <v>0</v>
      </c>
      <c r="F421" t="b">
        <f t="shared" ca="1" si="23"/>
        <v>0</v>
      </c>
    </row>
    <row r="422" spans="1:6" x14ac:dyDescent="0.25">
      <c r="A422" t="s">
        <v>784</v>
      </c>
      <c r="B422" t="s">
        <v>714</v>
      </c>
      <c r="C422" t="s">
        <v>149</v>
      </c>
      <c r="D422" s="5">
        <v>44166</v>
      </c>
      <c r="E422" s="5">
        <f ca="1">INDIRECT("'Sheet1'!AD57")</f>
        <v>0</v>
      </c>
      <c r="F422" t="b">
        <f t="shared" ca="1" si="23"/>
        <v>0</v>
      </c>
    </row>
    <row r="423" spans="1:6" x14ac:dyDescent="0.25">
      <c r="A423" t="s">
        <v>785</v>
      </c>
      <c r="B423" t="s">
        <v>715</v>
      </c>
      <c r="C423" t="s">
        <v>150</v>
      </c>
      <c r="D423">
        <v>104</v>
      </c>
      <c r="E423">
        <f ca="1">INDIRECT("'Sheet1'!AE57")</f>
        <v>0</v>
      </c>
      <c r="F423" t="b">
        <f t="shared" ca="1" si="23"/>
        <v>0</v>
      </c>
    </row>
    <row r="424" spans="1:6" x14ac:dyDescent="0.25">
      <c r="A424" t="s">
        <v>786</v>
      </c>
      <c r="B424" t="s">
        <v>716</v>
      </c>
      <c r="C424" t="s">
        <v>152</v>
      </c>
      <c r="D424" s="5">
        <v>44075</v>
      </c>
      <c r="E424" s="5">
        <f ca="1">INDIRECT("'Sheet1'!AG57")</f>
        <v>0</v>
      </c>
      <c r="F424" t="b">
        <f t="shared" ca="1" si="23"/>
        <v>0</v>
      </c>
    </row>
    <row r="425" spans="1:6" x14ac:dyDescent="0.25">
      <c r="A425" t="s">
        <v>787</v>
      </c>
      <c r="B425" t="s">
        <v>717</v>
      </c>
      <c r="C425" t="s">
        <v>153</v>
      </c>
      <c r="D425">
        <v>105</v>
      </c>
      <c r="E425">
        <f ca="1">INDIRECT("'Sheet1'!AH57")</f>
        <v>0</v>
      </c>
      <c r="F425" t="b">
        <f t="shared" ca="1" si="23"/>
        <v>0</v>
      </c>
    </row>
    <row r="426" spans="1:6" x14ac:dyDescent="0.25">
      <c r="A426" t="s">
        <v>788</v>
      </c>
      <c r="B426" t="s">
        <v>718</v>
      </c>
      <c r="C426" t="s">
        <v>155</v>
      </c>
      <c r="D426" s="5">
        <v>44439</v>
      </c>
      <c r="E426" s="5">
        <f ca="1">INDIRECT("'Sheet1'!AJ57")</f>
        <v>0</v>
      </c>
      <c r="F426" t="b">
        <f t="shared" ca="1" si="23"/>
        <v>0</v>
      </c>
    </row>
    <row r="427" spans="1:6" x14ac:dyDescent="0.25">
      <c r="A427" t="s">
        <v>789</v>
      </c>
      <c r="B427" t="s">
        <v>719</v>
      </c>
      <c r="C427" t="s">
        <v>156</v>
      </c>
      <c r="D427">
        <v>106</v>
      </c>
      <c r="E427">
        <f ca="1">INDIRECT("'Sheet1'!AK57")</f>
        <v>0</v>
      </c>
      <c r="F427" t="b">
        <f t="shared" ca="1" si="23"/>
        <v>0</v>
      </c>
    </row>
    <row r="428" spans="1:6" x14ac:dyDescent="0.25">
      <c r="A428" t="s">
        <v>790</v>
      </c>
      <c r="B428" t="s">
        <v>720</v>
      </c>
      <c r="C428" t="s">
        <v>158</v>
      </c>
      <c r="D428" s="5">
        <v>43984</v>
      </c>
      <c r="E428" s="5">
        <f ca="1">INDIRECT("'Sheet1'!AM57")</f>
        <v>0</v>
      </c>
      <c r="F428" t="b">
        <f t="shared" ca="1" si="23"/>
        <v>0</v>
      </c>
    </row>
    <row r="430" spans="1:6" x14ac:dyDescent="0.25">
      <c r="A430" t="s">
        <v>791</v>
      </c>
      <c r="B430" t="s">
        <v>707</v>
      </c>
      <c r="C430" t="s">
        <v>138</v>
      </c>
      <c r="D430">
        <v>100</v>
      </c>
      <c r="E430">
        <f ca="1">INDIRECT("'Sheet1'!S58")</f>
        <v>0</v>
      </c>
      <c r="F430" t="b">
        <f t="shared" ref="F430:F443" ca="1" si="24">E430=D430</f>
        <v>0</v>
      </c>
    </row>
    <row r="431" spans="1:6" x14ac:dyDescent="0.25">
      <c r="A431" t="s">
        <v>792</v>
      </c>
      <c r="B431" t="s">
        <v>708</v>
      </c>
      <c r="C431" t="s">
        <v>140</v>
      </c>
      <c r="D431" s="5">
        <v>44531</v>
      </c>
      <c r="E431" s="5">
        <f ca="1">INDIRECT("'Sheet1'!U58")</f>
        <v>0</v>
      </c>
      <c r="F431" t="b">
        <f t="shared" ca="1" si="24"/>
        <v>0</v>
      </c>
    </row>
    <row r="432" spans="1:6" x14ac:dyDescent="0.25">
      <c r="A432" t="s">
        <v>793</v>
      </c>
      <c r="B432" t="s">
        <v>709</v>
      </c>
      <c r="C432" t="s">
        <v>141</v>
      </c>
      <c r="D432">
        <v>101</v>
      </c>
      <c r="E432">
        <f ca="1">INDIRECT("'Sheet1'!V58")</f>
        <v>0</v>
      </c>
      <c r="F432" t="b">
        <f t="shared" ca="1" si="24"/>
        <v>0</v>
      </c>
    </row>
    <row r="433" spans="1:6" x14ac:dyDescent="0.25">
      <c r="A433" t="s">
        <v>794</v>
      </c>
      <c r="B433" t="s">
        <v>710</v>
      </c>
      <c r="C433" t="s">
        <v>143</v>
      </c>
      <c r="D433" s="5">
        <v>44530</v>
      </c>
      <c r="E433" s="5">
        <f ca="1">INDIRECT("'Sheet1'!X58")</f>
        <v>0</v>
      </c>
      <c r="F433" t="b">
        <f t="shared" ca="1" si="24"/>
        <v>0</v>
      </c>
    </row>
    <row r="434" spans="1:6" x14ac:dyDescent="0.25">
      <c r="A434" t="s">
        <v>795</v>
      </c>
      <c r="B434" t="s">
        <v>711</v>
      </c>
      <c r="C434" t="s">
        <v>144</v>
      </c>
      <c r="D434">
        <v>102</v>
      </c>
      <c r="E434">
        <f ca="1">INDIRECT("'Sheet1'!Y58")</f>
        <v>0</v>
      </c>
      <c r="F434" t="b">
        <f t="shared" ca="1" si="24"/>
        <v>0</v>
      </c>
    </row>
    <row r="435" spans="1:6" x14ac:dyDescent="0.25">
      <c r="A435" t="s">
        <v>796</v>
      </c>
      <c r="B435" t="s">
        <v>712</v>
      </c>
      <c r="C435" t="s">
        <v>146</v>
      </c>
      <c r="D435" s="5">
        <v>44257</v>
      </c>
      <c r="E435" s="5">
        <f ca="1">INDIRECT("'Sheet1'!AA58")</f>
        <v>0</v>
      </c>
      <c r="F435" t="b">
        <f t="shared" ca="1" si="24"/>
        <v>0</v>
      </c>
    </row>
    <row r="436" spans="1:6" x14ac:dyDescent="0.25">
      <c r="A436" t="s">
        <v>797</v>
      </c>
      <c r="B436" t="s">
        <v>713</v>
      </c>
      <c r="C436" t="s">
        <v>147</v>
      </c>
      <c r="D436">
        <v>103</v>
      </c>
      <c r="E436">
        <f ca="1">INDIRECT("'Sheet1'!AB58")</f>
        <v>0</v>
      </c>
      <c r="F436" t="b">
        <f t="shared" ca="1" si="24"/>
        <v>0</v>
      </c>
    </row>
    <row r="437" spans="1:6" x14ac:dyDescent="0.25">
      <c r="A437" t="s">
        <v>798</v>
      </c>
      <c r="B437" t="s">
        <v>714</v>
      </c>
      <c r="C437" t="s">
        <v>149</v>
      </c>
      <c r="D437" s="5">
        <v>44166</v>
      </c>
      <c r="E437" s="5">
        <f ca="1">INDIRECT("'Sheet1'!AD58")</f>
        <v>0</v>
      </c>
      <c r="F437" t="b">
        <f t="shared" ca="1" si="24"/>
        <v>0</v>
      </c>
    </row>
    <row r="438" spans="1:6" x14ac:dyDescent="0.25">
      <c r="A438" t="s">
        <v>799</v>
      </c>
      <c r="B438" t="s">
        <v>715</v>
      </c>
      <c r="C438" t="s">
        <v>150</v>
      </c>
      <c r="D438">
        <v>104</v>
      </c>
      <c r="E438">
        <f ca="1">INDIRECT("'Sheet1'!AE58")</f>
        <v>0</v>
      </c>
      <c r="F438" t="b">
        <f t="shared" ca="1" si="24"/>
        <v>0</v>
      </c>
    </row>
    <row r="439" spans="1:6" x14ac:dyDescent="0.25">
      <c r="A439" t="s">
        <v>800</v>
      </c>
      <c r="B439" t="s">
        <v>716</v>
      </c>
      <c r="C439" t="s">
        <v>152</v>
      </c>
      <c r="D439" s="5">
        <v>44075</v>
      </c>
      <c r="E439" s="5">
        <f ca="1">INDIRECT("'Sheet1'!AG58")</f>
        <v>0</v>
      </c>
      <c r="F439" t="b">
        <f t="shared" ca="1" si="24"/>
        <v>0</v>
      </c>
    </row>
    <row r="440" spans="1:6" x14ac:dyDescent="0.25">
      <c r="A440" t="s">
        <v>801</v>
      </c>
      <c r="B440" t="s">
        <v>717</v>
      </c>
      <c r="C440" t="s">
        <v>153</v>
      </c>
      <c r="D440">
        <v>105</v>
      </c>
      <c r="E440">
        <f ca="1">INDIRECT("'Sheet1'!AH58")</f>
        <v>0</v>
      </c>
      <c r="F440" t="b">
        <f t="shared" ca="1" si="24"/>
        <v>0</v>
      </c>
    </row>
    <row r="441" spans="1:6" x14ac:dyDescent="0.25">
      <c r="A441" t="s">
        <v>802</v>
      </c>
      <c r="B441" t="s">
        <v>718</v>
      </c>
      <c r="C441" t="s">
        <v>155</v>
      </c>
      <c r="D441" s="5">
        <v>44439</v>
      </c>
      <c r="E441" s="5">
        <f ca="1">INDIRECT("'Sheet1'!AJ58")</f>
        <v>0</v>
      </c>
      <c r="F441" t="b">
        <f t="shared" ca="1" si="24"/>
        <v>0</v>
      </c>
    </row>
    <row r="442" spans="1:6" x14ac:dyDescent="0.25">
      <c r="A442" t="s">
        <v>803</v>
      </c>
      <c r="B442" t="s">
        <v>719</v>
      </c>
      <c r="C442" t="s">
        <v>156</v>
      </c>
      <c r="D442">
        <v>106</v>
      </c>
      <c r="E442">
        <f ca="1">INDIRECT("'Sheet1'!AK58")</f>
        <v>0</v>
      </c>
      <c r="F442" t="b">
        <f t="shared" ca="1" si="24"/>
        <v>0</v>
      </c>
    </row>
    <row r="443" spans="1:6" x14ac:dyDescent="0.25">
      <c r="A443" t="s">
        <v>804</v>
      </c>
      <c r="B443" t="s">
        <v>720</v>
      </c>
      <c r="C443" t="s">
        <v>158</v>
      </c>
      <c r="D443" s="5">
        <v>43984</v>
      </c>
      <c r="E443" s="5">
        <f ca="1">INDIRECT("'Sheet1'!AM58")</f>
        <v>0</v>
      </c>
      <c r="F443" t="b">
        <f t="shared" ca="1" si="24"/>
        <v>0</v>
      </c>
    </row>
    <row r="445" spans="1:6" x14ac:dyDescent="0.25">
      <c r="A445" t="s">
        <v>805</v>
      </c>
      <c r="B445" t="s">
        <v>707</v>
      </c>
      <c r="C445" t="s">
        <v>138</v>
      </c>
      <c r="D445">
        <v>100</v>
      </c>
      <c r="E445">
        <f ca="1">INDIRECT("'Sheet1'!S59")</f>
        <v>0</v>
      </c>
      <c r="F445" t="b">
        <f t="shared" ref="F445:F458" ca="1" si="25">E445=D445</f>
        <v>0</v>
      </c>
    </row>
    <row r="446" spans="1:6" x14ac:dyDescent="0.25">
      <c r="A446" t="s">
        <v>806</v>
      </c>
      <c r="B446" t="s">
        <v>708</v>
      </c>
      <c r="C446" t="s">
        <v>140</v>
      </c>
      <c r="D446" s="5">
        <v>44531</v>
      </c>
      <c r="E446" s="5">
        <f ca="1">INDIRECT("'Sheet1'!U59")</f>
        <v>0</v>
      </c>
      <c r="F446" t="b">
        <f t="shared" ca="1" si="25"/>
        <v>0</v>
      </c>
    </row>
    <row r="447" spans="1:6" x14ac:dyDescent="0.25">
      <c r="A447" t="s">
        <v>807</v>
      </c>
      <c r="B447" t="s">
        <v>709</v>
      </c>
      <c r="C447" t="s">
        <v>141</v>
      </c>
      <c r="D447">
        <v>101</v>
      </c>
      <c r="E447">
        <f ca="1">INDIRECT("'Sheet1'!V59")</f>
        <v>0</v>
      </c>
      <c r="F447" t="b">
        <f t="shared" ca="1" si="25"/>
        <v>0</v>
      </c>
    </row>
    <row r="448" spans="1:6" x14ac:dyDescent="0.25">
      <c r="A448" t="s">
        <v>808</v>
      </c>
      <c r="B448" t="s">
        <v>710</v>
      </c>
      <c r="C448" t="s">
        <v>143</v>
      </c>
      <c r="D448" s="5">
        <v>44530</v>
      </c>
      <c r="E448" s="5">
        <f ca="1">INDIRECT("'Sheet1'!X59")</f>
        <v>0</v>
      </c>
      <c r="F448" t="b">
        <f t="shared" ca="1" si="25"/>
        <v>0</v>
      </c>
    </row>
    <row r="449" spans="1:6" x14ac:dyDescent="0.25">
      <c r="A449" t="s">
        <v>809</v>
      </c>
      <c r="B449" t="s">
        <v>711</v>
      </c>
      <c r="C449" t="s">
        <v>144</v>
      </c>
      <c r="D449">
        <v>102</v>
      </c>
      <c r="E449">
        <f ca="1">INDIRECT("'Sheet1'!Y59")</f>
        <v>0</v>
      </c>
      <c r="F449" t="b">
        <f t="shared" ca="1" si="25"/>
        <v>0</v>
      </c>
    </row>
    <row r="450" spans="1:6" x14ac:dyDescent="0.25">
      <c r="A450" t="s">
        <v>810</v>
      </c>
      <c r="B450" t="s">
        <v>712</v>
      </c>
      <c r="C450" t="s">
        <v>146</v>
      </c>
      <c r="D450" s="5">
        <v>44257</v>
      </c>
      <c r="E450" s="5">
        <f ca="1">INDIRECT("'Sheet1'!AA59")</f>
        <v>0</v>
      </c>
      <c r="F450" t="b">
        <f t="shared" ca="1" si="25"/>
        <v>0</v>
      </c>
    </row>
    <row r="451" spans="1:6" x14ac:dyDescent="0.25">
      <c r="A451" t="s">
        <v>811</v>
      </c>
      <c r="B451" t="s">
        <v>713</v>
      </c>
      <c r="C451" t="s">
        <v>147</v>
      </c>
      <c r="D451">
        <v>103</v>
      </c>
      <c r="E451">
        <f ca="1">INDIRECT("'Sheet1'!AB59")</f>
        <v>0</v>
      </c>
      <c r="F451" t="b">
        <f t="shared" ca="1" si="25"/>
        <v>0</v>
      </c>
    </row>
    <row r="452" spans="1:6" x14ac:dyDescent="0.25">
      <c r="A452" t="s">
        <v>812</v>
      </c>
      <c r="B452" t="s">
        <v>714</v>
      </c>
      <c r="C452" t="s">
        <v>149</v>
      </c>
      <c r="D452" s="5">
        <v>44166</v>
      </c>
      <c r="E452" s="5">
        <f ca="1">INDIRECT("'Sheet1'!AD59")</f>
        <v>0</v>
      </c>
      <c r="F452" t="b">
        <f t="shared" ca="1" si="25"/>
        <v>0</v>
      </c>
    </row>
    <row r="453" spans="1:6" x14ac:dyDescent="0.25">
      <c r="A453" t="s">
        <v>813</v>
      </c>
      <c r="B453" t="s">
        <v>715</v>
      </c>
      <c r="C453" t="s">
        <v>150</v>
      </c>
      <c r="D453">
        <v>104</v>
      </c>
      <c r="E453">
        <f ca="1">INDIRECT("'Sheet1'!AE59")</f>
        <v>0</v>
      </c>
      <c r="F453" t="b">
        <f t="shared" ca="1" si="25"/>
        <v>0</v>
      </c>
    </row>
    <row r="454" spans="1:6" x14ac:dyDescent="0.25">
      <c r="A454" t="s">
        <v>814</v>
      </c>
      <c r="B454" t="s">
        <v>716</v>
      </c>
      <c r="C454" t="s">
        <v>152</v>
      </c>
      <c r="D454" s="5">
        <v>44075</v>
      </c>
      <c r="E454" s="5">
        <f ca="1">INDIRECT("'Sheet1'!AG59")</f>
        <v>0</v>
      </c>
      <c r="F454" t="b">
        <f t="shared" ca="1" si="25"/>
        <v>0</v>
      </c>
    </row>
    <row r="455" spans="1:6" x14ac:dyDescent="0.25">
      <c r="A455" t="s">
        <v>815</v>
      </c>
      <c r="B455" t="s">
        <v>717</v>
      </c>
      <c r="C455" t="s">
        <v>153</v>
      </c>
      <c r="D455">
        <v>105</v>
      </c>
      <c r="E455">
        <f ca="1">INDIRECT("'Sheet1'!AH59")</f>
        <v>0</v>
      </c>
      <c r="F455" t="b">
        <f t="shared" ca="1" si="25"/>
        <v>0</v>
      </c>
    </row>
    <row r="456" spans="1:6" x14ac:dyDescent="0.25">
      <c r="A456" t="s">
        <v>816</v>
      </c>
      <c r="B456" t="s">
        <v>718</v>
      </c>
      <c r="C456" t="s">
        <v>155</v>
      </c>
      <c r="D456" s="5">
        <v>44439</v>
      </c>
      <c r="E456" s="5">
        <f ca="1">INDIRECT("'Sheet1'!AJ59")</f>
        <v>0</v>
      </c>
      <c r="F456" t="b">
        <f t="shared" ca="1" si="25"/>
        <v>0</v>
      </c>
    </row>
    <row r="457" spans="1:6" x14ac:dyDescent="0.25">
      <c r="A457" t="s">
        <v>817</v>
      </c>
      <c r="B457" t="s">
        <v>719</v>
      </c>
      <c r="C457" t="s">
        <v>156</v>
      </c>
      <c r="D457">
        <v>106</v>
      </c>
      <c r="E457">
        <f ca="1">INDIRECT("'Sheet1'!AK59")</f>
        <v>0</v>
      </c>
      <c r="F457" t="b">
        <f t="shared" ca="1" si="25"/>
        <v>0</v>
      </c>
    </row>
    <row r="458" spans="1:6" x14ac:dyDescent="0.25">
      <c r="A458" t="s">
        <v>818</v>
      </c>
      <c r="B458" t="s">
        <v>720</v>
      </c>
      <c r="C458" t="s">
        <v>158</v>
      </c>
      <c r="D458" s="5">
        <v>43984</v>
      </c>
      <c r="E458" s="5">
        <f ca="1">INDIRECT("'Sheet1'!AM59")</f>
        <v>0</v>
      </c>
      <c r="F458" t="b">
        <f t="shared" ca="1" si="25"/>
        <v>0</v>
      </c>
    </row>
    <row r="460" spans="1:6" x14ac:dyDescent="0.25">
      <c r="A460" t="s">
        <v>828</v>
      </c>
      <c r="B460" t="s">
        <v>1141</v>
      </c>
      <c r="C460" t="s">
        <v>159</v>
      </c>
      <c r="D460">
        <v>20.5</v>
      </c>
      <c r="E460">
        <f ca="1">INDIRECT("'Sheet1'!AN60")</f>
        <v>0</v>
      </c>
      <c r="F460" t="b">
        <f t="shared" ref="F460:F461" ca="1" si="26">E460=D460</f>
        <v>0</v>
      </c>
    </row>
    <row r="461" spans="1:6" x14ac:dyDescent="0.25">
      <c r="A461" t="s">
        <v>829</v>
      </c>
      <c r="B461" t="s">
        <v>830</v>
      </c>
      <c r="C461" t="s">
        <v>160</v>
      </c>
      <c r="D461" s="5">
        <v>44531</v>
      </c>
      <c r="E461" s="5">
        <f ca="1">INDIRECT("'Sheet1'!AO60")</f>
        <v>0</v>
      </c>
      <c r="F461" t="b">
        <f t="shared" ca="1" si="26"/>
        <v>0</v>
      </c>
    </row>
    <row r="463" spans="1:6" x14ac:dyDescent="0.25">
      <c r="A463" t="s">
        <v>943</v>
      </c>
      <c r="B463" t="s">
        <v>831</v>
      </c>
      <c r="C463" t="s">
        <v>159</v>
      </c>
      <c r="D463" t="s">
        <v>1641</v>
      </c>
      <c r="E463">
        <f ca="1">INDIRECT("'Sheet1'!AN61")</f>
        <v>0</v>
      </c>
      <c r="F463" t="b">
        <f t="shared" ref="F463:F464" ca="1" si="27">E463=D463</f>
        <v>0</v>
      </c>
    </row>
    <row r="464" spans="1:6" x14ac:dyDescent="0.25">
      <c r="A464" t="s">
        <v>944</v>
      </c>
      <c r="B464" t="s">
        <v>832</v>
      </c>
      <c r="C464" t="s">
        <v>160</v>
      </c>
      <c r="D464" s="5">
        <v>44531</v>
      </c>
      <c r="E464" s="5">
        <f ca="1">INDIRECT("'Sheet1'!AO61")</f>
        <v>0</v>
      </c>
      <c r="F464" t="b">
        <f t="shared" ca="1" si="27"/>
        <v>0</v>
      </c>
    </row>
    <row r="466" spans="1:6" x14ac:dyDescent="0.25">
      <c r="A466" t="s">
        <v>945</v>
      </c>
      <c r="B466" t="s">
        <v>833</v>
      </c>
      <c r="C466" t="s">
        <v>161</v>
      </c>
      <c r="D466">
        <v>20.5</v>
      </c>
      <c r="E466">
        <f ca="1">INDIRECT("'Sheet1'!AP62")</f>
        <v>0</v>
      </c>
      <c r="F466" t="b">
        <f t="shared" ref="F466:F467" ca="1" si="28">E466=D466</f>
        <v>0</v>
      </c>
    </row>
    <row r="467" spans="1:6" x14ac:dyDescent="0.25">
      <c r="A467" t="s">
        <v>946</v>
      </c>
      <c r="B467" t="s">
        <v>834</v>
      </c>
      <c r="C467" t="s">
        <v>162</v>
      </c>
      <c r="D467" s="5">
        <v>44530</v>
      </c>
      <c r="E467" s="5">
        <f ca="1">INDIRECT("'Sheet1'!AQ62")</f>
        <v>0</v>
      </c>
      <c r="F467" t="b">
        <f t="shared" ca="1" si="28"/>
        <v>0</v>
      </c>
    </row>
    <row r="469" spans="1:6" x14ac:dyDescent="0.25">
      <c r="A469" t="s">
        <v>947</v>
      </c>
      <c r="B469" t="s">
        <v>1834</v>
      </c>
      <c r="C469" t="s">
        <v>161</v>
      </c>
      <c r="D469">
        <v>20.5</v>
      </c>
      <c r="E469">
        <f ca="1">INDIRECT("'Sheet1'!AP63")</f>
        <v>0</v>
      </c>
      <c r="F469" t="b">
        <f t="shared" ref="F469:F470" ca="1" si="29">E469=D469</f>
        <v>0</v>
      </c>
    </row>
    <row r="470" spans="1:6" x14ac:dyDescent="0.25">
      <c r="A470" t="s">
        <v>948</v>
      </c>
      <c r="B470" t="s">
        <v>1142</v>
      </c>
      <c r="C470" t="s">
        <v>162</v>
      </c>
      <c r="D470" s="5">
        <v>44530</v>
      </c>
      <c r="E470" s="5">
        <f ca="1">INDIRECT("'Sheet1'!AQ63")</f>
        <v>0</v>
      </c>
      <c r="F470" t="b">
        <f t="shared" ca="1" si="29"/>
        <v>0</v>
      </c>
    </row>
    <row r="472" spans="1:6" x14ac:dyDescent="0.25">
      <c r="A472" t="s">
        <v>949</v>
      </c>
      <c r="B472" t="s">
        <v>835</v>
      </c>
      <c r="C472" t="s">
        <v>163</v>
      </c>
      <c r="D472">
        <v>20.5</v>
      </c>
      <c r="E472">
        <f ca="1">INDIRECT("'Sheet1'!AR64")</f>
        <v>0</v>
      </c>
      <c r="F472" t="b">
        <f t="shared" ref="F472:F473" ca="1" si="30">E472=D472</f>
        <v>0</v>
      </c>
    </row>
    <row r="473" spans="1:6" x14ac:dyDescent="0.25">
      <c r="A473" t="s">
        <v>950</v>
      </c>
      <c r="B473" t="s">
        <v>836</v>
      </c>
      <c r="C473" t="s">
        <v>164</v>
      </c>
      <c r="D473" s="5">
        <v>44256</v>
      </c>
      <c r="E473" s="5">
        <f ca="1">INDIRECT("'Sheet1'!AS64")</f>
        <v>0</v>
      </c>
      <c r="F473" t="b">
        <f t="shared" ca="1" si="30"/>
        <v>0</v>
      </c>
    </row>
    <row r="475" spans="1:6" x14ac:dyDescent="0.25">
      <c r="A475" t="s">
        <v>951</v>
      </c>
      <c r="B475" s="6" t="s">
        <v>837</v>
      </c>
      <c r="C475" t="s">
        <v>165</v>
      </c>
      <c r="D475">
        <v>20</v>
      </c>
      <c r="E475">
        <f ca="1">INDIRECT("'Sheet1'!AT65")</f>
        <v>0</v>
      </c>
      <c r="F475" t="b">
        <f t="shared" ref="F475:F476" ca="1" si="31">E475=D475</f>
        <v>0</v>
      </c>
    </row>
    <row r="476" spans="1:6" x14ac:dyDescent="0.25">
      <c r="A476" t="s">
        <v>953</v>
      </c>
      <c r="B476" s="6" t="s">
        <v>838</v>
      </c>
      <c r="C476" t="s">
        <v>166</v>
      </c>
      <c r="D476" s="5">
        <v>44166</v>
      </c>
      <c r="E476" s="5">
        <f ca="1">INDIRECT("'Sheet1'!AU65")</f>
        <v>0</v>
      </c>
      <c r="F476" t="b">
        <f t="shared" ca="1" si="31"/>
        <v>0</v>
      </c>
    </row>
    <row r="478" spans="1:6" x14ac:dyDescent="0.25">
      <c r="A478" t="s">
        <v>954</v>
      </c>
      <c r="B478" t="s">
        <v>839</v>
      </c>
      <c r="C478" t="s">
        <v>167</v>
      </c>
      <c r="D478">
        <v>20</v>
      </c>
      <c r="E478">
        <f ca="1">INDIRECT("'Sheet1'!AV66")</f>
        <v>0</v>
      </c>
      <c r="F478" t="b">
        <f t="shared" ref="F478:F479" ca="1" si="32">E478=D478</f>
        <v>0</v>
      </c>
    </row>
    <row r="479" spans="1:6" x14ac:dyDescent="0.25">
      <c r="A479" t="s">
        <v>952</v>
      </c>
      <c r="B479" t="s">
        <v>840</v>
      </c>
      <c r="C479" t="s">
        <v>168</v>
      </c>
      <c r="D479" s="5">
        <v>44075</v>
      </c>
      <c r="E479" s="5">
        <f ca="1">INDIRECT("'Sheet1'!AW66")</f>
        <v>0</v>
      </c>
      <c r="F479" t="b">
        <f t="shared" ca="1" si="32"/>
        <v>0</v>
      </c>
    </row>
    <row r="481" spans="1:6" x14ac:dyDescent="0.25">
      <c r="A481" t="s">
        <v>955</v>
      </c>
      <c r="B481" s="6" t="s">
        <v>841</v>
      </c>
      <c r="C481" t="s">
        <v>169</v>
      </c>
      <c r="D481">
        <v>20</v>
      </c>
      <c r="E481">
        <f ca="1">INDIRECT("'Sheet1'!AX67")</f>
        <v>0</v>
      </c>
      <c r="F481" t="b">
        <f t="shared" ref="F481:F482" ca="1" si="33">E481=D481</f>
        <v>0</v>
      </c>
    </row>
    <row r="482" spans="1:6" x14ac:dyDescent="0.25">
      <c r="A482" t="s">
        <v>956</v>
      </c>
      <c r="B482" s="6" t="s">
        <v>842</v>
      </c>
      <c r="C482" t="s">
        <v>170</v>
      </c>
      <c r="D482" s="5">
        <v>44258</v>
      </c>
      <c r="E482" s="5">
        <f ca="1">INDIRECT("'Sheet1'!AY67")</f>
        <v>0</v>
      </c>
      <c r="F482" t="b">
        <f t="shared" ca="1" si="33"/>
        <v>0</v>
      </c>
    </row>
    <row r="484" spans="1:6" x14ac:dyDescent="0.25">
      <c r="A484" t="s">
        <v>957</v>
      </c>
      <c r="B484" t="s">
        <v>843</v>
      </c>
      <c r="C484" t="s">
        <v>171</v>
      </c>
      <c r="D484">
        <v>20</v>
      </c>
      <c r="E484">
        <f ca="1">INDIRECT("'Sheet1'!AZ68")</f>
        <v>0</v>
      </c>
      <c r="F484" t="b">
        <f t="shared" ref="F484:F485" ca="1" si="34">E484=D484</f>
        <v>0</v>
      </c>
    </row>
    <row r="485" spans="1:6" x14ac:dyDescent="0.25">
      <c r="A485" t="s">
        <v>958</v>
      </c>
      <c r="B485" t="s">
        <v>844</v>
      </c>
      <c r="C485" t="s">
        <v>172</v>
      </c>
      <c r="D485" s="5">
        <v>43984</v>
      </c>
      <c r="E485" s="5">
        <f ca="1">INDIRECT("'Sheet1'!BA68")</f>
        <v>0</v>
      </c>
      <c r="F485" t="b">
        <f t="shared" ca="1" si="34"/>
        <v>0</v>
      </c>
    </row>
    <row r="487" spans="1:6" x14ac:dyDescent="0.25">
      <c r="A487" t="s">
        <v>959</v>
      </c>
      <c r="B487" t="s">
        <v>845</v>
      </c>
      <c r="C487" t="s">
        <v>163</v>
      </c>
      <c r="D487">
        <v>20</v>
      </c>
      <c r="E487">
        <f ca="1">INDIRECT("'Sheet1'!AR69")</f>
        <v>0</v>
      </c>
      <c r="F487" t="b">
        <f t="shared" ref="F487:F488" ca="1" si="35">E487=D487</f>
        <v>0</v>
      </c>
    </row>
    <row r="488" spans="1:6" x14ac:dyDescent="0.25">
      <c r="A488" t="s">
        <v>960</v>
      </c>
      <c r="B488" t="s">
        <v>846</v>
      </c>
      <c r="C488" t="s">
        <v>164</v>
      </c>
      <c r="D488" s="5">
        <v>44167</v>
      </c>
      <c r="E488" s="5">
        <f ca="1">INDIRECT("'Sheet1'!AS69")</f>
        <v>0</v>
      </c>
      <c r="F488" t="b">
        <f t="shared" ca="1" si="35"/>
        <v>0</v>
      </c>
    </row>
    <row r="490" spans="1:6" x14ac:dyDescent="0.25">
      <c r="A490" t="s">
        <v>961</v>
      </c>
      <c r="B490" t="s">
        <v>847</v>
      </c>
      <c r="C490" t="s">
        <v>165</v>
      </c>
      <c r="D490">
        <v>20</v>
      </c>
      <c r="E490">
        <f ca="1">INDIRECT("'Sheet1'!AT70")</f>
        <v>0</v>
      </c>
      <c r="F490" t="b">
        <f t="shared" ref="F490:F491" ca="1" si="36">E490=D490</f>
        <v>0</v>
      </c>
    </row>
    <row r="491" spans="1:6" x14ac:dyDescent="0.25">
      <c r="A491" t="s">
        <v>962</v>
      </c>
      <c r="B491" t="s">
        <v>848</v>
      </c>
      <c r="C491" t="s">
        <v>166</v>
      </c>
      <c r="D491" s="5">
        <v>44166</v>
      </c>
      <c r="E491" s="5">
        <f ca="1">INDIRECT("'Sheet1'!AU70")</f>
        <v>0</v>
      </c>
      <c r="F491" t="b">
        <f t="shared" ca="1" si="36"/>
        <v>0</v>
      </c>
    </row>
    <row r="493" spans="1:6" x14ac:dyDescent="0.25">
      <c r="A493" t="s">
        <v>963</v>
      </c>
      <c r="B493" t="s">
        <v>849</v>
      </c>
      <c r="C493" t="s">
        <v>167</v>
      </c>
      <c r="D493">
        <v>20</v>
      </c>
      <c r="E493">
        <f ca="1">INDIRECT("'Sheet1'!AV71")</f>
        <v>0</v>
      </c>
      <c r="F493" t="b">
        <f t="shared" ref="F493:F494" ca="1" si="37">E493=D493</f>
        <v>0</v>
      </c>
    </row>
    <row r="494" spans="1:6" x14ac:dyDescent="0.25">
      <c r="A494" t="s">
        <v>964</v>
      </c>
      <c r="B494" t="s">
        <v>850</v>
      </c>
      <c r="C494" t="s">
        <v>168</v>
      </c>
      <c r="D494" s="5">
        <v>44075</v>
      </c>
      <c r="E494" s="5">
        <f ca="1">INDIRECT("'Sheet1'!AW71")</f>
        <v>0</v>
      </c>
      <c r="F494" t="b">
        <f t="shared" ca="1" si="37"/>
        <v>0</v>
      </c>
    </row>
    <row r="496" spans="1:6" x14ac:dyDescent="0.25">
      <c r="A496" t="s">
        <v>965</v>
      </c>
      <c r="B496" t="s">
        <v>851</v>
      </c>
      <c r="C496" t="s">
        <v>169</v>
      </c>
      <c r="D496">
        <v>20</v>
      </c>
      <c r="E496">
        <f ca="1">INDIRECT("'Sheet1'!AX72")</f>
        <v>0</v>
      </c>
      <c r="F496" t="b">
        <f t="shared" ref="F496:F497" ca="1" si="38">E496=D496</f>
        <v>0</v>
      </c>
    </row>
    <row r="497" spans="1:6" x14ac:dyDescent="0.25">
      <c r="A497" t="s">
        <v>966</v>
      </c>
      <c r="B497" t="s">
        <v>852</v>
      </c>
      <c r="C497" t="s">
        <v>170</v>
      </c>
      <c r="D497" s="5">
        <v>44258</v>
      </c>
      <c r="E497" s="5">
        <f ca="1">INDIRECT("'Sheet1'!AY72")</f>
        <v>0</v>
      </c>
      <c r="F497" t="b">
        <f t="shared" ca="1" si="38"/>
        <v>0</v>
      </c>
    </row>
    <row r="499" spans="1:6" x14ac:dyDescent="0.25">
      <c r="A499" t="s">
        <v>967</v>
      </c>
      <c r="B499" t="s">
        <v>853</v>
      </c>
      <c r="C499" t="s">
        <v>171</v>
      </c>
      <c r="D499">
        <v>20</v>
      </c>
      <c r="E499">
        <f ca="1">INDIRECT("'Sheet1'!AZ73")</f>
        <v>0</v>
      </c>
      <c r="F499" t="b">
        <f t="shared" ref="F499:F500" ca="1" si="39">E499=D499</f>
        <v>0</v>
      </c>
    </row>
    <row r="500" spans="1:6" x14ac:dyDescent="0.25">
      <c r="A500" t="s">
        <v>968</v>
      </c>
      <c r="B500" t="s">
        <v>854</v>
      </c>
      <c r="C500" t="s">
        <v>172</v>
      </c>
      <c r="D500" s="5">
        <v>43984</v>
      </c>
      <c r="E500" s="5">
        <f ca="1">INDIRECT("'Sheet1'!BA73")</f>
        <v>0</v>
      </c>
      <c r="F500" t="b">
        <f t="shared" ca="1" si="39"/>
        <v>0</v>
      </c>
    </row>
    <row r="502" spans="1:6" x14ac:dyDescent="0.25">
      <c r="A502" t="s">
        <v>969</v>
      </c>
      <c r="B502" t="s">
        <v>855</v>
      </c>
      <c r="C502" t="s">
        <v>163</v>
      </c>
      <c r="D502">
        <v>20</v>
      </c>
      <c r="E502">
        <f ca="1">INDIRECT("'Sheet1'!AR74")</f>
        <v>0</v>
      </c>
      <c r="F502" t="b">
        <f t="shared" ref="F502:F505" ca="1" si="40">E502=D502</f>
        <v>0</v>
      </c>
    </row>
    <row r="503" spans="1:6" x14ac:dyDescent="0.25">
      <c r="A503" t="s">
        <v>970</v>
      </c>
      <c r="B503" t="s">
        <v>856</v>
      </c>
      <c r="C503" t="s">
        <v>164</v>
      </c>
      <c r="D503" s="5">
        <v>44167</v>
      </c>
      <c r="E503" s="5">
        <f ca="1">INDIRECT("'Sheet1'!AS74")</f>
        <v>0</v>
      </c>
      <c r="F503" t="b">
        <f t="shared" ca="1" si="40"/>
        <v>0</v>
      </c>
    </row>
    <row r="504" spans="1:6" x14ac:dyDescent="0.25">
      <c r="A504" t="s">
        <v>971</v>
      </c>
      <c r="B504" t="s">
        <v>857</v>
      </c>
      <c r="C504" t="s">
        <v>165</v>
      </c>
      <c r="D504">
        <v>21</v>
      </c>
      <c r="E504">
        <f ca="1">INDIRECT("'Sheet1'!AT74")</f>
        <v>0</v>
      </c>
      <c r="F504" t="b">
        <f t="shared" ca="1" si="40"/>
        <v>0</v>
      </c>
    </row>
    <row r="505" spans="1:6" x14ac:dyDescent="0.25">
      <c r="A505" t="s">
        <v>972</v>
      </c>
      <c r="B505" t="s">
        <v>858</v>
      </c>
      <c r="C505" t="s">
        <v>166</v>
      </c>
      <c r="D505" s="5">
        <v>44166</v>
      </c>
      <c r="E505" s="5">
        <f ca="1">INDIRECT("'Sheet1'!AU74")</f>
        <v>0</v>
      </c>
      <c r="F505" t="b">
        <f t="shared" ca="1" si="40"/>
        <v>0</v>
      </c>
    </row>
    <row r="507" spans="1:6" x14ac:dyDescent="0.25">
      <c r="A507" t="s">
        <v>973</v>
      </c>
      <c r="B507" t="s">
        <v>859</v>
      </c>
      <c r="C507" t="s">
        <v>163</v>
      </c>
      <c r="D507">
        <v>20</v>
      </c>
      <c r="E507">
        <f ca="1">INDIRECT("'Sheet1'!AR75")</f>
        <v>0</v>
      </c>
      <c r="F507" t="b">
        <f t="shared" ref="F507:F510" ca="1" si="41">E507=D507</f>
        <v>0</v>
      </c>
    </row>
    <row r="508" spans="1:6" x14ac:dyDescent="0.25">
      <c r="A508" t="s">
        <v>974</v>
      </c>
      <c r="B508" t="s">
        <v>860</v>
      </c>
      <c r="C508" t="s">
        <v>164</v>
      </c>
      <c r="D508" s="5">
        <v>44257</v>
      </c>
      <c r="E508" s="5">
        <f ca="1">INDIRECT("'Sheet1'!AS75")</f>
        <v>0</v>
      </c>
      <c r="F508" t="b">
        <f t="shared" ca="1" si="41"/>
        <v>0</v>
      </c>
    </row>
    <row r="509" spans="1:6" x14ac:dyDescent="0.25">
      <c r="A509" t="s">
        <v>975</v>
      </c>
      <c r="B509" t="s">
        <v>861</v>
      </c>
      <c r="C509" t="s">
        <v>169</v>
      </c>
      <c r="D509">
        <v>21</v>
      </c>
      <c r="E509">
        <f ca="1">INDIRECT("'Sheet1'!AX75")</f>
        <v>0</v>
      </c>
      <c r="F509" t="b">
        <f t="shared" ca="1" si="41"/>
        <v>0</v>
      </c>
    </row>
    <row r="510" spans="1:6" x14ac:dyDescent="0.25">
      <c r="A510" t="s">
        <v>976</v>
      </c>
      <c r="B510" t="s">
        <v>862</v>
      </c>
      <c r="C510" t="s">
        <v>170</v>
      </c>
      <c r="D510" s="5">
        <v>44258</v>
      </c>
      <c r="E510" s="5">
        <f ca="1">INDIRECT("'Sheet1'!AY75")</f>
        <v>0</v>
      </c>
      <c r="F510" t="b">
        <f t="shared" ca="1" si="41"/>
        <v>0</v>
      </c>
    </row>
    <row r="512" spans="1:6" x14ac:dyDescent="0.25">
      <c r="A512" t="s">
        <v>977</v>
      </c>
      <c r="B512" t="s">
        <v>863</v>
      </c>
      <c r="C512" t="s">
        <v>165</v>
      </c>
      <c r="D512">
        <v>20</v>
      </c>
      <c r="E512">
        <f ca="1">INDIRECT("'Sheet1'!AT76")</f>
        <v>0</v>
      </c>
      <c r="F512" t="b">
        <f t="shared" ref="F512:F515" ca="1" si="42">E512=D512</f>
        <v>0</v>
      </c>
    </row>
    <row r="513" spans="1:6" x14ac:dyDescent="0.25">
      <c r="A513" t="s">
        <v>978</v>
      </c>
      <c r="B513" t="s">
        <v>864</v>
      </c>
      <c r="C513" t="s">
        <v>166</v>
      </c>
      <c r="D513" s="5">
        <v>44076</v>
      </c>
      <c r="E513" s="5">
        <f ca="1">INDIRECT("'Sheet1'!AU76")</f>
        <v>0</v>
      </c>
      <c r="F513" t="b">
        <f t="shared" ca="1" si="42"/>
        <v>0</v>
      </c>
    </row>
    <row r="514" spans="1:6" x14ac:dyDescent="0.25">
      <c r="A514" t="s">
        <v>979</v>
      </c>
      <c r="B514" t="s">
        <v>865</v>
      </c>
      <c r="C514" t="s">
        <v>167</v>
      </c>
      <c r="D514">
        <v>21</v>
      </c>
      <c r="E514">
        <f ca="1">INDIRECT("'Sheet1'!AV76")</f>
        <v>0</v>
      </c>
      <c r="F514" t="b">
        <f t="shared" ca="1" si="42"/>
        <v>0</v>
      </c>
    </row>
    <row r="515" spans="1:6" x14ac:dyDescent="0.25">
      <c r="A515" t="s">
        <v>980</v>
      </c>
      <c r="B515" t="s">
        <v>866</v>
      </c>
      <c r="C515" t="s">
        <v>168</v>
      </c>
      <c r="D515" s="5">
        <v>44075</v>
      </c>
      <c r="E515" s="5">
        <f ca="1">INDIRECT("'Sheet1'!AW76")</f>
        <v>0</v>
      </c>
      <c r="F515" t="b">
        <f t="shared" ca="1" si="42"/>
        <v>0</v>
      </c>
    </row>
    <row r="517" spans="1:6" x14ac:dyDescent="0.25">
      <c r="A517" t="s">
        <v>981</v>
      </c>
      <c r="B517" t="s">
        <v>867</v>
      </c>
      <c r="C517" t="s">
        <v>167</v>
      </c>
      <c r="D517">
        <v>20</v>
      </c>
      <c r="E517">
        <f ca="1">INDIRECT("'Sheet1'!AV77")</f>
        <v>0</v>
      </c>
      <c r="F517" t="b">
        <f t="shared" ref="F517:F520" ca="1" si="43">E517=D517</f>
        <v>0</v>
      </c>
    </row>
    <row r="518" spans="1:6" x14ac:dyDescent="0.25">
      <c r="A518" t="s">
        <v>982</v>
      </c>
      <c r="B518" t="s">
        <v>868</v>
      </c>
      <c r="C518" t="s">
        <v>168</v>
      </c>
      <c r="D518" s="5">
        <v>43985</v>
      </c>
      <c r="E518" s="5">
        <f ca="1">INDIRECT("'Sheet1'!AW77")</f>
        <v>0</v>
      </c>
      <c r="F518" t="b">
        <f t="shared" ca="1" si="43"/>
        <v>0</v>
      </c>
    </row>
    <row r="519" spans="1:6" x14ac:dyDescent="0.25">
      <c r="A519" t="s">
        <v>983</v>
      </c>
      <c r="B519" t="s">
        <v>869</v>
      </c>
      <c r="C519" t="s">
        <v>171</v>
      </c>
      <c r="D519">
        <v>21</v>
      </c>
      <c r="E519">
        <f ca="1">INDIRECT("'Sheet1'!AZ77")</f>
        <v>0</v>
      </c>
      <c r="F519" t="b">
        <f t="shared" ca="1" si="43"/>
        <v>0</v>
      </c>
    </row>
    <row r="520" spans="1:6" x14ac:dyDescent="0.25">
      <c r="A520" t="s">
        <v>984</v>
      </c>
      <c r="B520" t="s">
        <v>870</v>
      </c>
      <c r="C520" t="s">
        <v>172</v>
      </c>
      <c r="D520" s="5">
        <v>43984</v>
      </c>
      <c r="E520" s="5">
        <f ca="1">INDIRECT("'Sheet1'!BA77")</f>
        <v>0</v>
      </c>
      <c r="F520" t="b">
        <f t="shared" ca="1" si="43"/>
        <v>0</v>
      </c>
    </row>
    <row r="522" spans="1:6" x14ac:dyDescent="0.25">
      <c r="A522" t="s">
        <v>985</v>
      </c>
      <c r="B522" t="s">
        <v>871</v>
      </c>
      <c r="C522" t="s">
        <v>169</v>
      </c>
      <c r="D522">
        <v>20</v>
      </c>
      <c r="E522">
        <f ca="1">INDIRECT("'Sheet1'!AX78")</f>
        <v>0</v>
      </c>
      <c r="F522" t="b">
        <f t="shared" ref="F522:F525" ca="1" si="44">E522=D522</f>
        <v>0</v>
      </c>
    </row>
    <row r="523" spans="1:6" x14ac:dyDescent="0.25">
      <c r="A523" t="s">
        <v>986</v>
      </c>
      <c r="B523" t="s">
        <v>872</v>
      </c>
      <c r="C523" t="s">
        <v>170</v>
      </c>
      <c r="D523" s="5">
        <v>44439</v>
      </c>
      <c r="E523" s="5">
        <f ca="1">INDIRECT("'Sheet1'!AY78")</f>
        <v>0</v>
      </c>
      <c r="F523" t="b">
        <f t="shared" ca="1" si="44"/>
        <v>0</v>
      </c>
    </row>
    <row r="524" spans="1:6" x14ac:dyDescent="0.25">
      <c r="A524" t="s">
        <v>987</v>
      </c>
      <c r="B524" t="s">
        <v>873</v>
      </c>
      <c r="C524" t="s">
        <v>161</v>
      </c>
      <c r="D524">
        <v>21</v>
      </c>
      <c r="E524">
        <f ca="1">INDIRECT("'Sheet1'!AP78")</f>
        <v>0</v>
      </c>
      <c r="F524" t="b">
        <f t="shared" ca="1" si="44"/>
        <v>0</v>
      </c>
    </row>
    <row r="525" spans="1:6" x14ac:dyDescent="0.25">
      <c r="A525" t="s">
        <v>988</v>
      </c>
      <c r="B525" t="s">
        <v>874</v>
      </c>
      <c r="C525" t="s">
        <v>162</v>
      </c>
      <c r="D525" s="5">
        <v>44440</v>
      </c>
      <c r="E525" s="5">
        <f ca="1">INDIRECT("'Sheet1'!AQ78")</f>
        <v>0</v>
      </c>
      <c r="F525" t="b">
        <f t="shared" ca="1" si="44"/>
        <v>0</v>
      </c>
    </row>
    <row r="527" spans="1:6" x14ac:dyDescent="0.25">
      <c r="A527" t="s">
        <v>989</v>
      </c>
      <c r="B527" t="s">
        <v>875</v>
      </c>
      <c r="C527" t="s">
        <v>171</v>
      </c>
      <c r="D527">
        <v>20</v>
      </c>
      <c r="E527">
        <f ca="1">INDIRECT("'Sheet1'!AZ79")</f>
        <v>0</v>
      </c>
      <c r="F527" t="b">
        <f t="shared" ref="F527:F530" ca="1" si="45">E527=D527</f>
        <v>0</v>
      </c>
    </row>
    <row r="528" spans="1:6" x14ac:dyDescent="0.25">
      <c r="A528" t="s">
        <v>990</v>
      </c>
      <c r="B528" t="s">
        <v>876</v>
      </c>
      <c r="C528" t="s">
        <v>172</v>
      </c>
      <c r="D528" s="5">
        <v>40879</v>
      </c>
      <c r="E528" s="5">
        <f ca="1">INDIRECT("'Sheet1'!BA79")</f>
        <v>0</v>
      </c>
      <c r="F528" t="b">
        <f t="shared" ca="1" si="45"/>
        <v>0</v>
      </c>
    </row>
    <row r="529" spans="1:6" x14ac:dyDescent="0.25">
      <c r="A529" t="s">
        <v>991</v>
      </c>
      <c r="B529" t="s">
        <v>593</v>
      </c>
      <c r="C529" t="s">
        <v>877</v>
      </c>
      <c r="E529">
        <f ca="1">SUM(
  INDIRECT("'Sheet1'!AX79"),
  INDIRECT("'Sheet1'!AV79"),
  INDIRECT("'Sheet1'!AT79"),
  INDIRECT("'Sheet1'!AR79"),
  INDIRECT("'Sheet1'!AP79"),
  INDIRECT("'Sheet1'!AN79")
)</f>
        <v>0</v>
      </c>
      <c r="F529" t="b">
        <f t="shared" ca="1" si="45"/>
        <v>1</v>
      </c>
    </row>
    <row r="530" spans="1:6" x14ac:dyDescent="0.25">
      <c r="A530" t="s">
        <v>992</v>
      </c>
      <c r="B530" t="s">
        <v>594</v>
      </c>
      <c r="C530" t="s">
        <v>878</v>
      </c>
      <c r="E530">
        <f ca="1">SUM(
  INDIRECT("'Sheet1'!AO79"),
  INDIRECT("'Sheet1'!AQ79"),
  INDIRECT("'Sheet1'!AS79"),
  INDIRECT("'Sheet1'!AU79"),
  INDIRECT("'Sheet1'!AW79"),
  INDIRECT("'Sheet1'!AY79")
)</f>
        <v>0</v>
      </c>
      <c r="F530" t="b">
        <f t="shared" ca="1" si="45"/>
        <v>1</v>
      </c>
    </row>
    <row r="532" spans="1:6" x14ac:dyDescent="0.25">
      <c r="A532" t="s">
        <v>993</v>
      </c>
      <c r="B532" t="s">
        <v>879</v>
      </c>
      <c r="C532" t="s">
        <v>159</v>
      </c>
      <c r="D532">
        <v>20</v>
      </c>
      <c r="E532">
        <f ca="1">INDIRECT("'Sheet1'!AN80")</f>
        <v>0</v>
      </c>
      <c r="F532" t="b">
        <f t="shared" ref="F532:F535" ca="1" si="46">E532=D532</f>
        <v>0</v>
      </c>
    </row>
    <row r="533" spans="1:6" x14ac:dyDescent="0.25">
      <c r="A533" t="s">
        <v>994</v>
      </c>
      <c r="B533" t="s">
        <v>880</v>
      </c>
      <c r="C533" t="s">
        <v>160</v>
      </c>
      <c r="D533" s="5">
        <v>44531</v>
      </c>
      <c r="E533" s="5">
        <f ca="1">INDIRECT("'Sheet1'!AO80")</f>
        <v>0</v>
      </c>
      <c r="F533" t="b">
        <f t="shared" ca="1" si="46"/>
        <v>0</v>
      </c>
    </row>
    <row r="534" spans="1:6" x14ac:dyDescent="0.25">
      <c r="A534" t="s">
        <v>995</v>
      </c>
      <c r="B534" t="s">
        <v>881</v>
      </c>
      <c r="C534" t="s">
        <v>161</v>
      </c>
      <c r="D534">
        <v>21</v>
      </c>
      <c r="E534">
        <f ca="1">INDIRECT("'Sheet1'!AP80")</f>
        <v>0</v>
      </c>
      <c r="F534" t="b">
        <f t="shared" ca="1" si="46"/>
        <v>0</v>
      </c>
    </row>
    <row r="535" spans="1:6" x14ac:dyDescent="0.25">
      <c r="A535" t="s">
        <v>996</v>
      </c>
      <c r="B535" t="s">
        <v>882</v>
      </c>
      <c r="C535" t="s">
        <v>162</v>
      </c>
      <c r="D535" s="5">
        <v>44530</v>
      </c>
      <c r="E535" s="5">
        <f ca="1">INDIRECT("'Sheet1'!AQ80")</f>
        <v>0</v>
      </c>
      <c r="F535" t="b">
        <f t="shared" ca="1" si="46"/>
        <v>0</v>
      </c>
    </row>
    <row r="537" spans="1:6" x14ac:dyDescent="0.25">
      <c r="A537" t="s">
        <v>997</v>
      </c>
      <c r="B537" t="s">
        <v>883</v>
      </c>
      <c r="C537" t="s">
        <v>159</v>
      </c>
      <c r="D537">
        <v>20</v>
      </c>
      <c r="E537">
        <f ca="1">INDIRECT("'Sheet1'!AN81")</f>
        <v>0</v>
      </c>
      <c r="F537" t="b">
        <f t="shared" ref="F537:F540" ca="1" si="47">E537=D537</f>
        <v>0</v>
      </c>
    </row>
    <row r="538" spans="1:6" x14ac:dyDescent="0.25">
      <c r="A538" t="s">
        <v>998</v>
      </c>
      <c r="B538" t="s">
        <v>884</v>
      </c>
      <c r="C538" t="s">
        <v>160</v>
      </c>
      <c r="D538" s="5">
        <v>44622</v>
      </c>
      <c r="E538">
        <f ca="1">INDIRECT("'Sheet1'!AO81")</f>
        <v>0</v>
      </c>
      <c r="F538" t="b">
        <f t="shared" ca="1" si="47"/>
        <v>0</v>
      </c>
    </row>
    <row r="539" spans="1:6" x14ac:dyDescent="0.25">
      <c r="A539" t="s">
        <v>999</v>
      </c>
      <c r="B539" t="s">
        <v>627</v>
      </c>
      <c r="C539" t="s">
        <v>885</v>
      </c>
      <c r="E539">
        <f ca="1">SUM(
  INDIRECT("'Sheet1'!AP81"),
  INDIRECT("'Sheet1'!AR81"),
  INDIRECT("'Sheet1'!AT81"),
  INDIRECT("'Sheet1'!AV81"),
  INDIRECT("'Sheet1'!AX81"),
  INDIRECT("'Sheet1'!AZ81")
)</f>
        <v>0</v>
      </c>
      <c r="F539" t="b">
        <f t="shared" ca="1" si="47"/>
        <v>1</v>
      </c>
    </row>
    <row r="540" spans="1:6" x14ac:dyDescent="0.25">
      <c r="A540" t="s">
        <v>1000</v>
      </c>
      <c r="B540" t="s">
        <v>628</v>
      </c>
      <c r="C540" t="s">
        <v>886</v>
      </c>
      <c r="E540">
        <f ca="1">SUM(
  INDIRECT("'Sheet1'!AQ81"),
  INDIRECT("'Sheet1'!AS81"),
  INDIRECT("'Sheet1'!AU81"),
  INDIRECT("'Sheet1'!AW81"),
  INDIRECT("'Sheet1'!AY81"),
  INDIRECT("'Sheet1'!BA81")
)</f>
        <v>0</v>
      </c>
      <c r="F540" t="b">
        <f t="shared" ca="1" si="47"/>
        <v>1</v>
      </c>
    </row>
    <row r="542" spans="1:6" x14ac:dyDescent="0.25">
      <c r="A542" t="s">
        <v>1001</v>
      </c>
      <c r="B542" t="s">
        <v>887</v>
      </c>
      <c r="C542" t="s">
        <v>159</v>
      </c>
      <c r="D542">
        <v>20</v>
      </c>
      <c r="E542">
        <f ca="1">INDIRECT("'Sheet1'!AN82")</f>
        <v>0</v>
      </c>
      <c r="F542" t="b">
        <f t="shared" ref="F542:F555" ca="1" si="48">E542=D542</f>
        <v>0</v>
      </c>
    </row>
    <row r="543" spans="1:6" x14ac:dyDescent="0.25">
      <c r="A543" t="s">
        <v>1002</v>
      </c>
      <c r="B543" t="s">
        <v>888</v>
      </c>
      <c r="C543" t="s">
        <v>160</v>
      </c>
      <c r="D543" s="5">
        <v>44531</v>
      </c>
      <c r="E543" s="5">
        <f ca="1">INDIRECT("'Sheet1'!AO82")</f>
        <v>0</v>
      </c>
      <c r="F543" t="b">
        <f t="shared" ca="1" si="48"/>
        <v>0</v>
      </c>
    </row>
    <row r="544" spans="1:6" x14ac:dyDescent="0.25">
      <c r="A544" t="s">
        <v>1003</v>
      </c>
      <c r="B544" t="s">
        <v>889</v>
      </c>
      <c r="C544" t="s">
        <v>161</v>
      </c>
      <c r="D544">
        <v>21</v>
      </c>
      <c r="E544">
        <f ca="1">INDIRECT("'Sheet1'!AP82")</f>
        <v>0</v>
      </c>
      <c r="F544" t="b">
        <f t="shared" ca="1" si="48"/>
        <v>0</v>
      </c>
    </row>
    <row r="545" spans="1:6" x14ac:dyDescent="0.25">
      <c r="A545" t="s">
        <v>1004</v>
      </c>
      <c r="B545" t="s">
        <v>890</v>
      </c>
      <c r="C545" t="s">
        <v>162</v>
      </c>
      <c r="D545" s="5">
        <v>44530</v>
      </c>
      <c r="E545" s="5">
        <f ca="1">INDIRECT("'Sheet1'!AQ82")</f>
        <v>0</v>
      </c>
      <c r="F545" t="b">
        <f t="shared" ca="1" si="48"/>
        <v>0</v>
      </c>
    </row>
    <row r="546" spans="1:6" x14ac:dyDescent="0.25">
      <c r="A546" t="s">
        <v>1005</v>
      </c>
      <c r="B546" t="s">
        <v>891</v>
      </c>
      <c r="C546" t="s">
        <v>163</v>
      </c>
      <c r="D546">
        <v>22</v>
      </c>
      <c r="E546">
        <f ca="1">INDIRECT("'Sheet1'!AR82")</f>
        <v>0</v>
      </c>
      <c r="F546" t="b">
        <f t="shared" ca="1" si="48"/>
        <v>0</v>
      </c>
    </row>
    <row r="547" spans="1:6" x14ac:dyDescent="0.25">
      <c r="A547" t="s">
        <v>1006</v>
      </c>
      <c r="B547" t="s">
        <v>892</v>
      </c>
      <c r="C547" t="s">
        <v>164</v>
      </c>
      <c r="D547" s="5">
        <v>44257</v>
      </c>
      <c r="E547" s="5">
        <f ca="1">INDIRECT("'Sheet1'!AS82")</f>
        <v>0</v>
      </c>
      <c r="F547" t="b">
        <f t="shared" ca="1" si="48"/>
        <v>0</v>
      </c>
    </row>
    <row r="548" spans="1:6" x14ac:dyDescent="0.25">
      <c r="A548" t="s">
        <v>1007</v>
      </c>
      <c r="B548" t="s">
        <v>893</v>
      </c>
      <c r="C548" t="s">
        <v>165</v>
      </c>
      <c r="D548">
        <v>23</v>
      </c>
      <c r="E548">
        <f ca="1">INDIRECT("'Sheet1'!AT82")</f>
        <v>0</v>
      </c>
      <c r="F548" t="b">
        <f t="shared" ca="1" si="48"/>
        <v>0</v>
      </c>
    </row>
    <row r="549" spans="1:6" x14ac:dyDescent="0.25">
      <c r="A549" t="s">
        <v>1008</v>
      </c>
      <c r="B549" t="s">
        <v>894</v>
      </c>
      <c r="C549" t="s">
        <v>166</v>
      </c>
      <c r="D549" s="5">
        <v>44166</v>
      </c>
      <c r="E549" s="5">
        <f ca="1">INDIRECT("'Sheet1'!AU82")</f>
        <v>0</v>
      </c>
      <c r="F549" t="b">
        <f t="shared" ca="1" si="48"/>
        <v>0</v>
      </c>
    </row>
    <row r="550" spans="1:6" x14ac:dyDescent="0.25">
      <c r="A550" t="s">
        <v>1009</v>
      </c>
      <c r="B550" t="s">
        <v>895</v>
      </c>
      <c r="C550" t="s">
        <v>167</v>
      </c>
      <c r="D550">
        <v>24</v>
      </c>
      <c r="E550">
        <f ca="1">INDIRECT("'Sheet1'!AV82")</f>
        <v>0</v>
      </c>
      <c r="F550" t="b">
        <f t="shared" ca="1" si="48"/>
        <v>0</v>
      </c>
    </row>
    <row r="551" spans="1:6" x14ac:dyDescent="0.25">
      <c r="A551" t="s">
        <v>1010</v>
      </c>
      <c r="B551" t="s">
        <v>896</v>
      </c>
      <c r="C551" t="s">
        <v>168</v>
      </c>
      <c r="D551" s="5">
        <v>44075</v>
      </c>
      <c r="E551" s="5">
        <f ca="1">INDIRECT("'Sheet1'!AW82")</f>
        <v>0</v>
      </c>
      <c r="F551" t="b">
        <f t="shared" ca="1" si="48"/>
        <v>0</v>
      </c>
    </row>
    <row r="552" spans="1:6" x14ac:dyDescent="0.25">
      <c r="A552" t="s">
        <v>1011</v>
      </c>
      <c r="B552" t="s">
        <v>897</v>
      </c>
      <c r="C552" t="s">
        <v>169</v>
      </c>
      <c r="D552">
        <v>25</v>
      </c>
      <c r="E552">
        <f ca="1">INDIRECT("'Sheet1'!AX82")</f>
        <v>0</v>
      </c>
      <c r="F552" t="b">
        <f t="shared" ca="1" si="48"/>
        <v>0</v>
      </c>
    </row>
    <row r="553" spans="1:6" x14ac:dyDescent="0.25">
      <c r="A553" t="s">
        <v>1012</v>
      </c>
      <c r="B553" t="s">
        <v>898</v>
      </c>
      <c r="C553" t="s">
        <v>170</v>
      </c>
      <c r="D553" s="5">
        <v>44439</v>
      </c>
      <c r="E553" s="5">
        <f ca="1">INDIRECT("'Sheet1'!AY82")</f>
        <v>0</v>
      </c>
      <c r="F553" t="b">
        <f t="shared" ca="1" si="48"/>
        <v>0</v>
      </c>
    </row>
    <row r="554" spans="1:6" x14ac:dyDescent="0.25">
      <c r="A554" t="s">
        <v>1013</v>
      </c>
      <c r="B554" t="s">
        <v>899</v>
      </c>
      <c r="C554" t="s">
        <v>171</v>
      </c>
      <c r="D554">
        <v>26</v>
      </c>
      <c r="E554">
        <f ca="1">INDIRECT("'Sheet1'!AZ82")</f>
        <v>0</v>
      </c>
      <c r="F554" t="b">
        <f t="shared" ca="1" si="48"/>
        <v>0</v>
      </c>
    </row>
    <row r="555" spans="1:6" x14ac:dyDescent="0.25">
      <c r="A555" t="s">
        <v>1014</v>
      </c>
      <c r="B555" t="s">
        <v>900</v>
      </c>
      <c r="C555" t="s">
        <v>172</v>
      </c>
      <c r="D555" s="5">
        <v>43984</v>
      </c>
      <c r="E555" s="5">
        <f ca="1">INDIRECT("'Sheet1'!BA82")</f>
        <v>0</v>
      </c>
      <c r="F555" t="b">
        <f t="shared" ca="1" si="48"/>
        <v>0</v>
      </c>
    </row>
    <row r="557" spans="1:6" x14ac:dyDescent="0.25">
      <c r="A557" t="s">
        <v>1015</v>
      </c>
      <c r="B557" t="s">
        <v>901</v>
      </c>
      <c r="C557" t="s">
        <v>159</v>
      </c>
      <c r="E557">
        <f ca="1">INDIRECT("'Sheet1'!AN83")</f>
        <v>0</v>
      </c>
      <c r="F557" t="b">
        <f t="shared" ref="F557:F570" ca="1" si="49">E557=D557</f>
        <v>1</v>
      </c>
    </row>
    <row r="558" spans="1:6" x14ac:dyDescent="0.25">
      <c r="A558" t="s">
        <v>1016</v>
      </c>
      <c r="B558" t="s">
        <v>902</v>
      </c>
      <c r="C558" t="s">
        <v>160</v>
      </c>
      <c r="E558">
        <f ca="1">INDIRECT("'Sheet1'!AO83")</f>
        <v>0</v>
      </c>
      <c r="F558" t="b">
        <f t="shared" ca="1" si="49"/>
        <v>1</v>
      </c>
    </row>
    <row r="559" spans="1:6" x14ac:dyDescent="0.25">
      <c r="A559" t="s">
        <v>1017</v>
      </c>
      <c r="B559" t="s">
        <v>903</v>
      </c>
      <c r="C559" t="s">
        <v>161</v>
      </c>
      <c r="E559">
        <f ca="1">INDIRECT("'Sheet1'!AP83")</f>
        <v>0</v>
      </c>
      <c r="F559" t="b">
        <f t="shared" ca="1" si="49"/>
        <v>1</v>
      </c>
    </row>
    <row r="560" spans="1:6" x14ac:dyDescent="0.25">
      <c r="A560" t="s">
        <v>1018</v>
      </c>
      <c r="B560" t="s">
        <v>904</v>
      </c>
      <c r="C560" t="s">
        <v>162</v>
      </c>
      <c r="E560">
        <f ca="1">INDIRECT("'Sheet1'!AQ83")</f>
        <v>0</v>
      </c>
      <c r="F560" t="b">
        <f t="shared" ca="1" si="49"/>
        <v>1</v>
      </c>
    </row>
    <row r="561" spans="1:6" x14ac:dyDescent="0.25">
      <c r="A561" t="s">
        <v>1019</v>
      </c>
      <c r="B561" t="s">
        <v>905</v>
      </c>
      <c r="C561" t="s">
        <v>163</v>
      </c>
      <c r="E561">
        <f ca="1">INDIRECT("'Sheet1'!AR83")</f>
        <v>0</v>
      </c>
      <c r="F561" t="b">
        <f t="shared" ca="1" si="49"/>
        <v>1</v>
      </c>
    </row>
    <row r="562" spans="1:6" x14ac:dyDescent="0.25">
      <c r="A562" t="s">
        <v>1020</v>
      </c>
      <c r="B562" t="s">
        <v>906</v>
      </c>
      <c r="C562" t="s">
        <v>164</v>
      </c>
      <c r="E562">
        <f ca="1">INDIRECT("'Sheet1'!AS83")</f>
        <v>0</v>
      </c>
      <c r="F562" t="b">
        <f t="shared" ca="1" si="49"/>
        <v>1</v>
      </c>
    </row>
    <row r="563" spans="1:6" x14ac:dyDescent="0.25">
      <c r="A563" t="s">
        <v>1021</v>
      </c>
      <c r="B563" t="s">
        <v>907</v>
      </c>
      <c r="C563" t="s">
        <v>165</v>
      </c>
      <c r="E563">
        <f ca="1">INDIRECT("'Sheet1'!AT83")</f>
        <v>0</v>
      </c>
      <c r="F563" t="b">
        <f t="shared" ca="1" si="49"/>
        <v>1</v>
      </c>
    </row>
    <row r="564" spans="1:6" x14ac:dyDescent="0.25">
      <c r="A564" t="s">
        <v>1022</v>
      </c>
      <c r="B564" t="s">
        <v>908</v>
      </c>
      <c r="C564" t="s">
        <v>166</v>
      </c>
      <c r="E564">
        <f ca="1">INDIRECT("'Sheet1'!AU83")</f>
        <v>0</v>
      </c>
      <c r="F564" t="b">
        <f t="shared" ca="1" si="49"/>
        <v>1</v>
      </c>
    </row>
    <row r="565" spans="1:6" x14ac:dyDescent="0.25">
      <c r="A565" t="s">
        <v>1023</v>
      </c>
      <c r="B565" t="s">
        <v>909</v>
      </c>
      <c r="C565" t="s">
        <v>167</v>
      </c>
      <c r="E565">
        <f ca="1">INDIRECT("'Sheet1'!AV83")</f>
        <v>0</v>
      </c>
      <c r="F565" t="b">
        <f t="shared" ca="1" si="49"/>
        <v>1</v>
      </c>
    </row>
    <row r="566" spans="1:6" x14ac:dyDescent="0.25">
      <c r="A566" t="s">
        <v>1024</v>
      </c>
      <c r="B566" t="s">
        <v>910</v>
      </c>
      <c r="C566" t="s">
        <v>168</v>
      </c>
      <c r="E566">
        <f ca="1">INDIRECT("'Sheet1'!AW83")</f>
        <v>0</v>
      </c>
      <c r="F566" t="b">
        <f t="shared" ca="1" si="49"/>
        <v>1</v>
      </c>
    </row>
    <row r="567" spans="1:6" x14ac:dyDescent="0.25">
      <c r="A567" t="s">
        <v>1025</v>
      </c>
      <c r="B567" t="s">
        <v>911</v>
      </c>
      <c r="C567" t="s">
        <v>169</v>
      </c>
      <c r="E567">
        <f ca="1">INDIRECT("'Sheet1'!AX83")</f>
        <v>0</v>
      </c>
      <c r="F567" t="b">
        <f t="shared" ca="1" si="49"/>
        <v>1</v>
      </c>
    </row>
    <row r="568" spans="1:6" x14ac:dyDescent="0.25">
      <c r="A568" t="s">
        <v>1026</v>
      </c>
      <c r="B568" t="s">
        <v>912</v>
      </c>
      <c r="C568" t="s">
        <v>170</v>
      </c>
      <c r="E568">
        <f ca="1">INDIRECT("'Sheet1'!AY83")</f>
        <v>0</v>
      </c>
      <c r="F568" t="b">
        <f t="shared" ca="1" si="49"/>
        <v>1</v>
      </c>
    </row>
    <row r="569" spans="1:6" x14ac:dyDescent="0.25">
      <c r="A569" t="s">
        <v>1027</v>
      </c>
      <c r="B569" t="s">
        <v>913</v>
      </c>
      <c r="C569" t="s">
        <v>171</v>
      </c>
      <c r="E569">
        <f ca="1">INDIRECT("'Sheet1'!AZ83")</f>
        <v>0</v>
      </c>
      <c r="F569" t="b">
        <f t="shared" ca="1" si="49"/>
        <v>1</v>
      </c>
    </row>
    <row r="570" spans="1:6" x14ac:dyDescent="0.25">
      <c r="A570" t="s">
        <v>1028</v>
      </c>
      <c r="B570" t="s">
        <v>914</v>
      </c>
      <c r="C570" t="s">
        <v>172</v>
      </c>
      <c r="E570">
        <f ca="1">INDIRECT("'Sheet1'!BA83")</f>
        <v>0</v>
      </c>
      <c r="F570" t="b">
        <f t="shared" ca="1" si="49"/>
        <v>1</v>
      </c>
    </row>
    <row r="572" spans="1:6" x14ac:dyDescent="0.25">
      <c r="A572" t="s">
        <v>1029</v>
      </c>
      <c r="B572" t="s">
        <v>915</v>
      </c>
      <c r="C572" t="s">
        <v>159</v>
      </c>
      <c r="E572">
        <f ca="1">INDIRECT("'Sheet1'!AN84")</f>
        <v>0</v>
      </c>
      <c r="F572" t="b">
        <f t="shared" ref="F572:F585" ca="1" si="50">E572=D572</f>
        <v>1</v>
      </c>
    </row>
    <row r="573" spans="1:6" x14ac:dyDescent="0.25">
      <c r="A573" t="s">
        <v>1030</v>
      </c>
      <c r="B573" t="s">
        <v>916</v>
      </c>
      <c r="C573" t="s">
        <v>160</v>
      </c>
      <c r="E573">
        <f ca="1">INDIRECT("'Sheet1'!AO84")</f>
        <v>0</v>
      </c>
      <c r="F573" t="b">
        <f t="shared" ca="1" si="50"/>
        <v>1</v>
      </c>
    </row>
    <row r="574" spans="1:6" x14ac:dyDescent="0.25">
      <c r="A574" t="s">
        <v>1031</v>
      </c>
      <c r="B574" t="s">
        <v>917</v>
      </c>
      <c r="C574" t="s">
        <v>161</v>
      </c>
      <c r="E574">
        <f ca="1">INDIRECT("'Sheet1'!AP84")</f>
        <v>0</v>
      </c>
      <c r="F574" t="b">
        <f t="shared" ca="1" si="50"/>
        <v>1</v>
      </c>
    </row>
    <row r="575" spans="1:6" x14ac:dyDescent="0.25">
      <c r="A575" t="s">
        <v>1032</v>
      </c>
      <c r="B575" t="s">
        <v>918</v>
      </c>
      <c r="C575" t="s">
        <v>162</v>
      </c>
      <c r="E575">
        <f ca="1">INDIRECT("'Sheet1'!AQ84")</f>
        <v>0</v>
      </c>
      <c r="F575" t="b">
        <f t="shared" ca="1" si="50"/>
        <v>1</v>
      </c>
    </row>
    <row r="576" spans="1:6" x14ac:dyDescent="0.25">
      <c r="A576" t="s">
        <v>1033</v>
      </c>
      <c r="B576" t="s">
        <v>919</v>
      </c>
      <c r="C576" t="s">
        <v>163</v>
      </c>
      <c r="E576">
        <f ca="1">INDIRECT("'Sheet1'!AR84")</f>
        <v>0</v>
      </c>
      <c r="F576" t="b">
        <f t="shared" ca="1" si="50"/>
        <v>1</v>
      </c>
    </row>
    <row r="577" spans="1:6" x14ac:dyDescent="0.25">
      <c r="A577" t="s">
        <v>1034</v>
      </c>
      <c r="B577" t="s">
        <v>920</v>
      </c>
      <c r="C577" t="s">
        <v>164</v>
      </c>
      <c r="E577">
        <f ca="1">INDIRECT("'Sheet1'!AS84")</f>
        <v>0</v>
      </c>
      <c r="F577" t="b">
        <f t="shared" ca="1" si="50"/>
        <v>1</v>
      </c>
    </row>
    <row r="578" spans="1:6" x14ac:dyDescent="0.25">
      <c r="A578" t="s">
        <v>1035</v>
      </c>
      <c r="B578" t="s">
        <v>921</v>
      </c>
      <c r="C578" t="s">
        <v>165</v>
      </c>
      <c r="E578">
        <f ca="1">INDIRECT("'Sheet1'!AT84")</f>
        <v>0</v>
      </c>
      <c r="F578" t="b">
        <f t="shared" ca="1" si="50"/>
        <v>1</v>
      </c>
    </row>
    <row r="579" spans="1:6" x14ac:dyDescent="0.25">
      <c r="A579" t="s">
        <v>1036</v>
      </c>
      <c r="B579" t="s">
        <v>922</v>
      </c>
      <c r="C579" t="s">
        <v>166</v>
      </c>
      <c r="E579">
        <f ca="1">INDIRECT("'Sheet1'!AU84")</f>
        <v>0</v>
      </c>
      <c r="F579" t="b">
        <f t="shared" ca="1" si="50"/>
        <v>1</v>
      </c>
    </row>
    <row r="580" spans="1:6" x14ac:dyDescent="0.25">
      <c r="A580" t="s">
        <v>1037</v>
      </c>
      <c r="B580" t="s">
        <v>923</v>
      </c>
      <c r="C580" t="s">
        <v>167</v>
      </c>
      <c r="E580">
        <f ca="1">INDIRECT("'Sheet1'!AV84")</f>
        <v>0</v>
      </c>
      <c r="F580" t="b">
        <f t="shared" ca="1" si="50"/>
        <v>1</v>
      </c>
    </row>
    <row r="581" spans="1:6" x14ac:dyDescent="0.25">
      <c r="A581" t="s">
        <v>1038</v>
      </c>
      <c r="B581" t="s">
        <v>924</v>
      </c>
      <c r="C581" t="s">
        <v>168</v>
      </c>
      <c r="E581">
        <f ca="1">INDIRECT("'Sheet1'!AW84")</f>
        <v>0</v>
      </c>
      <c r="F581" t="b">
        <f t="shared" ca="1" si="50"/>
        <v>1</v>
      </c>
    </row>
    <row r="582" spans="1:6" x14ac:dyDescent="0.25">
      <c r="A582" t="s">
        <v>1039</v>
      </c>
      <c r="B582" t="s">
        <v>925</v>
      </c>
      <c r="C582" t="s">
        <v>169</v>
      </c>
      <c r="E582">
        <f ca="1">INDIRECT("'Sheet1'!AX84")</f>
        <v>0</v>
      </c>
      <c r="F582" t="b">
        <f t="shared" ca="1" si="50"/>
        <v>1</v>
      </c>
    </row>
    <row r="583" spans="1:6" x14ac:dyDescent="0.25">
      <c r="A583" t="s">
        <v>1040</v>
      </c>
      <c r="B583" t="s">
        <v>926</v>
      </c>
      <c r="C583" t="s">
        <v>170</v>
      </c>
      <c r="E583">
        <f ca="1">INDIRECT("'Sheet1'!AY84")</f>
        <v>0</v>
      </c>
      <c r="F583" t="b">
        <f t="shared" ca="1" si="50"/>
        <v>1</v>
      </c>
    </row>
    <row r="584" spans="1:6" x14ac:dyDescent="0.25">
      <c r="A584" t="s">
        <v>1041</v>
      </c>
      <c r="B584" t="s">
        <v>927</v>
      </c>
      <c r="C584" t="s">
        <v>171</v>
      </c>
      <c r="E584">
        <f ca="1">INDIRECT("'Sheet1'!AZ84")</f>
        <v>0</v>
      </c>
      <c r="F584" t="b">
        <f t="shared" ca="1" si="50"/>
        <v>1</v>
      </c>
    </row>
    <row r="585" spans="1:6" x14ac:dyDescent="0.25">
      <c r="A585" t="s">
        <v>1042</v>
      </c>
      <c r="B585" t="s">
        <v>928</v>
      </c>
      <c r="C585" t="s">
        <v>172</v>
      </c>
      <c r="E585">
        <f ca="1">INDIRECT("'Sheet1'!BA84")</f>
        <v>0</v>
      </c>
      <c r="F585" t="b">
        <f t="shared" ca="1" si="50"/>
        <v>1</v>
      </c>
    </row>
    <row r="587" spans="1:6" x14ac:dyDescent="0.25">
      <c r="A587" t="s">
        <v>1043</v>
      </c>
      <c r="B587" t="s">
        <v>929</v>
      </c>
      <c r="C587" t="s">
        <v>159</v>
      </c>
      <c r="D587">
        <v>20</v>
      </c>
      <c r="E587">
        <f ca="1">INDIRECT("'Sheet1'!AN85")</f>
        <v>0</v>
      </c>
      <c r="F587" t="b">
        <f t="shared" ref="F587:F600" ca="1" si="51">E587=D587</f>
        <v>0</v>
      </c>
    </row>
    <row r="588" spans="1:6" x14ac:dyDescent="0.25">
      <c r="A588" t="s">
        <v>1044</v>
      </c>
      <c r="B588" t="s">
        <v>930</v>
      </c>
      <c r="C588" t="s">
        <v>160</v>
      </c>
      <c r="D588" s="5">
        <v>44531</v>
      </c>
      <c r="E588" s="5">
        <f ca="1">INDIRECT("'Sheet1'!AO85")</f>
        <v>0</v>
      </c>
      <c r="F588" t="b">
        <f t="shared" ca="1" si="51"/>
        <v>0</v>
      </c>
    </row>
    <row r="589" spans="1:6" x14ac:dyDescent="0.25">
      <c r="A589" t="s">
        <v>1045</v>
      </c>
      <c r="B589" t="s">
        <v>931</v>
      </c>
      <c r="C589" t="s">
        <v>161</v>
      </c>
      <c r="D589">
        <v>21</v>
      </c>
      <c r="E589">
        <f ca="1">INDIRECT("'Sheet1'!AP85")</f>
        <v>0</v>
      </c>
      <c r="F589" t="b">
        <f t="shared" ca="1" si="51"/>
        <v>0</v>
      </c>
    </row>
    <row r="590" spans="1:6" x14ac:dyDescent="0.25">
      <c r="A590" t="s">
        <v>1046</v>
      </c>
      <c r="B590" t="s">
        <v>932</v>
      </c>
      <c r="C590" t="s">
        <v>162</v>
      </c>
      <c r="D590" s="5">
        <v>44530</v>
      </c>
      <c r="E590" s="5">
        <f ca="1">INDIRECT("'Sheet1'!AQ85")</f>
        <v>0</v>
      </c>
      <c r="F590" t="b">
        <f t="shared" ca="1" si="51"/>
        <v>0</v>
      </c>
    </row>
    <row r="591" spans="1:6" x14ac:dyDescent="0.25">
      <c r="A591" t="s">
        <v>1047</v>
      </c>
      <c r="B591" t="s">
        <v>933</v>
      </c>
      <c r="C591" t="s">
        <v>163</v>
      </c>
      <c r="D591">
        <v>22</v>
      </c>
      <c r="E591">
        <f ca="1">INDIRECT("'Sheet1'!AR85")</f>
        <v>0</v>
      </c>
      <c r="F591" t="b">
        <f t="shared" ca="1" si="51"/>
        <v>0</v>
      </c>
    </row>
    <row r="592" spans="1:6" x14ac:dyDescent="0.25">
      <c r="A592" t="s">
        <v>1048</v>
      </c>
      <c r="B592" t="s">
        <v>934</v>
      </c>
      <c r="C592" t="s">
        <v>164</v>
      </c>
      <c r="D592" s="5">
        <v>44257</v>
      </c>
      <c r="E592" s="5">
        <f ca="1">INDIRECT("'Sheet1'!AS85")</f>
        <v>0</v>
      </c>
      <c r="F592" t="b">
        <f t="shared" ca="1" si="51"/>
        <v>0</v>
      </c>
    </row>
    <row r="593" spans="1:6" x14ac:dyDescent="0.25">
      <c r="A593" t="s">
        <v>1049</v>
      </c>
      <c r="B593" t="s">
        <v>935</v>
      </c>
      <c r="C593" t="s">
        <v>165</v>
      </c>
      <c r="D593">
        <v>23</v>
      </c>
      <c r="E593">
        <f ca="1">INDIRECT("'Sheet1'!AT85")</f>
        <v>0</v>
      </c>
      <c r="F593" t="b">
        <f t="shared" ca="1" si="51"/>
        <v>0</v>
      </c>
    </row>
    <row r="594" spans="1:6" x14ac:dyDescent="0.25">
      <c r="A594" t="s">
        <v>1050</v>
      </c>
      <c r="B594" t="s">
        <v>936</v>
      </c>
      <c r="C594" t="s">
        <v>166</v>
      </c>
      <c r="D594" s="5">
        <v>44166</v>
      </c>
      <c r="E594" s="5">
        <f ca="1">INDIRECT("'Sheet1'!AU85")</f>
        <v>0</v>
      </c>
      <c r="F594" t="b">
        <f t="shared" ca="1" si="51"/>
        <v>0</v>
      </c>
    </row>
    <row r="595" spans="1:6" x14ac:dyDescent="0.25">
      <c r="A595" t="s">
        <v>1051</v>
      </c>
      <c r="B595" t="s">
        <v>937</v>
      </c>
      <c r="C595" t="s">
        <v>167</v>
      </c>
      <c r="D595">
        <v>24</v>
      </c>
      <c r="E595">
        <f ca="1">INDIRECT("'Sheet1'!AV85")</f>
        <v>0</v>
      </c>
      <c r="F595" t="b">
        <f t="shared" ca="1" si="51"/>
        <v>0</v>
      </c>
    </row>
    <row r="596" spans="1:6" x14ac:dyDescent="0.25">
      <c r="A596" t="s">
        <v>1052</v>
      </c>
      <c r="B596" t="s">
        <v>938</v>
      </c>
      <c r="C596" t="s">
        <v>168</v>
      </c>
      <c r="D596" s="5">
        <v>44075</v>
      </c>
      <c r="E596" s="5">
        <f ca="1">INDIRECT("'Sheet1'!AW85")</f>
        <v>0</v>
      </c>
      <c r="F596" t="b">
        <f t="shared" ca="1" si="51"/>
        <v>0</v>
      </c>
    </row>
    <row r="597" spans="1:6" x14ac:dyDescent="0.25">
      <c r="A597" t="s">
        <v>1053</v>
      </c>
      <c r="B597" t="s">
        <v>939</v>
      </c>
      <c r="C597" t="s">
        <v>169</v>
      </c>
      <c r="D597">
        <v>25</v>
      </c>
      <c r="E597">
        <f ca="1">INDIRECT("'Sheet1'!AX85")</f>
        <v>0</v>
      </c>
      <c r="F597" t="b">
        <f t="shared" ca="1" si="51"/>
        <v>0</v>
      </c>
    </row>
    <row r="598" spans="1:6" x14ac:dyDescent="0.25">
      <c r="A598" t="s">
        <v>1054</v>
      </c>
      <c r="B598" t="s">
        <v>940</v>
      </c>
      <c r="C598" t="s">
        <v>170</v>
      </c>
      <c r="D598" s="5">
        <v>44439</v>
      </c>
      <c r="E598" s="5">
        <f ca="1">INDIRECT("'Sheet1'!AY85")</f>
        <v>0</v>
      </c>
      <c r="F598" t="b">
        <f t="shared" ca="1" si="51"/>
        <v>0</v>
      </c>
    </row>
    <row r="599" spans="1:6" x14ac:dyDescent="0.25">
      <c r="A599" t="s">
        <v>1055</v>
      </c>
      <c r="B599" t="s">
        <v>941</v>
      </c>
      <c r="C599" t="s">
        <v>171</v>
      </c>
      <c r="D599">
        <v>26</v>
      </c>
      <c r="E599">
        <f ca="1">INDIRECT("'Sheet1'!AZ85")</f>
        <v>0</v>
      </c>
      <c r="F599" t="b">
        <f t="shared" ca="1" si="51"/>
        <v>0</v>
      </c>
    </row>
    <row r="600" spans="1:6" x14ac:dyDescent="0.25">
      <c r="A600" t="s">
        <v>1056</v>
      </c>
      <c r="B600" t="s">
        <v>942</v>
      </c>
      <c r="C600" t="s">
        <v>172</v>
      </c>
      <c r="D600" s="5">
        <v>43984</v>
      </c>
      <c r="E600" s="5">
        <f ca="1">INDIRECT("'Sheet1'!BA85")</f>
        <v>0</v>
      </c>
      <c r="F600" t="b">
        <f t="shared" ca="1" si="51"/>
        <v>0</v>
      </c>
    </row>
    <row r="602" spans="1:6" x14ac:dyDescent="0.25">
      <c r="A602" t="s">
        <v>1057</v>
      </c>
      <c r="B602" t="s">
        <v>929</v>
      </c>
      <c r="C602" t="s">
        <v>159</v>
      </c>
      <c r="D602">
        <v>20</v>
      </c>
      <c r="E602">
        <f ca="1">INDIRECT("'Sheet1'!AN86")</f>
        <v>0</v>
      </c>
      <c r="F602" t="b">
        <f t="shared" ref="F602:F615" ca="1" si="52">E602=D602</f>
        <v>0</v>
      </c>
    </row>
    <row r="603" spans="1:6" x14ac:dyDescent="0.25">
      <c r="A603" t="s">
        <v>1058</v>
      </c>
      <c r="B603" t="s">
        <v>930</v>
      </c>
      <c r="C603" t="s">
        <v>160</v>
      </c>
      <c r="D603" s="5">
        <v>44531</v>
      </c>
      <c r="E603" s="5">
        <f ca="1">INDIRECT("'Sheet1'!AO86")</f>
        <v>0</v>
      </c>
      <c r="F603" t="b">
        <f t="shared" ca="1" si="52"/>
        <v>0</v>
      </c>
    </row>
    <row r="604" spans="1:6" x14ac:dyDescent="0.25">
      <c r="A604" t="s">
        <v>1059</v>
      </c>
      <c r="B604" t="s">
        <v>931</v>
      </c>
      <c r="C604" t="s">
        <v>161</v>
      </c>
      <c r="D604">
        <v>21</v>
      </c>
      <c r="E604">
        <f ca="1">INDIRECT("'Sheet1'!AP86")</f>
        <v>0</v>
      </c>
      <c r="F604" t="b">
        <f t="shared" ca="1" si="52"/>
        <v>0</v>
      </c>
    </row>
    <row r="605" spans="1:6" x14ac:dyDescent="0.25">
      <c r="A605" t="s">
        <v>1060</v>
      </c>
      <c r="B605" t="s">
        <v>932</v>
      </c>
      <c r="C605" t="s">
        <v>162</v>
      </c>
      <c r="D605" s="5">
        <v>44530</v>
      </c>
      <c r="E605" s="5">
        <f ca="1">INDIRECT("'Sheet1'!AQ86")</f>
        <v>0</v>
      </c>
      <c r="F605" t="b">
        <f t="shared" ca="1" si="52"/>
        <v>0</v>
      </c>
    </row>
    <row r="606" spans="1:6" x14ac:dyDescent="0.25">
      <c r="A606" t="s">
        <v>1061</v>
      </c>
      <c r="B606" t="s">
        <v>933</v>
      </c>
      <c r="C606" t="s">
        <v>163</v>
      </c>
      <c r="D606">
        <v>22</v>
      </c>
      <c r="E606">
        <f ca="1">INDIRECT("'Sheet1'!AR86")</f>
        <v>0</v>
      </c>
      <c r="F606" t="b">
        <f t="shared" ca="1" si="52"/>
        <v>0</v>
      </c>
    </row>
    <row r="607" spans="1:6" x14ac:dyDescent="0.25">
      <c r="A607" t="s">
        <v>1062</v>
      </c>
      <c r="B607" t="s">
        <v>934</v>
      </c>
      <c r="C607" t="s">
        <v>164</v>
      </c>
      <c r="D607" s="5">
        <v>44257</v>
      </c>
      <c r="E607" s="5">
        <f ca="1">INDIRECT("'Sheet1'!AS86")</f>
        <v>0</v>
      </c>
      <c r="F607" t="b">
        <f t="shared" ca="1" si="52"/>
        <v>0</v>
      </c>
    </row>
    <row r="608" spans="1:6" x14ac:dyDescent="0.25">
      <c r="A608" t="s">
        <v>1063</v>
      </c>
      <c r="B608" t="s">
        <v>935</v>
      </c>
      <c r="C608" t="s">
        <v>165</v>
      </c>
      <c r="D608">
        <v>23</v>
      </c>
      <c r="E608">
        <f ca="1">INDIRECT("'Sheet1'!AT86")</f>
        <v>0</v>
      </c>
      <c r="F608" t="b">
        <f t="shared" ca="1" si="52"/>
        <v>0</v>
      </c>
    </row>
    <row r="609" spans="1:6" x14ac:dyDescent="0.25">
      <c r="A609" t="s">
        <v>1064</v>
      </c>
      <c r="B609" t="s">
        <v>936</v>
      </c>
      <c r="C609" t="s">
        <v>166</v>
      </c>
      <c r="D609" s="5">
        <v>44166</v>
      </c>
      <c r="E609" s="5">
        <f ca="1">INDIRECT("'Sheet1'!AU86")</f>
        <v>0</v>
      </c>
      <c r="F609" t="b">
        <f t="shared" ca="1" si="52"/>
        <v>0</v>
      </c>
    </row>
    <row r="610" spans="1:6" x14ac:dyDescent="0.25">
      <c r="A610" t="s">
        <v>1065</v>
      </c>
      <c r="B610" t="s">
        <v>937</v>
      </c>
      <c r="C610" t="s">
        <v>167</v>
      </c>
      <c r="D610">
        <v>24</v>
      </c>
      <c r="E610">
        <f ca="1">INDIRECT("'Sheet1'!AV86")</f>
        <v>0</v>
      </c>
      <c r="F610" t="b">
        <f t="shared" ca="1" si="52"/>
        <v>0</v>
      </c>
    </row>
    <row r="611" spans="1:6" x14ac:dyDescent="0.25">
      <c r="A611" t="s">
        <v>1066</v>
      </c>
      <c r="B611" t="s">
        <v>938</v>
      </c>
      <c r="C611" t="s">
        <v>168</v>
      </c>
      <c r="D611" s="5">
        <v>44075</v>
      </c>
      <c r="E611" s="5">
        <f ca="1">INDIRECT("'Sheet1'!AW86")</f>
        <v>0</v>
      </c>
      <c r="F611" t="b">
        <f t="shared" ca="1" si="52"/>
        <v>0</v>
      </c>
    </row>
    <row r="612" spans="1:6" x14ac:dyDescent="0.25">
      <c r="A612" t="s">
        <v>1067</v>
      </c>
      <c r="B612" t="s">
        <v>939</v>
      </c>
      <c r="C612" t="s">
        <v>169</v>
      </c>
      <c r="D612">
        <v>25</v>
      </c>
      <c r="E612">
        <f ca="1">INDIRECT("'Sheet1'!AX86")</f>
        <v>0</v>
      </c>
      <c r="F612" t="b">
        <f t="shared" ca="1" si="52"/>
        <v>0</v>
      </c>
    </row>
    <row r="613" spans="1:6" x14ac:dyDescent="0.25">
      <c r="A613" t="s">
        <v>1068</v>
      </c>
      <c r="B613" t="s">
        <v>940</v>
      </c>
      <c r="C613" t="s">
        <v>170</v>
      </c>
      <c r="D613" s="5">
        <v>44439</v>
      </c>
      <c r="E613" s="5">
        <f ca="1">INDIRECT("'Sheet1'!AY86")</f>
        <v>0</v>
      </c>
      <c r="F613" t="b">
        <f t="shared" ca="1" si="52"/>
        <v>0</v>
      </c>
    </row>
    <row r="614" spans="1:6" x14ac:dyDescent="0.25">
      <c r="A614" t="s">
        <v>1069</v>
      </c>
      <c r="B614" t="s">
        <v>941</v>
      </c>
      <c r="C614" t="s">
        <v>171</v>
      </c>
      <c r="D614">
        <v>26</v>
      </c>
      <c r="E614">
        <f ca="1">INDIRECT("'Sheet1'!AZ86")</f>
        <v>0</v>
      </c>
      <c r="F614" t="b">
        <f t="shared" ca="1" si="52"/>
        <v>0</v>
      </c>
    </row>
    <row r="615" spans="1:6" x14ac:dyDescent="0.25">
      <c r="A615" t="s">
        <v>1070</v>
      </c>
      <c r="B615" t="s">
        <v>942</v>
      </c>
      <c r="C615" t="s">
        <v>172</v>
      </c>
      <c r="D615" s="5">
        <v>43984</v>
      </c>
      <c r="E615" s="5">
        <f ca="1">INDIRECT("'Sheet1'!BA86")</f>
        <v>0</v>
      </c>
      <c r="F615" t="b">
        <f t="shared" ca="1" si="52"/>
        <v>0</v>
      </c>
    </row>
    <row r="617" spans="1:6" x14ac:dyDescent="0.25">
      <c r="A617" t="s">
        <v>1071</v>
      </c>
      <c r="B617" t="s">
        <v>929</v>
      </c>
      <c r="C617" t="s">
        <v>159</v>
      </c>
      <c r="D617">
        <v>20</v>
      </c>
      <c r="E617">
        <f ca="1">INDIRECT("'Sheet1'!AN87")</f>
        <v>0</v>
      </c>
      <c r="F617" t="b">
        <f t="shared" ref="F617:F630" ca="1" si="53">E617=D617</f>
        <v>0</v>
      </c>
    </row>
    <row r="618" spans="1:6" x14ac:dyDescent="0.25">
      <c r="A618" t="s">
        <v>1072</v>
      </c>
      <c r="B618" t="s">
        <v>930</v>
      </c>
      <c r="C618" t="s">
        <v>160</v>
      </c>
      <c r="D618" s="5">
        <v>44531</v>
      </c>
      <c r="E618" s="5">
        <f ca="1">INDIRECT("'Sheet1'!AO87")</f>
        <v>0</v>
      </c>
      <c r="F618" t="b">
        <f t="shared" ca="1" si="53"/>
        <v>0</v>
      </c>
    </row>
    <row r="619" spans="1:6" x14ac:dyDescent="0.25">
      <c r="A619" t="s">
        <v>1073</v>
      </c>
      <c r="B619" t="s">
        <v>931</v>
      </c>
      <c r="C619" t="s">
        <v>161</v>
      </c>
      <c r="D619">
        <v>21</v>
      </c>
      <c r="E619">
        <f ca="1">INDIRECT("'Sheet1'!AP87")</f>
        <v>0</v>
      </c>
      <c r="F619" t="b">
        <f t="shared" ca="1" si="53"/>
        <v>0</v>
      </c>
    </row>
    <row r="620" spans="1:6" x14ac:dyDescent="0.25">
      <c r="A620" t="s">
        <v>1074</v>
      </c>
      <c r="B620" t="s">
        <v>932</v>
      </c>
      <c r="C620" t="s">
        <v>162</v>
      </c>
      <c r="D620" s="5">
        <v>44530</v>
      </c>
      <c r="E620" s="5">
        <f ca="1">INDIRECT("'Sheet1'!AQ87")</f>
        <v>0</v>
      </c>
      <c r="F620" t="b">
        <f t="shared" ca="1" si="53"/>
        <v>0</v>
      </c>
    </row>
    <row r="621" spans="1:6" x14ac:dyDescent="0.25">
      <c r="A621" t="s">
        <v>1075</v>
      </c>
      <c r="B621" t="s">
        <v>933</v>
      </c>
      <c r="C621" t="s">
        <v>163</v>
      </c>
      <c r="D621">
        <v>22</v>
      </c>
      <c r="E621">
        <f ca="1">INDIRECT("'Sheet1'!AR87")</f>
        <v>0</v>
      </c>
      <c r="F621" t="b">
        <f t="shared" ca="1" si="53"/>
        <v>0</v>
      </c>
    </row>
    <row r="622" spans="1:6" x14ac:dyDescent="0.25">
      <c r="A622" t="s">
        <v>1076</v>
      </c>
      <c r="B622" t="s">
        <v>934</v>
      </c>
      <c r="C622" t="s">
        <v>164</v>
      </c>
      <c r="D622" s="5">
        <v>44257</v>
      </c>
      <c r="E622" s="5">
        <f ca="1">INDIRECT("'Sheet1'!AS87")</f>
        <v>0</v>
      </c>
      <c r="F622" t="b">
        <f t="shared" ca="1" si="53"/>
        <v>0</v>
      </c>
    </row>
    <row r="623" spans="1:6" x14ac:dyDescent="0.25">
      <c r="A623" t="s">
        <v>1077</v>
      </c>
      <c r="B623" t="s">
        <v>935</v>
      </c>
      <c r="C623" t="s">
        <v>165</v>
      </c>
      <c r="D623">
        <v>23</v>
      </c>
      <c r="E623">
        <f ca="1">INDIRECT("'Sheet1'!AT87")</f>
        <v>0</v>
      </c>
      <c r="F623" t="b">
        <f t="shared" ca="1" si="53"/>
        <v>0</v>
      </c>
    </row>
    <row r="624" spans="1:6" x14ac:dyDescent="0.25">
      <c r="A624" t="s">
        <v>1078</v>
      </c>
      <c r="B624" t="s">
        <v>936</v>
      </c>
      <c r="C624" t="s">
        <v>166</v>
      </c>
      <c r="D624" s="5">
        <v>44166</v>
      </c>
      <c r="E624" s="5">
        <f ca="1">INDIRECT("'Sheet1'!AU87")</f>
        <v>0</v>
      </c>
      <c r="F624" t="b">
        <f t="shared" ca="1" si="53"/>
        <v>0</v>
      </c>
    </row>
    <row r="625" spans="1:6" x14ac:dyDescent="0.25">
      <c r="A625" t="s">
        <v>1079</v>
      </c>
      <c r="B625" t="s">
        <v>937</v>
      </c>
      <c r="C625" t="s">
        <v>167</v>
      </c>
      <c r="D625">
        <v>24</v>
      </c>
      <c r="E625">
        <f ca="1">INDIRECT("'Sheet1'!AV87")</f>
        <v>0</v>
      </c>
      <c r="F625" t="b">
        <f t="shared" ca="1" si="53"/>
        <v>0</v>
      </c>
    </row>
    <row r="626" spans="1:6" x14ac:dyDescent="0.25">
      <c r="A626" t="s">
        <v>1080</v>
      </c>
      <c r="B626" t="s">
        <v>938</v>
      </c>
      <c r="C626" t="s">
        <v>168</v>
      </c>
      <c r="D626" s="5">
        <v>44075</v>
      </c>
      <c r="E626" s="5">
        <f ca="1">INDIRECT("'Sheet1'!AW87")</f>
        <v>0</v>
      </c>
      <c r="F626" t="b">
        <f t="shared" ca="1" si="53"/>
        <v>0</v>
      </c>
    </row>
    <row r="627" spans="1:6" x14ac:dyDescent="0.25">
      <c r="A627" t="s">
        <v>1081</v>
      </c>
      <c r="B627" t="s">
        <v>939</v>
      </c>
      <c r="C627" t="s">
        <v>169</v>
      </c>
      <c r="D627">
        <v>25</v>
      </c>
      <c r="E627">
        <f ca="1">INDIRECT("'Sheet1'!AX87")</f>
        <v>0</v>
      </c>
      <c r="F627" t="b">
        <f t="shared" ca="1" si="53"/>
        <v>0</v>
      </c>
    </row>
    <row r="628" spans="1:6" x14ac:dyDescent="0.25">
      <c r="A628" t="s">
        <v>1082</v>
      </c>
      <c r="B628" t="s">
        <v>940</v>
      </c>
      <c r="C628" t="s">
        <v>170</v>
      </c>
      <c r="D628" s="5">
        <v>44439</v>
      </c>
      <c r="E628" s="5">
        <f ca="1">INDIRECT("'Sheet1'!AY87")</f>
        <v>0</v>
      </c>
      <c r="F628" t="b">
        <f t="shared" ca="1" si="53"/>
        <v>0</v>
      </c>
    </row>
    <row r="629" spans="1:6" x14ac:dyDescent="0.25">
      <c r="A629" t="s">
        <v>1083</v>
      </c>
      <c r="B629" t="s">
        <v>941</v>
      </c>
      <c r="C629" t="s">
        <v>171</v>
      </c>
      <c r="D629">
        <v>26</v>
      </c>
      <c r="E629">
        <f ca="1">INDIRECT("'Sheet1'!AZ87")</f>
        <v>0</v>
      </c>
      <c r="F629" t="b">
        <f t="shared" ca="1" si="53"/>
        <v>0</v>
      </c>
    </row>
    <row r="630" spans="1:6" x14ac:dyDescent="0.25">
      <c r="A630" t="s">
        <v>1084</v>
      </c>
      <c r="B630" t="s">
        <v>942</v>
      </c>
      <c r="C630" t="s">
        <v>172</v>
      </c>
      <c r="D630" s="5">
        <v>43984</v>
      </c>
      <c r="E630" s="5">
        <f ca="1">INDIRECT("'Sheet1'!BA87")</f>
        <v>0</v>
      </c>
      <c r="F630" t="b">
        <f t="shared" ca="1" si="53"/>
        <v>0</v>
      </c>
    </row>
    <row r="632" spans="1:6" x14ac:dyDescent="0.25">
      <c r="A632" t="s">
        <v>1085</v>
      </c>
      <c r="B632" t="s">
        <v>929</v>
      </c>
      <c r="C632" t="s">
        <v>159</v>
      </c>
      <c r="D632">
        <v>20</v>
      </c>
      <c r="E632">
        <f ca="1">INDIRECT("'Sheet1'!AN88")</f>
        <v>0</v>
      </c>
      <c r="F632" t="b">
        <f t="shared" ref="F632:F645" ca="1" si="54">E632=D632</f>
        <v>0</v>
      </c>
    </row>
    <row r="633" spans="1:6" x14ac:dyDescent="0.25">
      <c r="A633" t="s">
        <v>1086</v>
      </c>
      <c r="B633" t="s">
        <v>930</v>
      </c>
      <c r="C633" t="s">
        <v>160</v>
      </c>
      <c r="D633" s="5">
        <v>44531</v>
      </c>
      <c r="E633" s="5">
        <f ca="1">INDIRECT("'Sheet1'!AO88")</f>
        <v>0</v>
      </c>
      <c r="F633" t="b">
        <f t="shared" ca="1" si="54"/>
        <v>0</v>
      </c>
    </row>
    <row r="634" spans="1:6" x14ac:dyDescent="0.25">
      <c r="A634" t="s">
        <v>1087</v>
      </c>
      <c r="B634" t="s">
        <v>931</v>
      </c>
      <c r="C634" t="s">
        <v>161</v>
      </c>
      <c r="D634">
        <v>21</v>
      </c>
      <c r="E634">
        <f ca="1">INDIRECT("'Sheet1'!AP88")</f>
        <v>0</v>
      </c>
      <c r="F634" t="b">
        <f t="shared" ca="1" si="54"/>
        <v>0</v>
      </c>
    </row>
    <row r="635" spans="1:6" x14ac:dyDescent="0.25">
      <c r="A635" t="s">
        <v>1088</v>
      </c>
      <c r="B635" t="s">
        <v>932</v>
      </c>
      <c r="C635" t="s">
        <v>162</v>
      </c>
      <c r="D635" s="5">
        <v>44530</v>
      </c>
      <c r="E635" s="5">
        <f ca="1">INDIRECT("'Sheet1'!AQ88")</f>
        <v>0</v>
      </c>
      <c r="F635" t="b">
        <f t="shared" ca="1" si="54"/>
        <v>0</v>
      </c>
    </row>
    <row r="636" spans="1:6" x14ac:dyDescent="0.25">
      <c r="A636" t="s">
        <v>1089</v>
      </c>
      <c r="B636" t="s">
        <v>933</v>
      </c>
      <c r="C636" t="s">
        <v>163</v>
      </c>
      <c r="D636">
        <v>22</v>
      </c>
      <c r="E636">
        <f ca="1">INDIRECT("'Sheet1'!AR88")</f>
        <v>0</v>
      </c>
      <c r="F636" t="b">
        <f t="shared" ca="1" si="54"/>
        <v>0</v>
      </c>
    </row>
    <row r="637" spans="1:6" x14ac:dyDescent="0.25">
      <c r="A637" t="s">
        <v>1090</v>
      </c>
      <c r="B637" t="s">
        <v>934</v>
      </c>
      <c r="C637" t="s">
        <v>164</v>
      </c>
      <c r="D637" s="5">
        <v>44257</v>
      </c>
      <c r="E637" s="5">
        <f ca="1">INDIRECT("'Sheet1'!AS88")</f>
        <v>0</v>
      </c>
      <c r="F637" t="b">
        <f t="shared" ca="1" si="54"/>
        <v>0</v>
      </c>
    </row>
    <row r="638" spans="1:6" x14ac:dyDescent="0.25">
      <c r="A638" t="s">
        <v>1091</v>
      </c>
      <c r="B638" t="s">
        <v>935</v>
      </c>
      <c r="C638" t="s">
        <v>165</v>
      </c>
      <c r="D638">
        <v>23</v>
      </c>
      <c r="E638">
        <f ca="1">INDIRECT("'Sheet1'!AT88")</f>
        <v>0</v>
      </c>
      <c r="F638" t="b">
        <f t="shared" ca="1" si="54"/>
        <v>0</v>
      </c>
    </row>
    <row r="639" spans="1:6" x14ac:dyDescent="0.25">
      <c r="A639" t="s">
        <v>1092</v>
      </c>
      <c r="B639" t="s">
        <v>936</v>
      </c>
      <c r="C639" t="s">
        <v>166</v>
      </c>
      <c r="D639" s="5">
        <v>44166</v>
      </c>
      <c r="E639" s="5">
        <f ca="1">INDIRECT("'Sheet1'!AU88")</f>
        <v>0</v>
      </c>
      <c r="F639" t="b">
        <f t="shared" ca="1" si="54"/>
        <v>0</v>
      </c>
    </row>
    <row r="640" spans="1:6" x14ac:dyDescent="0.25">
      <c r="A640" t="s">
        <v>1093</v>
      </c>
      <c r="B640" t="s">
        <v>937</v>
      </c>
      <c r="C640" t="s">
        <v>167</v>
      </c>
      <c r="D640">
        <v>24</v>
      </c>
      <c r="E640">
        <f ca="1">INDIRECT("'Sheet1'!AV88")</f>
        <v>0</v>
      </c>
      <c r="F640" t="b">
        <f t="shared" ca="1" si="54"/>
        <v>0</v>
      </c>
    </row>
    <row r="641" spans="1:6" x14ac:dyDescent="0.25">
      <c r="A641" t="s">
        <v>1094</v>
      </c>
      <c r="B641" t="s">
        <v>938</v>
      </c>
      <c r="C641" t="s">
        <v>168</v>
      </c>
      <c r="D641" s="5">
        <v>44075</v>
      </c>
      <c r="E641" s="5">
        <f ca="1">INDIRECT("'Sheet1'!AW88")</f>
        <v>0</v>
      </c>
      <c r="F641" t="b">
        <f t="shared" ca="1" si="54"/>
        <v>0</v>
      </c>
    </row>
    <row r="642" spans="1:6" x14ac:dyDescent="0.25">
      <c r="A642" t="s">
        <v>1095</v>
      </c>
      <c r="B642" t="s">
        <v>939</v>
      </c>
      <c r="C642" t="s">
        <v>169</v>
      </c>
      <c r="D642">
        <v>25</v>
      </c>
      <c r="E642">
        <f ca="1">INDIRECT("'Sheet1'!AX88")</f>
        <v>0</v>
      </c>
      <c r="F642" t="b">
        <f t="shared" ca="1" si="54"/>
        <v>0</v>
      </c>
    </row>
    <row r="643" spans="1:6" x14ac:dyDescent="0.25">
      <c r="A643" t="s">
        <v>1096</v>
      </c>
      <c r="B643" t="s">
        <v>940</v>
      </c>
      <c r="C643" t="s">
        <v>170</v>
      </c>
      <c r="D643" s="5">
        <v>44439</v>
      </c>
      <c r="E643" s="5">
        <f ca="1">INDIRECT("'Sheet1'!AY88")</f>
        <v>0</v>
      </c>
      <c r="F643" t="b">
        <f t="shared" ca="1" si="54"/>
        <v>0</v>
      </c>
    </row>
    <row r="644" spans="1:6" x14ac:dyDescent="0.25">
      <c r="A644" t="s">
        <v>1097</v>
      </c>
      <c r="B644" t="s">
        <v>941</v>
      </c>
      <c r="C644" t="s">
        <v>171</v>
      </c>
      <c r="D644">
        <v>26</v>
      </c>
      <c r="E644">
        <f ca="1">INDIRECT("'Sheet1'!AZ88")</f>
        <v>0</v>
      </c>
      <c r="F644" t="b">
        <f t="shared" ca="1" si="54"/>
        <v>0</v>
      </c>
    </row>
    <row r="645" spans="1:6" x14ac:dyDescent="0.25">
      <c r="A645" t="s">
        <v>1098</v>
      </c>
      <c r="B645" t="s">
        <v>942</v>
      </c>
      <c r="C645" t="s">
        <v>172</v>
      </c>
      <c r="D645" s="5">
        <v>43984</v>
      </c>
      <c r="E645" s="5">
        <f ca="1">INDIRECT("'Sheet1'!BA88")</f>
        <v>0</v>
      </c>
      <c r="F645" t="b">
        <f t="shared" ca="1" si="54"/>
        <v>0</v>
      </c>
    </row>
    <row r="647" spans="1:6" x14ac:dyDescent="0.25">
      <c r="A647" t="s">
        <v>1099</v>
      </c>
      <c r="B647" t="s">
        <v>929</v>
      </c>
      <c r="C647" t="s">
        <v>159</v>
      </c>
      <c r="D647">
        <v>20</v>
      </c>
      <c r="E647">
        <f ca="1">INDIRECT("'Sheet1'!AN89")</f>
        <v>0</v>
      </c>
      <c r="F647" t="b">
        <f t="shared" ref="F647:F660" ca="1" si="55">E647=D647</f>
        <v>0</v>
      </c>
    </row>
    <row r="648" spans="1:6" x14ac:dyDescent="0.25">
      <c r="A648" t="s">
        <v>1100</v>
      </c>
      <c r="B648" t="s">
        <v>930</v>
      </c>
      <c r="C648" t="s">
        <v>160</v>
      </c>
      <c r="D648" s="5">
        <v>44531</v>
      </c>
      <c r="E648" s="5">
        <f ca="1">INDIRECT("'Sheet1'!AO89")</f>
        <v>0</v>
      </c>
      <c r="F648" t="b">
        <f t="shared" ca="1" si="55"/>
        <v>0</v>
      </c>
    </row>
    <row r="649" spans="1:6" x14ac:dyDescent="0.25">
      <c r="A649" t="s">
        <v>1101</v>
      </c>
      <c r="B649" t="s">
        <v>931</v>
      </c>
      <c r="C649" t="s">
        <v>161</v>
      </c>
      <c r="D649">
        <v>21</v>
      </c>
      <c r="E649">
        <f ca="1">INDIRECT("'Sheet1'!AP89")</f>
        <v>0</v>
      </c>
      <c r="F649" t="b">
        <f t="shared" ca="1" si="55"/>
        <v>0</v>
      </c>
    </row>
    <row r="650" spans="1:6" x14ac:dyDescent="0.25">
      <c r="A650" t="s">
        <v>1102</v>
      </c>
      <c r="B650" t="s">
        <v>932</v>
      </c>
      <c r="C650" t="s">
        <v>162</v>
      </c>
      <c r="D650" s="5">
        <v>44530</v>
      </c>
      <c r="E650" s="5">
        <f ca="1">INDIRECT("'Sheet1'!AQ89")</f>
        <v>0</v>
      </c>
      <c r="F650" t="b">
        <f t="shared" ca="1" si="55"/>
        <v>0</v>
      </c>
    </row>
    <row r="651" spans="1:6" x14ac:dyDescent="0.25">
      <c r="A651" t="s">
        <v>1103</v>
      </c>
      <c r="B651" t="s">
        <v>933</v>
      </c>
      <c r="C651" t="s">
        <v>163</v>
      </c>
      <c r="D651">
        <v>22</v>
      </c>
      <c r="E651">
        <f ca="1">INDIRECT("'Sheet1'!AR89")</f>
        <v>0</v>
      </c>
      <c r="F651" t="b">
        <f t="shared" ca="1" si="55"/>
        <v>0</v>
      </c>
    </row>
    <row r="652" spans="1:6" x14ac:dyDescent="0.25">
      <c r="A652" t="s">
        <v>1104</v>
      </c>
      <c r="B652" t="s">
        <v>934</v>
      </c>
      <c r="C652" t="s">
        <v>164</v>
      </c>
      <c r="D652" s="5">
        <v>44257</v>
      </c>
      <c r="E652" s="5">
        <f ca="1">INDIRECT("'Sheet1'!AS89")</f>
        <v>0</v>
      </c>
      <c r="F652" t="b">
        <f t="shared" ca="1" si="55"/>
        <v>0</v>
      </c>
    </row>
    <row r="653" spans="1:6" x14ac:dyDescent="0.25">
      <c r="A653" t="s">
        <v>1105</v>
      </c>
      <c r="B653" t="s">
        <v>935</v>
      </c>
      <c r="C653" t="s">
        <v>165</v>
      </c>
      <c r="D653">
        <v>23</v>
      </c>
      <c r="E653">
        <f ca="1">INDIRECT("'Sheet1'!AT89")</f>
        <v>0</v>
      </c>
      <c r="F653" t="b">
        <f t="shared" ca="1" si="55"/>
        <v>0</v>
      </c>
    </row>
    <row r="654" spans="1:6" x14ac:dyDescent="0.25">
      <c r="A654" t="s">
        <v>1106</v>
      </c>
      <c r="B654" t="s">
        <v>936</v>
      </c>
      <c r="C654" t="s">
        <v>166</v>
      </c>
      <c r="D654" s="5">
        <v>44166</v>
      </c>
      <c r="E654" s="5">
        <f ca="1">INDIRECT("'Sheet1'!AU89")</f>
        <v>0</v>
      </c>
      <c r="F654" t="b">
        <f t="shared" ca="1" si="55"/>
        <v>0</v>
      </c>
    </row>
    <row r="655" spans="1:6" x14ac:dyDescent="0.25">
      <c r="A655" t="s">
        <v>1107</v>
      </c>
      <c r="B655" t="s">
        <v>937</v>
      </c>
      <c r="C655" t="s">
        <v>167</v>
      </c>
      <c r="D655">
        <v>24</v>
      </c>
      <c r="E655">
        <f ca="1">INDIRECT("'Sheet1'!AV89")</f>
        <v>0</v>
      </c>
      <c r="F655" t="b">
        <f t="shared" ca="1" si="55"/>
        <v>0</v>
      </c>
    </row>
    <row r="656" spans="1:6" x14ac:dyDescent="0.25">
      <c r="A656" t="s">
        <v>1108</v>
      </c>
      <c r="B656" t="s">
        <v>938</v>
      </c>
      <c r="C656" t="s">
        <v>168</v>
      </c>
      <c r="D656" s="5">
        <v>44075</v>
      </c>
      <c r="E656" s="5">
        <f ca="1">INDIRECT("'Sheet1'!AW89")</f>
        <v>0</v>
      </c>
      <c r="F656" t="b">
        <f t="shared" ca="1" si="55"/>
        <v>0</v>
      </c>
    </row>
    <row r="657" spans="1:6" x14ac:dyDescent="0.25">
      <c r="A657" t="s">
        <v>1109</v>
      </c>
      <c r="B657" t="s">
        <v>939</v>
      </c>
      <c r="C657" t="s">
        <v>169</v>
      </c>
      <c r="D657">
        <v>25</v>
      </c>
      <c r="E657">
        <f ca="1">INDIRECT("'Sheet1'!AX89")</f>
        <v>0</v>
      </c>
      <c r="F657" t="b">
        <f t="shared" ca="1" si="55"/>
        <v>0</v>
      </c>
    </row>
    <row r="658" spans="1:6" x14ac:dyDescent="0.25">
      <c r="A658" t="s">
        <v>1110</v>
      </c>
      <c r="B658" t="s">
        <v>940</v>
      </c>
      <c r="C658" t="s">
        <v>170</v>
      </c>
      <c r="D658" s="5">
        <v>44439</v>
      </c>
      <c r="E658" s="5">
        <f ca="1">INDIRECT("'Sheet1'!AY89")</f>
        <v>0</v>
      </c>
      <c r="F658" t="b">
        <f t="shared" ca="1" si="55"/>
        <v>0</v>
      </c>
    </row>
    <row r="659" spans="1:6" x14ac:dyDescent="0.25">
      <c r="A659" t="s">
        <v>1111</v>
      </c>
      <c r="B659" t="s">
        <v>941</v>
      </c>
      <c r="C659" t="s">
        <v>171</v>
      </c>
      <c r="D659">
        <v>26</v>
      </c>
      <c r="E659">
        <f ca="1">INDIRECT("'Sheet1'!AZ89")</f>
        <v>0</v>
      </c>
      <c r="F659" t="b">
        <f t="shared" ca="1" si="55"/>
        <v>0</v>
      </c>
    </row>
    <row r="660" spans="1:6" x14ac:dyDescent="0.25">
      <c r="A660" t="s">
        <v>1112</v>
      </c>
      <c r="B660" t="s">
        <v>942</v>
      </c>
      <c r="C660" t="s">
        <v>172</v>
      </c>
      <c r="D660" s="5">
        <v>43984</v>
      </c>
      <c r="E660" s="5">
        <f ca="1">INDIRECT("'Sheet1'!BA89")</f>
        <v>0</v>
      </c>
      <c r="F660" t="b">
        <f t="shared" ca="1" si="55"/>
        <v>0</v>
      </c>
    </row>
    <row r="662" spans="1:6" x14ac:dyDescent="0.25">
      <c r="A662" t="s">
        <v>1113</v>
      </c>
      <c r="B662" t="s">
        <v>929</v>
      </c>
      <c r="C662" t="s">
        <v>159</v>
      </c>
      <c r="D662">
        <v>20</v>
      </c>
      <c r="E662">
        <f ca="1">INDIRECT("'Sheet1'!AN90")</f>
        <v>0</v>
      </c>
      <c r="F662" t="b">
        <f t="shared" ref="F662:F675" ca="1" si="56">E662=D662</f>
        <v>0</v>
      </c>
    </row>
    <row r="663" spans="1:6" x14ac:dyDescent="0.25">
      <c r="A663" t="s">
        <v>1114</v>
      </c>
      <c r="B663" t="s">
        <v>930</v>
      </c>
      <c r="C663" t="s">
        <v>160</v>
      </c>
      <c r="D663" s="5">
        <v>44531</v>
      </c>
      <c r="E663" s="5">
        <f ca="1">INDIRECT("'Sheet1'!AO90")</f>
        <v>0</v>
      </c>
      <c r="F663" t="b">
        <f t="shared" ca="1" si="56"/>
        <v>0</v>
      </c>
    </row>
    <row r="664" spans="1:6" x14ac:dyDescent="0.25">
      <c r="A664" t="s">
        <v>1115</v>
      </c>
      <c r="B664" t="s">
        <v>931</v>
      </c>
      <c r="C664" t="s">
        <v>161</v>
      </c>
      <c r="D664">
        <v>21</v>
      </c>
      <c r="E664">
        <f ca="1">INDIRECT("'Sheet1'!AP90")</f>
        <v>0</v>
      </c>
      <c r="F664" t="b">
        <f t="shared" ca="1" si="56"/>
        <v>0</v>
      </c>
    </row>
    <row r="665" spans="1:6" x14ac:dyDescent="0.25">
      <c r="A665" t="s">
        <v>1116</v>
      </c>
      <c r="B665" t="s">
        <v>932</v>
      </c>
      <c r="C665" t="s">
        <v>162</v>
      </c>
      <c r="D665" s="5">
        <v>44530</v>
      </c>
      <c r="E665" s="5">
        <f ca="1">INDIRECT("'Sheet1'!AQ90")</f>
        <v>0</v>
      </c>
      <c r="F665" t="b">
        <f t="shared" ca="1" si="56"/>
        <v>0</v>
      </c>
    </row>
    <row r="666" spans="1:6" x14ac:dyDescent="0.25">
      <c r="A666" t="s">
        <v>1117</v>
      </c>
      <c r="B666" t="s">
        <v>933</v>
      </c>
      <c r="C666" t="s">
        <v>163</v>
      </c>
      <c r="D666">
        <v>22</v>
      </c>
      <c r="E666">
        <f ca="1">INDIRECT("'Sheet1'!AR90")</f>
        <v>0</v>
      </c>
      <c r="F666" t="b">
        <f t="shared" ca="1" si="56"/>
        <v>0</v>
      </c>
    </row>
    <row r="667" spans="1:6" x14ac:dyDescent="0.25">
      <c r="A667" t="s">
        <v>1118</v>
      </c>
      <c r="B667" t="s">
        <v>934</v>
      </c>
      <c r="C667" t="s">
        <v>164</v>
      </c>
      <c r="D667" s="5">
        <v>44257</v>
      </c>
      <c r="E667" s="5">
        <f ca="1">INDIRECT("'Sheet1'!AS90")</f>
        <v>0</v>
      </c>
      <c r="F667" t="b">
        <f t="shared" ca="1" si="56"/>
        <v>0</v>
      </c>
    </row>
    <row r="668" spans="1:6" x14ac:dyDescent="0.25">
      <c r="A668" t="s">
        <v>1119</v>
      </c>
      <c r="B668" t="s">
        <v>935</v>
      </c>
      <c r="C668" t="s">
        <v>165</v>
      </c>
      <c r="D668">
        <v>23</v>
      </c>
      <c r="E668">
        <f ca="1">INDIRECT("'Sheet1'!AT90")</f>
        <v>0</v>
      </c>
      <c r="F668" t="b">
        <f t="shared" ca="1" si="56"/>
        <v>0</v>
      </c>
    </row>
    <row r="669" spans="1:6" x14ac:dyDescent="0.25">
      <c r="A669" t="s">
        <v>1120</v>
      </c>
      <c r="B669" t="s">
        <v>936</v>
      </c>
      <c r="C669" t="s">
        <v>166</v>
      </c>
      <c r="D669" s="5">
        <v>44166</v>
      </c>
      <c r="E669" s="5">
        <f ca="1">INDIRECT("'Sheet1'!AU90")</f>
        <v>0</v>
      </c>
      <c r="F669" t="b">
        <f t="shared" ca="1" si="56"/>
        <v>0</v>
      </c>
    </row>
    <row r="670" spans="1:6" x14ac:dyDescent="0.25">
      <c r="A670" t="s">
        <v>1121</v>
      </c>
      <c r="B670" t="s">
        <v>937</v>
      </c>
      <c r="C670" t="s">
        <v>167</v>
      </c>
      <c r="D670">
        <v>24</v>
      </c>
      <c r="E670">
        <f ca="1">INDIRECT("'Sheet1'!AV90")</f>
        <v>0</v>
      </c>
      <c r="F670" t="b">
        <f t="shared" ca="1" si="56"/>
        <v>0</v>
      </c>
    </row>
    <row r="671" spans="1:6" x14ac:dyDescent="0.25">
      <c r="A671" t="s">
        <v>1122</v>
      </c>
      <c r="B671" t="s">
        <v>938</v>
      </c>
      <c r="C671" t="s">
        <v>168</v>
      </c>
      <c r="D671" s="5">
        <v>44075</v>
      </c>
      <c r="E671" s="5">
        <f ca="1">INDIRECT("'Sheet1'!AW90")</f>
        <v>0</v>
      </c>
      <c r="F671" t="b">
        <f t="shared" ca="1" si="56"/>
        <v>0</v>
      </c>
    </row>
    <row r="672" spans="1:6" x14ac:dyDescent="0.25">
      <c r="A672" t="s">
        <v>1123</v>
      </c>
      <c r="B672" t="s">
        <v>939</v>
      </c>
      <c r="C672" t="s">
        <v>169</v>
      </c>
      <c r="D672">
        <v>25</v>
      </c>
      <c r="E672">
        <f ca="1">INDIRECT("'Sheet1'!AX90")</f>
        <v>0</v>
      </c>
      <c r="F672" t="b">
        <f t="shared" ca="1" si="56"/>
        <v>0</v>
      </c>
    </row>
    <row r="673" spans="1:6" x14ac:dyDescent="0.25">
      <c r="A673" t="s">
        <v>1124</v>
      </c>
      <c r="B673" t="s">
        <v>940</v>
      </c>
      <c r="C673" t="s">
        <v>170</v>
      </c>
      <c r="D673" s="5">
        <v>44439</v>
      </c>
      <c r="E673" s="5">
        <f ca="1">INDIRECT("'Sheet1'!AY90")</f>
        <v>0</v>
      </c>
      <c r="F673" t="b">
        <f t="shared" ca="1" si="56"/>
        <v>0</v>
      </c>
    </row>
    <row r="674" spans="1:6" x14ac:dyDescent="0.25">
      <c r="A674" t="s">
        <v>1125</v>
      </c>
      <c r="B674" t="s">
        <v>941</v>
      </c>
      <c r="C674" t="s">
        <v>171</v>
      </c>
      <c r="D674">
        <v>26</v>
      </c>
      <c r="E674">
        <f ca="1">INDIRECT("'Sheet1'!AZ90")</f>
        <v>0</v>
      </c>
      <c r="F674" t="b">
        <f t="shared" ca="1" si="56"/>
        <v>0</v>
      </c>
    </row>
    <row r="675" spans="1:6" x14ac:dyDescent="0.25">
      <c r="A675" t="s">
        <v>1126</v>
      </c>
      <c r="B675" t="s">
        <v>942</v>
      </c>
      <c r="C675" t="s">
        <v>172</v>
      </c>
      <c r="D675" s="5">
        <v>43984</v>
      </c>
      <c r="E675" s="5">
        <f ca="1">INDIRECT("'Sheet1'!BA90")</f>
        <v>0</v>
      </c>
      <c r="F675" t="b">
        <f t="shared" ca="1" si="56"/>
        <v>0</v>
      </c>
    </row>
    <row r="677" spans="1:6" x14ac:dyDescent="0.25">
      <c r="A677" t="s">
        <v>1127</v>
      </c>
      <c r="B677" t="s">
        <v>929</v>
      </c>
      <c r="C677" t="s">
        <v>159</v>
      </c>
      <c r="D677">
        <v>20</v>
      </c>
      <c r="E677">
        <f ca="1">INDIRECT("'Sheet1'!AN91")</f>
        <v>0</v>
      </c>
      <c r="F677" t="b">
        <f t="shared" ref="F677:F690" ca="1" si="57">E677=D677</f>
        <v>0</v>
      </c>
    </row>
    <row r="678" spans="1:6" x14ac:dyDescent="0.25">
      <c r="A678" t="s">
        <v>1128</v>
      </c>
      <c r="B678" t="s">
        <v>930</v>
      </c>
      <c r="C678" t="s">
        <v>160</v>
      </c>
      <c r="D678" s="5">
        <v>44531</v>
      </c>
      <c r="E678" s="5">
        <f ca="1">INDIRECT("'Sheet1'!AO91")</f>
        <v>0</v>
      </c>
      <c r="F678" t="b">
        <f t="shared" ca="1" si="57"/>
        <v>0</v>
      </c>
    </row>
    <row r="679" spans="1:6" x14ac:dyDescent="0.25">
      <c r="A679" t="s">
        <v>1129</v>
      </c>
      <c r="B679" t="s">
        <v>931</v>
      </c>
      <c r="C679" t="s">
        <v>161</v>
      </c>
      <c r="D679">
        <v>21</v>
      </c>
      <c r="E679">
        <f ca="1">INDIRECT("'Sheet1'!AP91")</f>
        <v>0</v>
      </c>
      <c r="F679" t="b">
        <f t="shared" ca="1" si="57"/>
        <v>0</v>
      </c>
    </row>
    <row r="680" spans="1:6" x14ac:dyDescent="0.25">
      <c r="A680" t="s">
        <v>1130</v>
      </c>
      <c r="B680" t="s">
        <v>932</v>
      </c>
      <c r="C680" t="s">
        <v>162</v>
      </c>
      <c r="D680" s="5">
        <v>44530</v>
      </c>
      <c r="E680" s="5">
        <f ca="1">INDIRECT("'Sheet1'!AQ91")</f>
        <v>0</v>
      </c>
      <c r="F680" t="b">
        <f t="shared" ca="1" si="57"/>
        <v>0</v>
      </c>
    </row>
    <row r="681" spans="1:6" x14ac:dyDescent="0.25">
      <c r="A681" t="s">
        <v>1131</v>
      </c>
      <c r="B681" t="s">
        <v>933</v>
      </c>
      <c r="C681" t="s">
        <v>163</v>
      </c>
      <c r="D681">
        <v>22</v>
      </c>
      <c r="E681">
        <f ca="1">INDIRECT("'Sheet1'!AR91")</f>
        <v>0</v>
      </c>
      <c r="F681" t="b">
        <f t="shared" ca="1" si="57"/>
        <v>0</v>
      </c>
    </row>
    <row r="682" spans="1:6" x14ac:dyDescent="0.25">
      <c r="A682" t="s">
        <v>1132</v>
      </c>
      <c r="B682" t="s">
        <v>934</v>
      </c>
      <c r="C682" t="s">
        <v>164</v>
      </c>
      <c r="D682" s="5">
        <v>44257</v>
      </c>
      <c r="E682" s="5">
        <f ca="1">INDIRECT("'Sheet1'!AS91")</f>
        <v>0</v>
      </c>
      <c r="F682" t="b">
        <f t="shared" ca="1" si="57"/>
        <v>0</v>
      </c>
    </row>
    <row r="683" spans="1:6" x14ac:dyDescent="0.25">
      <c r="A683" t="s">
        <v>1133</v>
      </c>
      <c r="B683" t="s">
        <v>935</v>
      </c>
      <c r="C683" t="s">
        <v>165</v>
      </c>
      <c r="D683">
        <v>23</v>
      </c>
      <c r="E683">
        <f ca="1">INDIRECT("'Sheet1'!AT91")</f>
        <v>0</v>
      </c>
      <c r="F683" t="b">
        <f t="shared" ca="1" si="57"/>
        <v>0</v>
      </c>
    </row>
    <row r="684" spans="1:6" x14ac:dyDescent="0.25">
      <c r="A684" t="s">
        <v>1134</v>
      </c>
      <c r="B684" t="s">
        <v>936</v>
      </c>
      <c r="C684" t="s">
        <v>166</v>
      </c>
      <c r="D684" s="5">
        <v>44166</v>
      </c>
      <c r="E684" s="5">
        <f ca="1">INDIRECT("'Sheet1'!AU91")</f>
        <v>0</v>
      </c>
      <c r="F684" t="b">
        <f t="shared" ca="1" si="57"/>
        <v>0</v>
      </c>
    </row>
    <row r="685" spans="1:6" x14ac:dyDescent="0.25">
      <c r="A685" t="s">
        <v>1135</v>
      </c>
      <c r="B685" t="s">
        <v>937</v>
      </c>
      <c r="C685" t="s">
        <v>167</v>
      </c>
      <c r="D685">
        <v>24</v>
      </c>
      <c r="E685">
        <f ca="1">INDIRECT("'Sheet1'!AV91")</f>
        <v>0</v>
      </c>
      <c r="F685" t="b">
        <f t="shared" ca="1" si="57"/>
        <v>0</v>
      </c>
    </row>
    <row r="686" spans="1:6" x14ac:dyDescent="0.25">
      <c r="A686" t="s">
        <v>1136</v>
      </c>
      <c r="B686" t="s">
        <v>938</v>
      </c>
      <c r="C686" t="s">
        <v>168</v>
      </c>
      <c r="D686" s="5">
        <v>44075</v>
      </c>
      <c r="E686" s="5">
        <f ca="1">INDIRECT("'Sheet1'!AW91")</f>
        <v>0</v>
      </c>
      <c r="F686" t="b">
        <f t="shared" ca="1" si="57"/>
        <v>0</v>
      </c>
    </row>
    <row r="687" spans="1:6" x14ac:dyDescent="0.25">
      <c r="A687" t="s">
        <v>1137</v>
      </c>
      <c r="B687" t="s">
        <v>939</v>
      </c>
      <c r="C687" t="s">
        <v>169</v>
      </c>
      <c r="D687">
        <v>25</v>
      </c>
      <c r="E687">
        <f ca="1">INDIRECT("'Sheet1'!AX91")</f>
        <v>0</v>
      </c>
      <c r="F687" t="b">
        <f t="shared" ca="1" si="57"/>
        <v>0</v>
      </c>
    </row>
    <row r="688" spans="1:6" x14ac:dyDescent="0.25">
      <c r="A688" t="s">
        <v>1138</v>
      </c>
      <c r="B688" t="s">
        <v>940</v>
      </c>
      <c r="C688" t="s">
        <v>170</v>
      </c>
      <c r="D688" s="5">
        <v>44439</v>
      </c>
      <c r="E688" s="5">
        <f ca="1">INDIRECT("'Sheet1'!AY91")</f>
        <v>0</v>
      </c>
      <c r="F688" t="b">
        <f t="shared" ca="1" si="57"/>
        <v>0</v>
      </c>
    </row>
    <row r="689" spans="1:6" x14ac:dyDescent="0.25">
      <c r="A689" t="s">
        <v>1139</v>
      </c>
      <c r="B689" t="s">
        <v>941</v>
      </c>
      <c r="C689" t="s">
        <v>171</v>
      </c>
      <c r="D689">
        <v>26</v>
      </c>
      <c r="E689">
        <f ca="1">INDIRECT("'Sheet1'!AZ91")</f>
        <v>0</v>
      </c>
      <c r="F689" t="b">
        <f t="shared" ca="1" si="57"/>
        <v>0</v>
      </c>
    </row>
    <row r="690" spans="1:6" x14ac:dyDescent="0.25">
      <c r="A690" t="s">
        <v>1140</v>
      </c>
      <c r="B690" t="s">
        <v>942</v>
      </c>
      <c r="C690" t="s">
        <v>172</v>
      </c>
      <c r="D690" s="5">
        <v>43984</v>
      </c>
      <c r="E690" s="5">
        <f ca="1">INDIRECT("'Sheet1'!BA91")</f>
        <v>0</v>
      </c>
      <c r="F690" t="b">
        <f t="shared" ca="1" si="57"/>
        <v>0</v>
      </c>
    </row>
    <row r="692" spans="1:6" x14ac:dyDescent="0.25">
      <c r="A692" t="s">
        <v>1270</v>
      </c>
      <c r="B692" t="s">
        <v>1150</v>
      </c>
      <c r="C692" t="s">
        <v>173</v>
      </c>
      <c r="D692" s="15">
        <v>1.7</v>
      </c>
      <c r="E692" s="15">
        <f ca="1">INDIRECT("'Sheet1'!BB92")</f>
        <v>0</v>
      </c>
      <c r="F692" t="b">
        <f t="shared" ref="F692:F694" ca="1" si="58">E692=D692</f>
        <v>0</v>
      </c>
    </row>
    <row r="693" spans="1:6" x14ac:dyDescent="0.25">
      <c r="A693" t="s">
        <v>1271</v>
      </c>
      <c r="B693" t="s">
        <v>1151</v>
      </c>
      <c r="C693" t="s">
        <v>174</v>
      </c>
      <c r="D693" t="s">
        <v>293</v>
      </c>
      <c r="E693">
        <f ca="1">INDIRECT("'Sheet1'!BC92")</f>
        <v>0</v>
      </c>
      <c r="F693" t="b">
        <f t="shared" ca="1" si="58"/>
        <v>0</v>
      </c>
    </row>
    <row r="694" spans="1:6" x14ac:dyDescent="0.25">
      <c r="A694" t="s">
        <v>1272</v>
      </c>
      <c r="B694" t="s">
        <v>1152</v>
      </c>
      <c r="C694" t="s">
        <v>175</v>
      </c>
      <c r="D694" s="5">
        <v>44531</v>
      </c>
      <c r="E694" s="5">
        <f ca="1">INDIRECT("'Sheet1'!BD92")</f>
        <v>0</v>
      </c>
      <c r="F694" t="b">
        <f t="shared" ca="1" si="58"/>
        <v>0</v>
      </c>
    </row>
    <row r="696" spans="1:6" x14ac:dyDescent="0.25">
      <c r="A696" t="s">
        <v>1273</v>
      </c>
      <c r="B696" t="s">
        <v>1153</v>
      </c>
      <c r="C696" t="s">
        <v>173</v>
      </c>
      <c r="D696">
        <v>170</v>
      </c>
      <c r="E696">
        <f ca="1">INDIRECT("'Sheet1'!BB93")</f>
        <v>0</v>
      </c>
      <c r="F696" t="b">
        <f t="shared" ref="F696:F698" ca="1" si="59">E696=D696</f>
        <v>0</v>
      </c>
    </row>
    <row r="697" spans="1:6" x14ac:dyDescent="0.25">
      <c r="A697" t="s">
        <v>1274</v>
      </c>
      <c r="B697" t="s">
        <v>1154</v>
      </c>
      <c r="C697" t="s">
        <v>174</v>
      </c>
      <c r="D697" t="s">
        <v>1474</v>
      </c>
      <c r="E697">
        <f ca="1">INDIRECT("'Sheet1'!BC93")</f>
        <v>0</v>
      </c>
      <c r="F697" t="b">
        <f t="shared" ca="1" si="59"/>
        <v>0</v>
      </c>
    </row>
    <row r="698" spans="1:6" x14ac:dyDescent="0.25">
      <c r="A698" t="s">
        <v>1275</v>
      </c>
      <c r="B698" t="s">
        <v>1155</v>
      </c>
      <c r="C698" t="s">
        <v>175</v>
      </c>
      <c r="D698" s="5">
        <v>44531</v>
      </c>
      <c r="E698" s="5">
        <f ca="1">INDIRECT("'Sheet1'!BD93")</f>
        <v>0</v>
      </c>
      <c r="F698" t="b">
        <f t="shared" ca="1" si="59"/>
        <v>0</v>
      </c>
    </row>
    <row r="700" spans="1:6" x14ac:dyDescent="0.25">
      <c r="A700" t="s">
        <v>1276</v>
      </c>
      <c r="B700" t="s">
        <v>1156</v>
      </c>
      <c r="C700" t="s">
        <v>176</v>
      </c>
      <c r="D700">
        <v>170.5</v>
      </c>
      <c r="E700">
        <f ca="1">INDIRECT("'Sheet1'!BE94")</f>
        <v>0</v>
      </c>
      <c r="F700" t="b">
        <f t="shared" ref="F700:F702" ca="1" si="60">E700=D700</f>
        <v>0</v>
      </c>
    </row>
    <row r="701" spans="1:6" x14ac:dyDescent="0.25">
      <c r="A701" t="s">
        <v>1277</v>
      </c>
      <c r="B701" t="s">
        <v>1157</v>
      </c>
      <c r="C701" t="s">
        <v>177</v>
      </c>
      <c r="E701">
        <f ca="1">INDIRECT("'Sheet1'!BF94")</f>
        <v>0</v>
      </c>
      <c r="F701" t="b">
        <f t="shared" ca="1" si="60"/>
        <v>1</v>
      </c>
    </row>
    <row r="702" spans="1:6" x14ac:dyDescent="0.25">
      <c r="A702" t="s">
        <v>1278</v>
      </c>
      <c r="B702" t="s">
        <v>1158</v>
      </c>
      <c r="C702" t="s">
        <v>178</v>
      </c>
      <c r="D702" s="5">
        <v>44530</v>
      </c>
      <c r="E702" s="5">
        <f ca="1">INDIRECT("'Sheet1'!BG94")</f>
        <v>0</v>
      </c>
      <c r="F702" t="b">
        <f t="shared" ca="1" si="60"/>
        <v>0</v>
      </c>
    </row>
    <row r="704" spans="1:6" x14ac:dyDescent="0.25">
      <c r="A704" t="s">
        <v>1279</v>
      </c>
      <c r="B704" t="s">
        <v>1159</v>
      </c>
      <c r="C704" t="s">
        <v>176</v>
      </c>
      <c r="D704" t="s">
        <v>1638</v>
      </c>
      <c r="E704">
        <f ca="1">INDIRECT("'Sheet1'!BE95")</f>
        <v>0</v>
      </c>
      <c r="F704" t="b">
        <f t="shared" ref="F704:F706" ca="1" si="61">E704=D704</f>
        <v>0</v>
      </c>
    </row>
    <row r="705" spans="1:6" x14ac:dyDescent="0.25">
      <c r="A705" t="s">
        <v>1280</v>
      </c>
      <c r="B705" t="s">
        <v>1160</v>
      </c>
      <c r="C705" t="s">
        <v>177</v>
      </c>
      <c r="D705" t="s">
        <v>293</v>
      </c>
      <c r="E705">
        <f ca="1">INDIRECT("'Sheet1'!BF95")</f>
        <v>0</v>
      </c>
      <c r="F705" t="b">
        <f t="shared" ca="1" si="61"/>
        <v>0</v>
      </c>
    </row>
    <row r="706" spans="1:6" x14ac:dyDescent="0.25">
      <c r="A706" t="s">
        <v>1281</v>
      </c>
      <c r="B706" t="s">
        <v>1161</v>
      </c>
      <c r="C706" t="s">
        <v>178</v>
      </c>
      <c r="D706" s="5">
        <v>44530</v>
      </c>
      <c r="E706" s="5">
        <f ca="1">INDIRECT("'Sheet1'!BG95")</f>
        <v>0</v>
      </c>
      <c r="F706" t="b">
        <f t="shared" ca="1" si="61"/>
        <v>0</v>
      </c>
    </row>
    <row r="708" spans="1:6" x14ac:dyDescent="0.25">
      <c r="A708" t="s">
        <v>1282</v>
      </c>
      <c r="B708" t="s">
        <v>1162</v>
      </c>
      <c r="C708" t="s">
        <v>179</v>
      </c>
      <c r="D708">
        <v>170.5</v>
      </c>
      <c r="E708">
        <f ca="1">INDIRECT("'Sheet1'!BH96")</f>
        <v>0</v>
      </c>
      <c r="F708" t="b">
        <f t="shared" ref="F708:F709" ca="1" si="62">E708=D708</f>
        <v>0</v>
      </c>
    </row>
    <row r="709" spans="1:6" x14ac:dyDescent="0.25">
      <c r="A709" t="s">
        <v>1283</v>
      </c>
      <c r="B709" t="s">
        <v>1163</v>
      </c>
      <c r="C709" t="s">
        <v>181</v>
      </c>
      <c r="D709" s="5">
        <v>44256</v>
      </c>
      <c r="E709" s="5">
        <f ca="1">INDIRECT("'Sheet1'!BJ96")</f>
        <v>0</v>
      </c>
      <c r="F709" t="b">
        <f t="shared" ca="1" si="62"/>
        <v>0</v>
      </c>
    </row>
    <row r="711" spans="1:6" x14ac:dyDescent="0.25">
      <c r="A711" t="s">
        <v>1284</v>
      </c>
      <c r="B711" s="6" t="s">
        <v>1164</v>
      </c>
      <c r="C711" t="s">
        <v>182</v>
      </c>
      <c r="D711">
        <v>1.7</v>
      </c>
      <c r="E711">
        <f ca="1">INDIRECT("'Sheet1'!BK97")</f>
        <v>0</v>
      </c>
      <c r="F711" t="b">
        <f t="shared" ref="F711:F712" ca="1" si="63">E711=D711</f>
        <v>0</v>
      </c>
    </row>
    <row r="712" spans="1:6" x14ac:dyDescent="0.25">
      <c r="A712" t="s">
        <v>1285</v>
      </c>
      <c r="B712" s="6" t="s">
        <v>1165</v>
      </c>
      <c r="C712" t="s">
        <v>184</v>
      </c>
      <c r="D712" s="5">
        <v>44166</v>
      </c>
      <c r="E712" s="5">
        <f ca="1">INDIRECT("'Sheet1'!BM97")</f>
        <v>0</v>
      </c>
      <c r="F712" t="b">
        <f t="shared" ca="1" si="63"/>
        <v>0</v>
      </c>
    </row>
    <row r="714" spans="1:6" x14ac:dyDescent="0.25">
      <c r="A714" t="s">
        <v>1286</v>
      </c>
      <c r="B714" t="s">
        <v>1166</v>
      </c>
      <c r="C714" t="s">
        <v>185</v>
      </c>
      <c r="D714">
        <v>1.7</v>
      </c>
      <c r="E714">
        <f ca="1">INDIRECT("'Sheet1'!BN98")</f>
        <v>0</v>
      </c>
      <c r="F714" t="b">
        <f t="shared" ref="F714:F715" ca="1" si="64">E714=D714</f>
        <v>0</v>
      </c>
    </row>
    <row r="715" spans="1:6" x14ac:dyDescent="0.25">
      <c r="A715" t="s">
        <v>1287</v>
      </c>
      <c r="B715" t="s">
        <v>1167</v>
      </c>
      <c r="C715" t="s">
        <v>187</v>
      </c>
      <c r="D715" s="5">
        <v>44075</v>
      </c>
      <c r="E715" s="5">
        <f ca="1">INDIRECT("'Sheet1'!BP98")</f>
        <v>0</v>
      </c>
      <c r="F715" t="b">
        <f t="shared" ca="1" si="64"/>
        <v>0</v>
      </c>
    </row>
    <row r="717" spans="1:6" x14ac:dyDescent="0.25">
      <c r="A717" t="s">
        <v>1288</v>
      </c>
      <c r="B717" s="6" t="s">
        <v>1168</v>
      </c>
      <c r="C717" t="s">
        <v>188</v>
      </c>
      <c r="D717">
        <v>1.7</v>
      </c>
      <c r="E717">
        <f ca="1">INDIRECT("'Sheet1'!BQ99")</f>
        <v>0</v>
      </c>
      <c r="F717" t="b">
        <f t="shared" ref="F717:F718" ca="1" si="65">E717=D717</f>
        <v>0</v>
      </c>
    </row>
    <row r="718" spans="1:6" x14ac:dyDescent="0.25">
      <c r="A718" t="s">
        <v>1289</v>
      </c>
      <c r="B718" s="6" t="s">
        <v>1169</v>
      </c>
      <c r="C718" t="s">
        <v>190</v>
      </c>
      <c r="D718" s="5">
        <v>44258</v>
      </c>
      <c r="E718" s="5">
        <f ca="1">INDIRECT("'Sheet1'!BS99")</f>
        <v>0</v>
      </c>
      <c r="F718" t="b">
        <f t="shared" ca="1" si="65"/>
        <v>0</v>
      </c>
    </row>
    <row r="720" spans="1:6" x14ac:dyDescent="0.25">
      <c r="A720" t="s">
        <v>1290</v>
      </c>
      <c r="B720" t="s">
        <v>1170</v>
      </c>
      <c r="C720" t="s">
        <v>191</v>
      </c>
      <c r="D720">
        <v>1.7</v>
      </c>
      <c r="E720">
        <f ca="1">INDIRECT("'Sheet1'!BT100")</f>
        <v>0</v>
      </c>
      <c r="F720" t="b">
        <f t="shared" ref="F720:F721" ca="1" si="66">E720=D720</f>
        <v>0</v>
      </c>
    </row>
    <row r="721" spans="1:6" x14ac:dyDescent="0.25">
      <c r="A721" t="s">
        <v>1291</v>
      </c>
      <c r="B721" t="s">
        <v>1171</v>
      </c>
      <c r="C721" t="s">
        <v>193</v>
      </c>
      <c r="D721" s="5">
        <v>43984</v>
      </c>
      <c r="E721" s="5">
        <f ca="1">INDIRECT("'Sheet1'!BV100")</f>
        <v>0</v>
      </c>
      <c r="F721" t="b">
        <f t="shared" ca="1" si="66"/>
        <v>0</v>
      </c>
    </row>
    <row r="723" spans="1:6" x14ac:dyDescent="0.25">
      <c r="A723" t="s">
        <v>1292</v>
      </c>
      <c r="B723" t="s">
        <v>1172</v>
      </c>
      <c r="C723" t="s">
        <v>179</v>
      </c>
      <c r="D723">
        <v>1.7</v>
      </c>
      <c r="E723">
        <f ca="1">INDIRECT("'Sheet1'!BH101")</f>
        <v>0</v>
      </c>
      <c r="F723" t="b">
        <f t="shared" ref="F723:F724" ca="1" si="67">E723=D723</f>
        <v>0</v>
      </c>
    </row>
    <row r="724" spans="1:6" x14ac:dyDescent="0.25">
      <c r="A724" t="s">
        <v>1293</v>
      </c>
      <c r="B724" t="s">
        <v>1173</v>
      </c>
      <c r="C724" t="s">
        <v>181</v>
      </c>
      <c r="D724" s="5">
        <v>44167</v>
      </c>
      <c r="E724" s="5">
        <f ca="1">INDIRECT("'Sheet1'!BJ101")</f>
        <v>0</v>
      </c>
      <c r="F724" t="b">
        <f t="shared" ca="1" si="67"/>
        <v>0</v>
      </c>
    </row>
    <row r="726" spans="1:6" x14ac:dyDescent="0.25">
      <c r="A726" t="s">
        <v>1294</v>
      </c>
      <c r="B726" t="s">
        <v>1174</v>
      </c>
      <c r="C726" t="s">
        <v>182</v>
      </c>
      <c r="D726">
        <v>1.7</v>
      </c>
      <c r="E726">
        <f ca="1">INDIRECT("'Sheet1'!BK102")</f>
        <v>0</v>
      </c>
      <c r="F726" t="b">
        <f t="shared" ref="F726:F727" ca="1" si="68">E726=D726</f>
        <v>0</v>
      </c>
    </row>
    <row r="727" spans="1:6" x14ac:dyDescent="0.25">
      <c r="A727" t="s">
        <v>1295</v>
      </c>
      <c r="B727" t="s">
        <v>1175</v>
      </c>
      <c r="C727" t="s">
        <v>184</v>
      </c>
      <c r="D727" s="5">
        <v>44166</v>
      </c>
      <c r="E727" s="5">
        <f ca="1">INDIRECT("'Sheet1'!BM102")</f>
        <v>0</v>
      </c>
      <c r="F727" t="b">
        <f t="shared" ca="1" si="68"/>
        <v>0</v>
      </c>
    </row>
    <row r="729" spans="1:6" x14ac:dyDescent="0.25">
      <c r="A729" t="s">
        <v>1296</v>
      </c>
      <c r="B729" t="s">
        <v>1176</v>
      </c>
      <c r="C729" t="s">
        <v>185</v>
      </c>
      <c r="D729">
        <v>1.7</v>
      </c>
      <c r="E729">
        <f ca="1">INDIRECT("'Sheet1'!BN103")</f>
        <v>0</v>
      </c>
      <c r="F729" t="b">
        <f t="shared" ref="F729:F730" ca="1" si="69">E729=D729</f>
        <v>0</v>
      </c>
    </row>
    <row r="730" spans="1:6" x14ac:dyDescent="0.25">
      <c r="A730" t="s">
        <v>1297</v>
      </c>
      <c r="B730" t="s">
        <v>1177</v>
      </c>
      <c r="C730" t="s">
        <v>187</v>
      </c>
      <c r="D730" s="5">
        <v>44075</v>
      </c>
      <c r="E730" s="5">
        <f ca="1">INDIRECT("'Sheet1'!BP103")</f>
        <v>0</v>
      </c>
      <c r="F730" t="b">
        <f t="shared" ca="1" si="69"/>
        <v>0</v>
      </c>
    </row>
    <row r="732" spans="1:6" x14ac:dyDescent="0.25">
      <c r="A732" t="s">
        <v>1298</v>
      </c>
      <c r="B732" t="s">
        <v>1178</v>
      </c>
      <c r="C732" t="s">
        <v>188</v>
      </c>
      <c r="D732">
        <v>1.7</v>
      </c>
      <c r="E732">
        <f ca="1">INDIRECT("'Sheet1'!BQ104")</f>
        <v>0</v>
      </c>
      <c r="F732" t="b">
        <f t="shared" ref="F732:F733" ca="1" si="70">E732=D732</f>
        <v>0</v>
      </c>
    </row>
    <row r="733" spans="1:6" x14ac:dyDescent="0.25">
      <c r="A733" t="s">
        <v>1299</v>
      </c>
      <c r="B733" t="s">
        <v>1179</v>
      </c>
      <c r="C733" t="s">
        <v>190</v>
      </c>
      <c r="D733" s="5">
        <v>44258</v>
      </c>
      <c r="E733" s="5">
        <f ca="1">INDIRECT("'Sheet1'!BS104")</f>
        <v>0</v>
      </c>
      <c r="F733" t="b">
        <f t="shared" ca="1" si="70"/>
        <v>0</v>
      </c>
    </row>
    <row r="735" spans="1:6" x14ac:dyDescent="0.25">
      <c r="A735" t="s">
        <v>1300</v>
      </c>
      <c r="B735" t="s">
        <v>1180</v>
      </c>
      <c r="C735" t="s">
        <v>191</v>
      </c>
      <c r="D735">
        <v>1.7</v>
      </c>
      <c r="E735">
        <f ca="1">INDIRECT("'Sheet1'!BT105")</f>
        <v>0</v>
      </c>
      <c r="F735" t="b">
        <f t="shared" ref="F735:F736" ca="1" si="71">E735=D735</f>
        <v>0</v>
      </c>
    </row>
    <row r="736" spans="1:6" x14ac:dyDescent="0.25">
      <c r="A736" t="s">
        <v>1301</v>
      </c>
      <c r="B736" t="s">
        <v>1181</v>
      </c>
      <c r="C736" t="s">
        <v>193</v>
      </c>
      <c r="D736" s="5">
        <v>43984</v>
      </c>
      <c r="E736" s="5">
        <f ca="1">INDIRECT("'Sheet1'!BV105")</f>
        <v>0</v>
      </c>
      <c r="F736" t="b">
        <f t="shared" ca="1" si="71"/>
        <v>0</v>
      </c>
    </row>
    <row r="738" spans="1:6" x14ac:dyDescent="0.25">
      <c r="A738" t="s">
        <v>1302</v>
      </c>
      <c r="B738" t="s">
        <v>1182</v>
      </c>
      <c r="C738" t="s">
        <v>179</v>
      </c>
      <c r="D738">
        <v>1.7</v>
      </c>
      <c r="E738">
        <f ca="1">INDIRECT("'Sheet1'!BH106")</f>
        <v>0</v>
      </c>
      <c r="F738" t="b">
        <f t="shared" ref="F738:F741" ca="1" si="72">E738=D738</f>
        <v>0</v>
      </c>
    </row>
    <row r="739" spans="1:6" x14ac:dyDescent="0.25">
      <c r="A739" t="s">
        <v>1303</v>
      </c>
      <c r="B739" t="s">
        <v>1183</v>
      </c>
      <c r="C739" t="s">
        <v>181</v>
      </c>
      <c r="D739" s="5">
        <v>44167</v>
      </c>
      <c r="E739" s="5">
        <f ca="1">INDIRECT("'Sheet1'!BJ106")</f>
        <v>0</v>
      </c>
      <c r="F739" t="b">
        <f t="shared" ca="1" si="72"/>
        <v>0</v>
      </c>
    </row>
    <row r="740" spans="1:6" x14ac:dyDescent="0.25">
      <c r="A740" t="s">
        <v>1304</v>
      </c>
      <c r="B740" t="s">
        <v>1184</v>
      </c>
      <c r="C740" t="s">
        <v>182</v>
      </c>
      <c r="D740">
        <v>1.71</v>
      </c>
      <c r="E740">
        <f ca="1">INDIRECT("'Sheet1'!BK106")</f>
        <v>0</v>
      </c>
      <c r="F740" t="b">
        <f t="shared" ca="1" si="72"/>
        <v>0</v>
      </c>
    </row>
    <row r="741" spans="1:6" x14ac:dyDescent="0.25">
      <c r="A741" t="s">
        <v>1305</v>
      </c>
      <c r="B741" t="s">
        <v>1185</v>
      </c>
      <c r="C741" t="s">
        <v>184</v>
      </c>
      <c r="D741" s="5">
        <v>44166</v>
      </c>
      <c r="E741" s="5">
        <f ca="1">INDIRECT("'Sheet1'!BM106")</f>
        <v>0</v>
      </c>
      <c r="F741" t="b">
        <f t="shared" ca="1" si="72"/>
        <v>0</v>
      </c>
    </row>
    <row r="743" spans="1:6" x14ac:dyDescent="0.25">
      <c r="A743" t="s">
        <v>1306</v>
      </c>
      <c r="B743" t="s">
        <v>1186</v>
      </c>
      <c r="C743" t="s">
        <v>179</v>
      </c>
      <c r="D743">
        <v>1.7</v>
      </c>
      <c r="E743">
        <f ca="1">INDIRECT("'Sheet1'!BH107")</f>
        <v>0</v>
      </c>
      <c r="F743" t="b">
        <f t="shared" ref="F743:F746" ca="1" si="73">E743=D743</f>
        <v>0</v>
      </c>
    </row>
    <row r="744" spans="1:6" x14ac:dyDescent="0.25">
      <c r="A744" t="s">
        <v>1307</v>
      </c>
      <c r="B744" t="s">
        <v>1187</v>
      </c>
      <c r="C744" t="s">
        <v>181</v>
      </c>
      <c r="D744" s="5">
        <v>44257</v>
      </c>
      <c r="E744" s="5">
        <f ca="1">INDIRECT("'Sheet1'!BJ107")</f>
        <v>0</v>
      </c>
      <c r="F744" t="b">
        <f t="shared" ca="1" si="73"/>
        <v>0</v>
      </c>
    </row>
    <row r="745" spans="1:6" x14ac:dyDescent="0.25">
      <c r="A745" t="s">
        <v>1308</v>
      </c>
      <c r="B745" t="s">
        <v>1188</v>
      </c>
      <c r="C745" t="s">
        <v>188</v>
      </c>
      <c r="D745">
        <v>1.71</v>
      </c>
      <c r="E745">
        <f ca="1">INDIRECT("'Sheet1'!BQ107")</f>
        <v>0</v>
      </c>
      <c r="F745" t="b">
        <f t="shared" ca="1" si="73"/>
        <v>0</v>
      </c>
    </row>
    <row r="746" spans="1:6" x14ac:dyDescent="0.25">
      <c r="A746" t="s">
        <v>1309</v>
      </c>
      <c r="B746" t="s">
        <v>1189</v>
      </c>
      <c r="C746" t="s">
        <v>190</v>
      </c>
      <c r="D746" s="5">
        <v>44258</v>
      </c>
      <c r="E746" s="5">
        <f ca="1">INDIRECT("'Sheet1'!BS107")</f>
        <v>0</v>
      </c>
      <c r="F746" t="b">
        <f t="shared" ca="1" si="73"/>
        <v>0</v>
      </c>
    </row>
    <row r="748" spans="1:6" x14ac:dyDescent="0.25">
      <c r="A748" t="s">
        <v>1310</v>
      </c>
      <c r="B748" t="s">
        <v>1190</v>
      </c>
      <c r="C748" t="s">
        <v>182</v>
      </c>
      <c r="D748">
        <v>1.7</v>
      </c>
      <c r="E748">
        <f ca="1">INDIRECT("'Sheet1'!BK108")</f>
        <v>0</v>
      </c>
      <c r="F748" t="b">
        <f t="shared" ref="F748:F751" ca="1" si="74">E748=D748</f>
        <v>0</v>
      </c>
    </row>
    <row r="749" spans="1:6" x14ac:dyDescent="0.25">
      <c r="A749" t="s">
        <v>1311</v>
      </c>
      <c r="B749" t="s">
        <v>1191</v>
      </c>
      <c r="C749" t="s">
        <v>184</v>
      </c>
      <c r="D749" s="5">
        <v>44076</v>
      </c>
      <c r="E749" s="5">
        <f ca="1">INDIRECT("'Sheet1'!BM108")</f>
        <v>0</v>
      </c>
      <c r="F749" t="b">
        <f t="shared" ca="1" si="74"/>
        <v>0</v>
      </c>
    </row>
    <row r="750" spans="1:6" x14ac:dyDescent="0.25">
      <c r="A750" t="s">
        <v>1312</v>
      </c>
      <c r="B750" t="s">
        <v>1192</v>
      </c>
      <c r="C750" t="s">
        <v>185</v>
      </c>
      <c r="D750">
        <v>1.71</v>
      </c>
      <c r="E750">
        <f ca="1">INDIRECT("'Sheet1'!BN108")</f>
        <v>0</v>
      </c>
      <c r="F750" t="b">
        <f t="shared" ca="1" si="74"/>
        <v>0</v>
      </c>
    </row>
    <row r="751" spans="1:6" x14ac:dyDescent="0.25">
      <c r="A751" t="s">
        <v>1313</v>
      </c>
      <c r="B751" t="s">
        <v>1193</v>
      </c>
      <c r="C751" t="s">
        <v>187</v>
      </c>
      <c r="D751" s="5">
        <v>44075</v>
      </c>
      <c r="E751" s="5">
        <f ca="1">INDIRECT("'Sheet1'!BP108")</f>
        <v>0</v>
      </c>
      <c r="F751" t="b">
        <f t="shared" ca="1" si="74"/>
        <v>0</v>
      </c>
    </row>
    <row r="753" spans="1:6" x14ac:dyDescent="0.25">
      <c r="A753" t="s">
        <v>1314</v>
      </c>
      <c r="B753" t="s">
        <v>1194</v>
      </c>
      <c r="C753" t="s">
        <v>185</v>
      </c>
      <c r="D753">
        <v>1.7</v>
      </c>
      <c r="E753">
        <f ca="1">INDIRECT("'Sheet1'!BN109")</f>
        <v>0</v>
      </c>
      <c r="F753" t="b">
        <f t="shared" ref="F753:F756" ca="1" si="75">E753=D753</f>
        <v>0</v>
      </c>
    </row>
    <row r="754" spans="1:6" x14ac:dyDescent="0.25">
      <c r="A754" t="s">
        <v>1315</v>
      </c>
      <c r="B754" t="s">
        <v>1195</v>
      </c>
      <c r="C754" t="s">
        <v>187</v>
      </c>
      <c r="D754" s="5">
        <v>43985</v>
      </c>
      <c r="E754" s="5">
        <f ca="1">INDIRECT("'Sheet1'!BP109")</f>
        <v>0</v>
      </c>
      <c r="F754" t="b">
        <f t="shared" ca="1" si="75"/>
        <v>0</v>
      </c>
    </row>
    <row r="755" spans="1:6" x14ac:dyDescent="0.25">
      <c r="A755" t="s">
        <v>1316</v>
      </c>
      <c r="B755" t="s">
        <v>1196</v>
      </c>
      <c r="C755" t="s">
        <v>191</v>
      </c>
      <c r="D755">
        <v>1.71</v>
      </c>
      <c r="E755">
        <f ca="1">INDIRECT("'Sheet1'!BT109")</f>
        <v>0</v>
      </c>
      <c r="F755" t="b">
        <f t="shared" ca="1" si="75"/>
        <v>0</v>
      </c>
    </row>
    <row r="756" spans="1:6" x14ac:dyDescent="0.25">
      <c r="A756" t="s">
        <v>1317</v>
      </c>
      <c r="B756" t="s">
        <v>1197</v>
      </c>
      <c r="C756" t="s">
        <v>193</v>
      </c>
      <c r="D756" s="5">
        <v>43984</v>
      </c>
      <c r="E756" s="5">
        <f ca="1">INDIRECT("'Sheet1'!BV109")</f>
        <v>0</v>
      </c>
      <c r="F756" t="b">
        <f t="shared" ca="1" si="75"/>
        <v>0</v>
      </c>
    </row>
    <row r="758" spans="1:6" x14ac:dyDescent="0.25">
      <c r="A758" t="s">
        <v>1318</v>
      </c>
      <c r="B758" t="s">
        <v>1198</v>
      </c>
      <c r="C758" t="s">
        <v>188</v>
      </c>
      <c r="D758">
        <v>1.7</v>
      </c>
      <c r="E758">
        <f ca="1">INDIRECT("'Sheet1'!BQ110")</f>
        <v>0</v>
      </c>
      <c r="F758" t="b">
        <f t="shared" ref="F758:F761" ca="1" si="76">E758=D758</f>
        <v>0</v>
      </c>
    </row>
    <row r="759" spans="1:6" x14ac:dyDescent="0.25">
      <c r="A759" t="s">
        <v>1319</v>
      </c>
      <c r="B759" t="s">
        <v>1199</v>
      </c>
      <c r="C759" t="s">
        <v>190</v>
      </c>
      <c r="D759" s="5">
        <v>44439</v>
      </c>
      <c r="E759" s="5">
        <f ca="1">INDIRECT("'Sheet1'!BS110")</f>
        <v>0</v>
      </c>
      <c r="F759" t="b">
        <f t="shared" ca="1" si="76"/>
        <v>0</v>
      </c>
    </row>
    <row r="760" spans="1:6" x14ac:dyDescent="0.25">
      <c r="A760" t="s">
        <v>1320</v>
      </c>
      <c r="B760" t="s">
        <v>1200</v>
      </c>
      <c r="C760" t="s">
        <v>176</v>
      </c>
      <c r="D760">
        <v>1.71</v>
      </c>
      <c r="E760">
        <f ca="1">INDIRECT("'Sheet1'!BE110")</f>
        <v>0</v>
      </c>
      <c r="F760" t="b">
        <f t="shared" ca="1" si="76"/>
        <v>0</v>
      </c>
    </row>
    <row r="761" spans="1:6" x14ac:dyDescent="0.25">
      <c r="A761" t="s">
        <v>1321</v>
      </c>
      <c r="B761" t="s">
        <v>1201</v>
      </c>
      <c r="C761" t="s">
        <v>178</v>
      </c>
      <c r="D761" s="5">
        <v>44440</v>
      </c>
      <c r="E761" s="5">
        <f ca="1">INDIRECT("'Sheet1'!BG110")</f>
        <v>0</v>
      </c>
      <c r="F761" t="b">
        <f t="shared" ca="1" si="76"/>
        <v>0</v>
      </c>
    </row>
    <row r="763" spans="1:6" x14ac:dyDescent="0.25">
      <c r="A763" t="s">
        <v>1322</v>
      </c>
      <c r="B763" t="s">
        <v>1202</v>
      </c>
      <c r="C763" t="s">
        <v>191</v>
      </c>
      <c r="D763">
        <v>1.7</v>
      </c>
      <c r="E763">
        <f ca="1">INDIRECT("'Sheet1'!BT111")</f>
        <v>0</v>
      </c>
      <c r="F763" t="b">
        <f t="shared" ref="F763:F766" ca="1" si="77">E763=D763</f>
        <v>0</v>
      </c>
    </row>
    <row r="764" spans="1:6" x14ac:dyDescent="0.25">
      <c r="A764" t="s">
        <v>1324</v>
      </c>
      <c r="B764" t="s">
        <v>1203</v>
      </c>
      <c r="C764" t="s">
        <v>193</v>
      </c>
      <c r="D764" s="5">
        <v>40879</v>
      </c>
      <c r="E764" s="5">
        <f ca="1">INDIRECT("'Sheet1'!BV111")</f>
        <v>0</v>
      </c>
      <c r="F764" t="b">
        <f t="shared" ca="1" si="77"/>
        <v>0</v>
      </c>
    </row>
    <row r="765" spans="1:6" x14ac:dyDescent="0.25">
      <c r="A765" t="s">
        <v>1323</v>
      </c>
      <c r="B765" t="s">
        <v>593</v>
      </c>
      <c r="C765" t="s">
        <v>1204</v>
      </c>
      <c r="E765">
        <f ca="1">SUM(
  INDIRECT("'Sheet1'!BQ111"),
  INDIRECT("'Sheet1'!BN111"),
  INDIRECT("'Sheet1'!BK111"),
  INDIRECT("'Sheet1'!BH111"),
  INDIRECT("'Sheet1'!BE111"),
  INDIRECT("'Sheet1'!BB111")
)</f>
        <v>0</v>
      </c>
      <c r="F765" t="b">
        <f t="shared" ca="1" si="77"/>
        <v>1</v>
      </c>
    </row>
    <row r="766" spans="1:6" x14ac:dyDescent="0.25">
      <c r="A766" t="s">
        <v>1325</v>
      </c>
      <c r="B766" t="s">
        <v>594</v>
      </c>
      <c r="C766" t="s">
        <v>1205</v>
      </c>
      <c r="E766">
        <f ca="1">SUM(
  INDIRECT("'Sheet1'!BD111"),
  INDIRECT("'Sheet1'!BG111"),
  INDIRECT("'Sheet1'!BJ111"),
  INDIRECT("'Sheet1'!BM111"),
  INDIRECT("'Sheet1'!BP111"),
  INDIRECT("'Sheet1'!BS111")
)</f>
        <v>0</v>
      </c>
      <c r="F766" t="b">
        <f t="shared" ca="1" si="77"/>
        <v>1</v>
      </c>
    </row>
    <row r="768" spans="1:6" x14ac:dyDescent="0.25">
      <c r="A768" t="s">
        <v>1326</v>
      </c>
      <c r="B768" t="s">
        <v>1206</v>
      </c>
      <c r="C768" t="s">
        <v>173</v>
      </c>
      <c r="D768">
        <v>1.7</v>
      </c>
      <c r="E768">
        <f ca="1">INDIRECT("'Sheet1'!BB112")</f>
        <v>0</v>
      </c>
      <c r="F768" t="b">
        <f t="shared" ref="F768:F771" ca="1" si="78">E768=D768</f>
        <v>0</v>
      </c>
    </row>
    <row r="769" spans="1:6" x14ac:dyDescent="0.25">
      <c r="A769" t="s">
        <v>1327</v>
      </c>
      <c r="B769" t="s">
        <v>1207</v>
      </c>
      <c r="C769" t="s">
        <v>175</v>
      </c>
      <c r="D769" s="5">
        <v>44531</v>
      </c>
      <c r="E769" s="5">
        <f ca="1">INDIRECT("'Sheet1'!BD112")</f>
        <v>0</v>
      </c>
      <c r="F769" t="b">
        <f t="shared" ca="1" si="78"/>
        <v>0</v>
      </c>
    </row>
    <row r="770" spans="1:6" x14ac:dyDescent="0.25">
      <c r="A770" t="s">
        <v>1328</v>
      </c>
      <c r="B770" t="s">
        <v>1208</v>
      </c>
      <c r="C770" t="s">
        <v>176</v>
      </c>
      <c r="D770">
        <v>1.71</v>
      </c>
      <c r="E770">
        <f ca="1">INDIRECT("'Sheet1'!BE112")</f>
        <v>0</v>
      </c>
      <c r="F770" t="b">
        <f t="shared" ca="1" si="78"/>
        <v>0</v>
      </c>
    </row>
    <row r="771" spans="1:6" x14ac:dyDescent="0.25">
      <c r="A771" t="s">
        <v>1329</v>
      </c>
      <c r="B771" t="s">
        <v>1209</v>
      </c>
      <c r="C771" t="s">
        <v>178</v>
      </c>
      <c r="D771" s="5">
        <v>44530</v>
      </c>
      <c r="E771" s="5">
        <f ca="1">INDIRECT("'Sheet1'!BG112")</f>
        <v>0</v>
      </c>
      <c r="F771" t="b">
        <f t="shared" ca="1" si="78"/>
        <v>0</v>
      </c>
    </row>
    <row r="773" spans="1:6" x14ac:dyDescent="0.25">
      <c r="A773" t="s">
        <v>1330</v>
      </c>
      <c r="B773" t="s">
        <v>1210</v>
      </c>
      <c r="C773" t="s">
        <v>173</v>
      </c>
      <c r="D773">
        <v>1.7</v>
      </c>
      <c r="E773">
        <f ca="1">INDIRECT("'Sheet1'!BB113")</f>
        <v>0</v>
      </c>
      <c r="F773" t="b">
        <f t="shared" ref="F773:F776" ca="1" si="79">E773=D773</f>
        <v>0</v>
      </c>
    </row>
    <row r="774" spans="1:6" x14ac:dyDescent="0.25">
      <c r="A774" t="s">
        <v>1331</v>
      </c>
      <c r="B774" t="s">
        <v>1211</v>
      </c>
      <c r="C774" t="s">
        <v>175</v>
      </c>
      <c r="D774" s="5">
        <v>44622</v>
      </c>
      <c r="E774" s="5">
        <f ca="1">INDIRECT("'Sheet1'!BD113")</f>
        <v>0</v>
      </c>
      <c r="F774" t="b">
        <f t="shared" ca="1" si="79"/>
        <v>0</v>
      </c>
    </row>
    <row r="775" spans="1:6" x14ac:dyDescent="0.25">
      <c r="A775" t="s">
        <v>1332</v>
      </c>
      <c r="B775" t="s">
        <v>627</v>
      </c>
      <c r="C775" t="s">
        <v>1212</v>
      </c>
      <c r="E775">
        <f ca="1">SUM(
  INDIRECT("'Sheet1'!BE113"),
  INDIRECT("'Sheet1'!BH113"),
  INDIRECT("'Sheet1'!BK113"),
  INDIRECT("'Sheet1'!BN113"),
  INDIRECT("'Sheet1'!BQ113"),
  INDIRECT("'Sheet1'!BT113")
)</f>
        <v>0</v>
      </c>
      <c r="F775" t="b">
        <f t="shared" ca="1" si="79"/>
        <v>1</v>
      </c>
    </row>
    <row r="776" spans="1:6" x14ac:dyDescent="0.25">
      <c r="A776" t="s">
        <v>1333</v>
      </c>
      <c r="B776" t="s">
        <v>628</v>
      </c>
      <c r="C776" t="s">
        <v>1213</v>
      </c>
      <c r="E776">
        <f ca="1">SUM(
  INDIRECT("'Sheet1'!BG113"),
  INDIRECT("'Sheet1'!BJ113"),
  INDIRECT("'Sheet1'!BM113"),
  INDIRECT("'Sheet1'!BP113"),
  INDIRECT("'Sheet1'!BS113"),
  INDIRECT("'Sheet1'!BV113")
)</f>
        <v>0</v>
      </c>
      <c r="F776" t="b">
        <f t="shared" ca="1" si="79"/>
        <v>1</v>
      </c>
    </row>
    <row r="778" spans="1:6" x14ac:dyDescent="0.25">
      <c r="A778" t="s">
        <v>1334</v>
      </c>
      <c r="B778" t="s">
        <v>1214</v>
      </c>
      <c r="C778" t="s">
        <v>173</v>
      </c>
      <c r="D778">
        <v>1.7</v>
      </c>
      <c r="E778">
        <f ca="1">INDIRECT("'Sheet1'!BB114")</f>
        <v>0</v>
      </c>
      <c r="F778" t="b">
        <f t="shared" ref="F778:F791" ca="1" si="80">E778=D778</f>
        <v>0</v>
      </c>
    </row>
    <row r="779" spans="1:6" x14ac:dyDescent="0.25">
      <c r="A779" t="s">
        <v>1335</v>
      </c>
      <c r="B779" t="s">
        <v>1215</v>
      </c>
      <c r="C779" t="s">
        <v>175</v>
      </c>
      <c r="D779" s="5">
        <v>44531</v>
      </c>
      <c r="E779" s="5">
        <f ca="1">INDIRECT("'Sheet1'!BD114")</f>
        <v>0</v>
      </c>
      <c r="F779" t="b">
        <f t="shared" ca="1" si="80"/>
        <v>0</v>
      </c>
    </row>
    <row r="780" spans="1:6" x14ac:dyDescent="0.25">
      <c r="A780" t="s">
        <v>1336</v>
      </c>
      <c r="B780" t="s">
        <v>1216</v>
      </c>
      <c r="C780" t="s">
        <v>176</v>
      </c>
      <c r="D780">
        <v>1.71</v>
      </c>
      <c r="E780" s="5">
        <f ca="1">INDIRECT("'Sheet1'!BE114")</f>
        <v>0</v>
      </c>
      <c r="F780" t="b">
        <f t="shared" ca="1" si="80"/>
        <v>0</v>
      </c>
    </row>
    <row r="781" spans="1:6" x14ac:dyDescent="0.25">
      <c r="A781" t="s">
        <v>1337</v>
      </c>
      <c r="B781" t="s">
        <v>1217</v>
      </c>
      <c r="C781" t="s">
        <v>178</v>
      </c>
      <c r="D781" s="5">
        <v>44530</v>
      </c>
      <c r="E781" s="5">
        <f ca="1">INDIRECT("'Sheet1'!BG114")</f>
        <v>0</v>
      </c>
      <c r="F781" t="b">
        <f t="shared" ca="1" si="80"/>
        <v>0</v>
      </c>
    </row>
    <row r="782" spans="1:6" x14ac:dyDescent="0.25">
      <c r="A782" t="s">
        <v>1338</v>
      </c>
      <c r="B782" t="s">
        <v>1218</v>
      </c>
      <c r="C782" t="s">
        <v>179</v>
      </c>
      <c r="D782">
        <v>1.72</v>
      </c>
      <c r="E782">
        <f ca="1">INDIRECT("'Sheet1'!BH114")</f>
        <v>0</v>
      </c>
      <c r="F782" t="b">
        <f t="shared" ca="1" si="80"/>
        <v>0</v>
      </c>
    </row>
    <row r="783" spans="1:6" x14ac:dyDescent="0.25">
      <c r="A783" t="s">
        <v>1339</v>
      </c>
      <c r="B783" t="s">
        <v>1219</v>
      </c>
      <c r="C783" t="s">
        <v>181</v>
      </c>
      <c r="D783" s="5">
        <v>44257</v>
      </c>
      <c r="E783" s="5">
        <f ca="1">INDIRECT("'Sheet1'!BJ114")</f>
        <v>0</v>
      </c>
      <c r="F783" t="b">
        <f t="shared" ca="1" si="80"/>
        <v>0</v>
      </c>
    </row>
    <row r="784" spans="1:6" x14ac:dyDescent="0.25">
      <c r="A784" t="s">
        <v>1340</v>
      </c>
      <c r="B784" t="s">
        <v>1220</v>
      </c>
      <c r="C784" t="s">
        <v>182</v>
      </c>
      <c r="D784">
        <v>1.73</v>
      </c>
      <c r="E784">
        <f ca="1">INDIRECT("'Sheet1'!BK114")</f>
        <v>0</v>
      </c>
      <c r="F784" t="b">
        <f t="shared" ca="1" si="80"/>
        <v>0</v>
      </c>
    </row>
    <row r="785" spans="1:6" x14ac:dyDescent="0.25">
      <c r="A785" t="s">
        <v>1341</v>
      </c>
      <c r="B785" t="s">
        <v>1221</v>
      </c>
      <c r="C785" t="s">
        <v>184</v>
      </c>
      <c r="D785" s="5">
        <v>44166</v>
      </c>
      <c r="E785" s="5">
        <f ca="1">INDIRECT("'Sheet1'!BM114")</f>
        <v>0</v>
      </c>
      <c r="F785" t="b">
        <f t="shared" ca="1" si="80"/>
        <v>0</v>
      </c>
    </row>
    <row r="786" spans="1:6" x14ac:dyDescent="0.25">
      <c r="A786" t="s">
        <v>1342</v>
      </c>
      <c r="B786" t="s">
        <v>1222</v>
      </c>
      <c r="C786" t="s">
        <v>185</v>
      </c>
      <c r="D786">
        <v>1.74</v>
      </c>
      <c r="E786">
        <f ca="1">INDIRECT("'Sheet1'!BN114")</f>
        <v>0</v>
      </c>
      <c r="F786" t="b">
        <f t="shared" ca="1" si="80"/>
        <v>0</v>
      </c>
    </row>
    <row r="787" spans="1:6" x14ac:dyDescent="0.25">
      <c r="A787" t="s">
        <v>1343</v>
      </c>
      <c r="B787" t="s">
        <v>1223</v>
      </c>
      <c r="C787" t="s">
        <v>187</v>
      </c>
      <c r="D787" s="5">
        <v>44075</v>
      </c>
      <c r="E787" s="5">
        <f ca="1">INDIRECT("'Sheet1'!BP114")</f>
        <v>0</v>
      </c>
      <c r="F787" t="b">
        <f t="shared" ca="1" si="80"/>
        <v>0</v>
      </c>
    </row>
    <row r="788" spans="1:6" x14ac:dyDescent="0.25">
      <c r="A788" t="s">
        <v>1344</v>
      </c>
      <c r="B788" t="s">
        <v>1224</v>
      </c>
      <c r="C788" t="s">
        <v>188</v>
      </c>
      <c r="D788">
        <v>1.75</v>
      </c>
      <c r="E788">
        <f ca="1">INDIRECT("'Sheet1'!BQ114")</f>
        <v>0</v>
      </c>
      <c r="F788" t="b">
        <f t="shared" ca="1" si="80"/>
        <v>0</v>
      </c>
    </row>
    <row r="789" spans="1:6" x14ac:dyDescent="0.25">
      <c r="A789" t="s">
        <v>1345</v>
      </c>
      <c r="B789" t="s">
        <v>1225</v>
      </c>
      <c r="C789" t="s">
        <v>190</v>
      </c>
      <c r="D789" s="5">
        <v>44439</v>
      </c>
      <c r="E789" s="5">
        <f ca="1">INDIRECT("'Sheet1'!BS114")</f>
        <v>0</v>
      </c>
      <c r="F789" t="b">
        <f t="shared" ca="1" si="80"/>
        <v>0</v>
      </c>
    </row>
    <row r="790" spans="1:6" x14ac:dyDescent="0.25">
      <c r="A790" t="s">
        <v>1346</v>
      </c>
      <c r="B790" t="s">
        <v>1226</v>
      </c>
      <c r="C790" t="s">
        <v>191</v>
      </c>
      <c r="D790">
        <v>1.76</v>
      </c>
      <c r="E790">
        <f ca="1">INDIRECT("'Sheet1'!BT114")</f>
        <v>0</v>
      </c>
      <c r="F790" t="b">
        <f t="shared" ca="1" si="80"/>
        <v>0</v>
      </c>
    </row>
    <row r="791" spans="1:6" x14ac:dyDescent="0.25">
      <c r="A791" t="s">
        <v>1347</v>
      </c>
      <c r="B791" t="s">
        <v>1227</v>
      </c>
      <c r="C791" t="s">
        <v>193</v>
      </c>
      <c r="D791" s="5">
        <v>43984</v>
      </c>
      <c r="E791" s="5">
        <f ca="1">INDIRECT("'Sheet1'!BV114")</f>
        <v>0</v>
      </c>
      <c r="F791" t="b">
        <f t="shared" ca="1" si="80"/>
        <v>0</v>
      </c>
    </row>
    <row r="793" spans="1:6" x14ac:dyDescent="0.25">
      <c r="A793" t="s">
        <v>1348</v>
      </c>
      <c r="B793" t="s">
        <v>1228</v>
      </c>
      <c r="C793" t="s">
        <v>173</v>
      </c>
      <c r="E793">
        <f ca="1">INDIRECT("'Sheet1'!BB115")</f>
        <v>0</v>
      </c>
      <c r="F793" t="b">
        <f t="shared" ref="F793:F806" ca="1" si="81">E793=D793</f>
        <v>1</v>
      </c>
    </row>
    <row r="794" spans="1:6" x14ac:dyDescent="0.25">
      <c r="A794" t="s">
        <v>1349</v>
      </c>
      <c r="B794" t="s">
        <v>1229</v>
      </c>
      <c r="C794" t="s">
        <v>175</v>
      </c>
      <c r="E794" s="5">
        <f ca="1">INDIRECT("'Sheet1'!BD115")</f>
        <v>0</v>
      </c>
      <c r="F794" t="b">
        <f t="shared" ca="1" si="81"/>
        <v>1</v>
      </c>
    </row>
    <row r="795" spans="1:6" x14ac:dyDescent="0.25">
      <c r="A795" t="s">
        <v>1350</v>
      </c>
      <c r="B795" t="s">
        <v>1230</v>
      </c>
      <c r="C795" t="s">
        <v>176</v>
      </c>
      <c r="E795">
        <f ca="1">INDIRECT("'Sheet1'!BE115")</f>
        <v>0</v>
      </c>
      <c r="F795" t="b">
        <f t="shared" ca="1" si="81"/>
        <v>1</v>
      </c>
    </row>
    <row r="796" spans="1:6" x14ac:dyDescent="0.25">
      <c r="A796" t="s">
        <v>1351</v>
      </c>
      <c r="B796" t="s">
        <v>1231</v>
      </c>
      <c r="C796" t="s">
        <v>178</v>
      </c>
      <c r="E796" s="5">
        <f ca="1">INDIRECT("'Sheet1'!BG115")</f>
        <v>0</v>
      </c>
      <c r="F796" t="b">
        <f t="shared" ca="1" si="81"/>
        <v>1</v>
      </c>
    </row>
    <row r="797" spans="1:6" x14ac:dyDescent="0.25">
      <c r="A797" t="s">
        <v>1352</v>
      </c>
      <c r="B797" t="s">
        <v>1232</v>
      </c>
      <c r="C797" t="s">
        <v>179</v>
      </c>
      <c r="E797">
        <f ca="1">INDIRECT("'Sheet1'!BH115")</f>
        <v>0</v>
      </c>
      <c r="F797" t="b">
        <f t="shared" ca="1" si="81"/>
        <v>1</v>
      </c>
    </row>
    <row r="798" spans="1:6" x14ac:dyDescent="0.25">
      <c r="A798" t="s">
        <v>1353</v>
      </c>
      <c r="B798" t="s">
        <v>1233</v>
      </c>
      <c r="C798" t="s">
        <v>181</v>
      </c>
      <c r="E798" s="5">
        <f ca="1">INDIRECT("'Sheet1'!BJ115")</f>
        <v>0</v>
      </c>
      <c r="F798" t="b">
        <f t="shared" ca="1" si="81"/>
        <v>1</v>
      </c>
    </row>
    <row r="799" spans="1:6" x14ac:dyDescent="0.25">
      <c r="A799" t="s">
        <v>1354</v>
      </c>
      <c r="B799" t="s">
        <v>1234</v>
      </c>
      <c r="C799" t="s">
        <v>182</v>
      </c>
      <c r="E799">
        <f ca="1">INDIRECT("'Sheet1'!BK115")</f>
        <v>0</v>
      </c>
      <c r="F799" t="b">
        <f t="shared" ca="1" si="81"/>
        <v>1</v>
      </c>
    </row>
    <row r="800" spans="1:6" x14ac:dyDescent="0.25">
      <c r="A800" t="s">
        <v>1355</v>
      </c>
      <c r="B800" t="s">
        <v>1235</v>
      </c>
      <c r="C800" t="s">
        <v>184</v>
      </c>
      <c r="E800" s="5">
        <f ca="1">INDIRECT("'Sheet1'!BM115")</f>
        <v>0</v>
      </c>
      <c r="F800" t="b">
        <f t="shared" ca="1" si="81"/>
        <v>1</v>
      </c>
    </row>
    <row r="801" spans="1:6" x14ac:dyDescent="0.25">
      <c r="A801" t="s">
        <v>1356</v>
      </c>
      <c r="B801" t="s">
        <v>1236</v>
      </c>
      <c r="C801" t="s">
        <v>185</v>
      </c>
      <c r="E801">
        <f ca="1">INDIRECT("'Sheet1'!BN115")</f>
        <v>0</v>
      </c>
      <c r="F801" t="b">
        <f t="shared" ca="1" si="81"/>
        <v>1</v>
      </c>
    </row>
    <row r="802" spans="1:6" x14ac:dyDescent="0.25">
      <c r="A802" t="s">
        <v>1357</v>
      </c>
      <c r="B802" t="s">
        <v>1237</v>
      </c>
      <c r="C802" t="s">
        <v>187</v>
      </c>
      <c r="E802" s="5">
        <f ca="1">INDIRECT("'Sheet1'!BP115")</f>
        <v>0</v>
      </c>
      <c r="F802" t="b">
        <f t="shared" ca="1" si="81"/>
        <v>1</v>
      </c>
    </row>
    <row r="803" spans="1:6" x14ac:dyDescent="0.25">
      <c r="A803" t="s">
        <v>1358</v>
      </c>
      <c r="B803" t="s">
        <v>1238</v>
      </c>
      <c r="C803" t="s">
        <v>188</v>
      </c>
      <c r="E803">
        <f ca="1">INDIRECT("'Sheet1'!BQ115")</f>
        <v>0</v>
      </c>
      <c r="F803" t="b">
        <f t="shared" ca="1" si="81"/>
        <v>1</v>
      </c>
    </row>
    <row r="804" spans="1:6" x14ac:dyDescent="0.25">
      <c r="A804" t="s">
        <v>1359</v>
      </c>
      <c r="B804" t="s">
        <v>1239</v>
      </c>
      <c r="C804" t="s">
        <v>190</v>
      </c>
      <c r="E804" s="5">
        <f ca="1">INDIRECT("'Sheet1'!BS115")</f>
        <v>0</v>
      </c>
      <c r="F804" t="b">
        <f t="shared" ca="1" si="81"/>
        <v>1</v>
      </c>
    </row>
    <row r="805" spans="1:6" x14ac:dyDescent="0.25">
      <c r="A805" t="s">
        <v>1360</v>
      </c>
      <c r="B805" t="s">
        <v>1240</v>
      </c>
      <c r="C805" t="s">
        <v>191</v>
      </c>
      <c r="E805">
        <f ca="1">INDIRECT("'Sheet1'!BT115")</f>
        <v>0</v>
      </c>
      <c r="F805" t="b">
        <f t="shared" ca="1" si="81"/>
        <v>1</v>
      </c>
    </row>
    <row r="806" spans="1:6" x14ac:dyDescent="0.25">
      <c r="A806" t="s">
        <v>1361</v>
      </c>
      <c r="B806" t="s">
        <v>1241</v>
      </c>
      <c r="C806" t="s">
        <v>193</v>
      </c>
      <c r="E806" s="5">
        <f ca="1">INDIRECT("'Sheet1'!BV115")</f>
        <v>0</v>
      </c>
      <c r="F806" t="b">
        <f t="shared" ca="1" si="81"/>
        <v>1</v>
      </c>
    </row>
    <row r="808" spans="1:6" x14ac:dyDescent="0.25">
      <c r="A808" t="s">
        <v>1362</v>
      </c>
      <c r="B808" t="s">
        <v>1242</v>
      </c>
      <c r="C808" t="s">
        <v>173</v>
      </c>
      <c r="E808">
        <f ca="1">INDIRECT("'Sheet1'!BB116")</f>
        <v>0</v>
      </c>
      <c r="F808" t="b">
        <f t="shared" ref="F808:F821" ca="1" si="82">E808=D808</f>
        <v>1</v>
      </c>
    </row>
    <row r="809" spans="1:6" x14ac:dyDescent="0.25">
      <c r="A809" t="s">
        <v>1363</v>
      </c>
      <c r="B809" t="s">
        <v>1243</v>
      </c>
      <c r="C809" t="s">
        <v>175</v>
      </c>
      <c r="E809">
        <f ca="1">INDIRECT("'Sheet1'!BD116")</f>
        <v>0</v>
      </c>
      <c r="F809" t="b">
        <f t="shared" ca="1" si="82"/>
        <v>1</v>
      </c>
    </row>
    <row r="810" spans="1:6" x14ac:dyDescent="0.25">
      <c r="A810" t="s">
        <v>1364</v>
      </c>
      <c r="B810" t="s">
        <v>1244</v>
      </c>
      <c r="C810" t="s">
        <v>176</v>
      </c>
      <c r="E810">
        <f ca="1">INDIRECT("'Sheet1'!BE116")</f>
        <v>0</v>
      </c>
      <c r="F810" t="b">
        <f t="shared" ca="1" si="82"/>
        <v>1</v>
      </c>
    </row>
    <row r="811" spans="1:6" x14ac:dyDescent="0.25">
      <c r="A811" t="s">
        <v>1365</v>
      </c>
      <c r="B811" t="s">
        <v>1245</v>
      </c>
      <c r="C811" t="s">
        <v>178</v>
      </c>
      <c r="E811">
        <f ca="1">INDIRECT("'Sheet1'!BG116")</f>
        <v>0</v>
      </c>
      <c r="F811" t="b">
        <f t="shared" ca="1" si="82"/>
        <v>1</v>
      </c>
    </row>
    <row r="812" spans="1:6" x14ac:dyDescent="0.25">
      <c r="A812" t="s">
        <v>1366</v>
      </c>
      <c r="B812" t="s">
        <v>1246</v>
      </c>
      <c r="C812" t="s">
        <v>179</v>
      </c>
      <c r="E812">
        <f ca="1">INDIRECT("'Sheet1'!BH116")</f>
        <v>0</v>
      </c>
      <c r="F812" t="b">
        <f t="shared" ca="1" si="82"/>
        <v>1</v>
      </c>
    </row>
    <row r="813" spans="1:6" x14ac:dyDescent="0.25">
      <c r="A813" t="s">
        <v>1367</v>
      </c>
      <c r="B813" t="s">
        <v>1247</v>
      </c>
      <c r="C813" t="s">
        <v>181</v>
      </c>
      <c r="E813">
        <f ca="1">INDIRECT("'Sheet1'!BJ116")</f>
        <v>0</v>
      </c>
      <c r="F813" t="b">
        <f t="shared" ca="1" si="82"/>
        <v>1</v>
      </c>
    </row>
    <row r="814" spans="1:6" x14ac:dyDescent="0.25">
      <c r="A814" t="s">
        <v>1368</v>
      </c>
      <c r="B814" t="s">
        <v>1248</v>
      </c>
      <c r="C814" t="s">
        <v>182</v>
      </c>
      <c r="E814">
        <f ca="1">INDIRECT("'Sheet1'!BK116")</f>
        <v>0</v>
      </c>
      <c r="F814" t="b">
        <f t="shared" ca="1" si="82"/>
        <v>1</v>
      </c>
    </row>
    <row r="815" spans="1:6" x14ac:dyDescent="0.25">
      <c r="A815" t="s">
        <v>1369</v>
      </c>
      <c r="B815" t="s">
        <v>1249</v>
      </c>
      <c r="C815" t="s">
        <v>184</v>
      </c>
      <c r="E815">
        <f ca="1">INDIRECT("'Sheet1'!BM116")</f>
        <v>0</v>
      </c>
      <c r="F815" t="b">
        <f t="shared" ca="1" si="82"/>
        <v>1</v>
      </c>
    </row>
    <row r="816" spans="1:6" x14ac:dyDescent="0.25">
      <c r="A816" t="s">
        <v>1370</v>
      </c>
      <c r="B816" t="s">
        <v>1250</v>
      </c>
      <c r="C816" t="s">
        <v>185</v>
      </c>
      <c r="E816">
        <f ca="1">INDIRECT("'Sheet1'!BN116")</f>
        <v>0</v>
      </c>
      <c r="F816" t="b">
        <f t="shared" ca="1" si="82"/>
        <v>1</v>
      </c>
    </row>
    <row r="817" spans="1:6" x14ac:dyDescent="0.25">
      <c r="A817" t="s">
        <v>1371</v>
      </c>
      <c r="B817" t="s">
        <v>1251</v>
      </c>
      <c r="C817" t="s">
        <v>187</v>
      </c>
      <c r="E817">
        <f ca="1">INDIRECT("'Sheet1'!BP116")</f>
        <v>0</v>
      </c>
      <c r="F817" t="b">
        <f t="shared" ca="1" si="82"/>
        <v>1</v>
      </c>
    </row>
    <row r="818" spans="1:6" x14ac:dyDescent="0.25">
      <c r="A818" t="s">
        <v>1372</v>
      </c>
      <c r="B818" t="s">
        <v>1252</v>
      </c>
      <c r="C818" t="s">
        <v>188</v>
      </c>
      <c r="E818">
        <f ca="1">INDIRECT("'Sheet1'!BQ116")</f>
        <v>0</v>
      </c>
      <c r="F818" t="b">
        <f t="shared" ca="1" si="82"/>
        <v>1</v>
      </c>
    </row>
    <row r="819" spans="1:6" x14ac:dyDescent="0.25">
      <c r="A819" t="s">
        <v>1373</v>
      </c>
      <c r="B819" t="s">
        <v>1253</v>
      </c>
      <c r="C819" t="s">
        <v>190</v>
      </c>
      <c r="E819">
        <f ca="1">INDIRECT("'Sheet1'!BS116")</f>
        <v>0</v>
      </c>
      <c r="F819" t="b">
        <f t="shared" ca="1" si="82"/>
        <v>1</v>
      </c>
    </row>
    <row r="820" spans="1:6" x14ac:dyDescent="0.25">
      <c r="A820" t="s">
        <v>1374</v>
      </c>
      <c r="B820" t="s">
        <v>1254</v>
      </c>
      <c r="C820" t="s">
        <v>191</v>
      </c>
      <c r="E820">
        <f ca="1">INDIRECT("'Sheet1'!BT116")</f>
        <v>0</v>
      </c>
      <c r="F820" t="b">
        <f t="shared" ca="1" si="82"/>
        <v>1</v>
      </c>
    </row>
    <row r="821" spans="1:6" x14ac:dyDescent="0.25">
      <c r="A821" t="s">
        <v>1375</v>
      </c>
      <c r="B821" t="s">
        <v>1255</v>
      </c>
      <c r="C821" t="s">
        <v>193</v>
      </c>
      <c r="E821">
        <f ca="1">INDIRECT("'Sheet1'!BV116")</f>
        <v>0</v>
      </c>
      <c r="F821" t="b">
        <f t="shared" ca="1" si="82"/>
        <v>1</v>
      </c>
    </row>
    <row r="823" spans="1:6" x14ac:dyDescent="0.25">
      <c r="A823" t="s">
        <v>1376</v>
      </c>
      <c r="B823" t="s">
        <v>1256</v>
      </c>
      <c r="C823" t="s">
        <v>173</v>
      </c>
      <c r="D823">
        <v>1.7</v>
      </c>
      <c r="E823">
        <f ca="1">INDIRECT("'Sheet1'!BB117")</f>
        <v>0</v>
      </c>
      <c r="F823" t="b">
        <f t="shared" ref="F823:F838" ca="1" si="83">E823=D823</f>
        <v>0</v>
      </c>
    </row>
    <row r="824" spans="1:6" x14ac:dyDescent="0.25">
      <c r="A824" t="s">
        <v>1377</v>
      </c>
      <c r="B824" t="s">
        <v>1257</v>
      </c>
      <c r="C824" t="s">
        <v>175</v>
      </c>
      <c r="D824" s="5">
        <v>44531</v>
      </c>
      <c r="E824" s="5">
        <f ca="1">INDIRECT("'Sheet1'!BD117")</f>
        <v>0</v>
      </c>
      <c r="F824" t="b">
        <f t="shared" ca="1" si="83"/>
        <v>0</v>
      </c>
    </row>
    <row r="825" spans="1:6" x14ac:dyDescent="0.25">
      <c r="A825" t="s">
        <v>1378</v>
      </c>
      <c r="B825" t="s">
        <v>1258</v>
      </c>
      <c r="C825" t="s">
        <v>176</v>
      </c>
      <c r="D825">
        <v>1.71</v>
      </c>
      <c r="E825">
        <f ca="1">INDIRECT("'Sheet1'!BE117")</f>
        <v>0</v>
      </c>
      <c r="F825" t="b">
        <f t="shared" ca="1" si="83"/>
        <v>0</v>
      </c>
    </row>
    <row r="826" spans="1:6" x14ac:dyDescent="0.25">
      <c r="A826" t="s">
        <v>1379</v>
      </c>
      <c r="B826" t="s">
        <v>1259</v>
      </c>
      <c r="C826" t="s">
        <v>178</v>
      </c>
      <c r="D826" s="5">
        <v>44530</v>
      </c>
      <c r="E826" s="5">
        <f ca="1">INDIRECT("'Sheet1'!BG117")</f>
        <v>0</v>
      </c>
      <c r="F826" t="b">
        <f t="shared" ca="1" si="83"/>
        <v>0</v>
      </c>
    </row>
    <row r="827" spans="1:6" x14ac:dyDescent="0.25">
      <c r="A827" t="s">
        <v>1380</v>
      </c>
      <c r="B827" t="s">
        <v>1260</v>
      </c>
      <c r="C827" t="s">
        <v>179</v>
      </c>
      <c r="D827">
        <v>1.72</v>
      </c>
      <c r="E827">
        <f ca="1">INDIRECT("'Sheet1'!BH117")</f>
        <v>0</v>
      </c>
      <c r="F827" t="b">
        <f t="shared" ca="1" si="83"/>
        <v>0</v>
      </c>
    </row>
    <row r="828" spans="1:6" x14ac:dyDescent="0.25">
      <c r="A828" t="s">
        <v>1381</v>
      </c>
      <c r="B828" t="s">
        <v>1261</v>
      </c>
      <c r="C828" t="s">
        <v>181</v>
      </c>
      <c r="D828" s="5">
        <v>44257</v>
      </c>
      <c r="E828" s="5">
        <f ca="1">INDIRECT("'Sheet1'!BJ117")</f>
        <v>0</v>
      </c>
      <c r="F828" t="b">
        <f t="shared" ca="1" si="83"/>
        <v>0</v>
      </c>
    </row>
    <row r="829" spans="1:6" x14ac:dyDescent="0.25">
      <c r="A829" t="s">
        <v>1382</v>
      </c>
      <c r="B829" t="s">
        <v>1262</v>
      </c>
      <c r="C829" t="s">
        <v>182</v>
      </c>
      <c r="D829">
        <v>1.73</v>
      </c>
      <c r="E829">
        <f ca="1">INDIRECT("'Sheet1'!BK117")</f>
        <v>0</v>
      </c>
      <c r="F829" t="b">
        <f t="shared" ca="1" si="83"/>
        <v>0</v>
      </c>
    </row>
    <row r="830" spans="1:6" x14ac:dyDescent="0.25">
      <c r="A830" t="s">
        <v>1383</v>
      </c>
      <c r="B830" t="s">
        <v>1263</v>
      </c>
      <c r="C830" t="s">
        <v>184</v>
      </c>
      <c r="D830" s="5">
        <v>44166</v>
      </c>
      <c r="E830" s="5">
        <f ca="1">INDIRECT("'Sheet1'!BM117")</f>
        <v>0</v>
      </c>
      <c r="F830" t="b">
        <f t="shared" ca="1" si="83"/>
        <v>0</v>
      </c>
    </row>
    <row r="831" spans="1:6" x14ac:dyDescent="0.25">
      <c r="A831" t="s">
        <v>1384</v>
      </c>
      <c r="B831" t="s">
        <v>1264</v>
      </c>
      <c r="C831" t="s">
        <v>185</v>
      </c>
      <c r="D831">
        <v>1.74</v>
      </c>
      <c r="E831">
        <f ca="1">INDIRECT("'Sheet1'!BN117")</f>
        <v>0</v>
      </c>
      <c r="F831" t="b">
        <f t="shared" ca="1" si="83"/>
        <v>0</v>
      </c>
    </row>
    <row r="832" spans="1:6" x14ac:dyDescent="0.25">
      <c r="A832" t="s">
        <v>1385</v>
      </c>
      <c r="B832" t="s">
        <v>1265</v>
      </c>
      <c r="C832" t="s">
        <v>187</v>
      </c>
      <c r="D832" s="5">
        <v>44075</v>
      </c>
      <c r="E832" s="5">
        <f ca="1">INDIRECT("'Sheet1'!BP117")</f>
        <v>0</v>
      </c>
      <c r="F832" t="b">
        <f t="shared" ca="1" si="83"/>
        <v>0</v>
      </c>
    </row>
    <row r="833" spans="1:6" x14ac:dyDescent="0.25">
      <c r="A833" t="s">
        <v>1386</v>
      </c>
      <c r="B833" t="s">
        <v>1266</v>
      </c>
      <c r="C833" t="s">
        <v>188</v>
      </c>
      <c r="D833">
        <v>1.75</v>
      </c>
      <c r="E833">
        <f ca="1">INDIRECT("'Sheet1'!BQ117")</f>
        <v>0</v>
      </c>
      <c r="F833" t="b">
        <f t="shared" ca="1" si="83"/>
        <v>0</v>
      </c>
    </row>
    <row r="834" spans="1:6" x14ac:dyDescent="0.25">
      <c r="A834" t="s">
        <v>1387</v>
      </c>
      <c r="B834" t="s">
        <v>1267</v>
      </c>
      <c r="C834" t="s">
        <v>190</v>
      </c>
      <c r="D834" s="5">
        <v>44439</v>
      </c>
      <c r="E834" s="5">
        <f ca="1">INDIRECT("'Sheet1'!BS117")</f>
        <v>0</v>
      </c>
      <c r="F834" t="b">
        <f t="shared" ca="1" si="83"/>
        <v>0</v>
      </c>
    </row>
    <row r="835" spans="1:6" x14ac:dyDescent="0.25">
      <c r="A835" t="s">
        <v>1388</v>
      </c>
      <c r="B835" t="s">
        <v>1268</v>
      </c>
      <c r="C835" t="s">
        <v>191</v>
      </c>
      <c r="D835">
        <v>1.76</v>
      </c>
      <c r="E835">
        <f ca="1">INDIRECT("'Sheet1'!BT117")</f>
        <v>0</v>
      </c>
      <c r="F835" t="b">
        <f t="shared" ca="1" si="83"/>
        <v>0</v>
      </c>
    </row>
    <row r="836" spans="1:6" x14ac:dyDescent="0.25">
      <c r="A836" t="s">
        <v>1389</v>
      </c>
      <c r="B836" t="s">
        <v>1269</v>
      </c>
      <c r="C836" t="s">
        <v>193</v>
      </c>
      <c r="D836" s="5">
        <v>43984</v>
      </c>
      <c r="E836" s="5">
        <f ca="1">INDIRECT("'Sheet1'!BV117")</f>
        <v>0</v>
      </c>
      <c r="F836" t="b">
        <f t="shared" ca="1" si="83"/>
        <v>0</v>
      </c>
    </row>
    <row r="837" spans="1:6" x14ac:dyDescent="0.25">
      <c r="A837" t="s">
        <v>1477</v>
      </c>
      <c r="B837" t="s">
        <v>1481</v>
      </c>
      <c r="C837" t="s">
        <v>123</v>
      </c>
      <c r="D837">
        <v>1.78</v>
      </c>
      <c r="E837">
        <f ca="1">INDIRECT("'Sheet1'!C117")</f>
        <v>0</v>
      </c>
      <c r="F837" t="b">
        <f t="shared" ca="1" si="83"/>
        <v>0</v>
      </c>
    </row>
    <row r="838" spans="1:6" x14ac:dyDescent="0.25">
      <c r="A838" t="s">
        <v>1482</v>
      </c>
      <c r="B838" t="s">
        <v>1483</v>
      </c>
      <c r="C838" t="s">
        <v>124</v>
      </c>
      <c r="D838" s="5" t="s">
        <v>293</v>
      </c>
      <c r="E838" s="5">
        <f ca="1">INDIRECT("'Sheet1'!D117")</f>
        <v>0</v>
      </c>
      <c r="F838" t="b">
        <f t="shared" ca="1" si="83"/>
        <v>0</v>
      </c>
    </row>
    <row r="840" spans="1:6" x14ac:dyDescent="0.25">
      <c r="A840" t="s">
        <v>1390</v>
      </c>
      <c r="B840" t="s">
        <v>1256</v>
      </c>
      <c r="C840" t="s">
        <v>173</v>
      </c>
      <c r="D840">
        <v>1.7</v>
      </c>
      <c r="E840">
        <f ca="1">INDIRECT("'Sheet1'!BB118")</f>
        <v>0</v>
      </c>
      <c r="F840" t="b">
        <f t="shared" ref="F840:F855" ca="1" si="84">E840=D840</f>
        <v>0</v>
      </c>
    </row>
    <row r="841" spans="1:6" x14ac:dyDescent="0.25">
      <c r="A841" t="s">
        <v>1391</v>
      </c>
      <c r="B841" t="s">
        <v>1257</v>
      </c>
      <c r="C841" t="s">
        <v>175</v>
      </c>
      <c r="D841" s="5">
        <v>44531</v>
      </c>
      <c r="E841" s="5">
        <f ca="1">INDIRECT("'Sheet1'!BD118")</f>
        <v>0</v>
      </c>
      <c r="F841" t="b">
        <f t="shared" ca="1" si="84"/>
        <v>0</v>
      </c>
    </row>
    <row r="842" spans="1:6" x14ac:dyDescent="0.25">
      <c r="A842" t="s">
        <v>1392</v>
      </c>
      <c r="B842" t="s">
        <v>1258</v>
      </c>
      <c r="C842" t="s">
        <v>176</v>
      </c>
      <c r="D842">
        <v>1.71</v>
      </c>
      <c r="E842">
        <f ca="1">INDIRECT("'Sheet1'!BE118")</f>
        <v>0</v>
      </c>
      <c r="F842" t="b">
        <f t="shared" ca="1" si="84"/>
        <v>0</v>
      </c>
    </row>
    <row r="843" spans="1:6" x14ac:dyDescent="0.25">
      <c r="A843" t="s">
        <v>1393</v>
      </c>
      <c r="B843" t="s">
        <v>1259</v>
      </c>
      <c r="C843" t="s">
        <v>178</v>
      </c>
      <c r="D843" s="5">
        <v>44530</v>
      </c>
      <c r="E843" s="5">
        <f ca="1">INDIRECT("'Sheet1'!BG118")</f>
        <v>0</v>
      </c>
      <c r="F843" t="b">
        <f t="shared" ca="1" si="84"/>
        <v>0</v>
      </c>
    </row>
    <row r="844" spans="1:6" x14ac:dyDescent="0.25">
      <c r="A844" t="s">
        <v>1394</v>
      </c>
      <c r="B844" t="s">
        <v>1260</v>
      </c>
      <c r="C844" t="s">
        <v>179</v>
      </c>
      <c r="D844">
        <v>1.72</v>
      </c>
      <c r="E844">
        <f ca="1">INDIRECT("'Sheet1'!BH118")</f>
        <v>0</v>
      </c>
      <c r="F844" t="b">
        <f t="shared" ca="1" si="84"/>
        <v>0</v>
      </c>
    </row>
    <row r="845" spans="1:6" x14ac:dyDescent="0.25">
      <c r="A845" t="s">
        <v>1395</v>
      </c>
      <c r="B845" t="s">
        <v>1261</v>
      </c>
      <c r="C845" t="s">
        <v>181</v>
      </c>
      <c r="D845" s="5">
        <v>44257</v>
      </c>
      <c r="E845" s="5">
        <f ca="1">INDIRECT("'Sheet1'!BJ118")</f>
        <v>0</v>
      </c>
      <c r="F845" t="b">
        <f t="shared" ca="1" si="84"/>
        <v>0</v>
      </c>
    </row>
    <row r="846" spans="1:6" x14ac:dyDescent="0.25">
      <c r="A846" t="s">
        <v>1396</v>
      </c>
      <c r="B846" t="s">
        <v>1262</v>
      </c>
      <c r="C846" t="s">
        <v>182</v>
      </c>
      <c r="D846">
        <v>1.73</v>
      </c>
      <c r="E846">
        <f ca="1">INDIRECT("'Sheet1'!BK118")</f>
        <v>0</v>
      </c>
      <c r="F846" t="b">
        <f t="shared" ca="1" si="84"/>
        <v>0</v>
      </c>
    </row>
    <row r="847" spans="1:6" x14ac:dyDescent="0.25">
      <c r="A847" t="s">
        <v>1397</v>
      </c>
      <c r="B847" t="s">
        <v>1263</v>
      </c>
      <c r="C847" t="s">
        <v>184</v>
      </c>
      <c r="D847" s="5">
        <v>44166</v>
      </c>
      <c r="E847" s="5">
        <f ca="1">INDIRECT("'Sheet1'!BM118")</f>
        <v>0</v>
      </c>
      <c r="F847" t="b">
        <f t="shared" ca="1" si="84"/>
        <v>0</v>
      </c>
    </row>
    <row r="848" spans="1:6" x14ac:dyDescent="0.25">
      <c r="A848" t="s">
        <v>1398</v>
      </c>
      <c r="B848" t="s">
        <v>1264</v>
      </c>
      <c r="C848" t="s">
        <v>185</v>
      </c>
      <c r="D848">
        <v>1.74</v>
      </c>
      <c r="E848">
        <f ca="1">INDIRECT("'Sheet1'!BN118")</f>
        <v>0</v>
      </c>
      <c r="F848" t="b">
        <f t="shared" ca="1" si="84"/>
        <v>0</v>
      </c>
    </row>
    <row r="849" spans="1:6" x14ac:dyDescent="0.25">
      <c r="A849" t="s">
        <v>1399</v>
      </c>
      <c r="B849" t="s">
        <v>1265</v>
      </c>
      <c r="C849" t="s">
        <v>187</v>
      </c>
      <c r="D849" s="5">
        <v>44075</v>
      </c>
      <c r="E849" s="5">
        <f ca="1">INDIRECT("'Sheet1'!BP118")</f>
        <v>0</v>
      </c>
      <c r="F849" t="b">
        <f t="shared" ca="1" si="84"/>
        <v>0</v>
      </c>
    </row>
    <row r="850" spans="1:6" x14ac:dyDescent="0.25">
      <c r="A850" t="s">
        <v>1400</v>
      </c>
      <c r="B850" t="s">
        <v>1266</v>
      </c>
      <c r="C850" t="s">
        <v>188</v>
      </c>
      <c r="D850">
        <v>1.75</v>
      </c>
      <c r="E850">
        <f ca="1">INDIRECT("'Sheet1'!BQ118")</f>
        <v>0</v>
      </c>
      <c r="F850" t="b">
        <f t="shared" ca="1" si="84"/>
        <v>0</v>
      </c>
    </row>
    <row r="851" spans="1:6" x14ac:dyDescent="0.25">
      <c r="A851" t="s">
        <v>1401</v>
      </c>
      <c r="B851" t="s">
        <v>1267</v>
      </c>
      <c r="C851" t="s">
        <v>190</v>
      </c>
      <c r="D851" s="5">
        <v>44439</v>
      </c>
      <c r="E851" s="5">
        <f ca="1">INDIRECT("'Sheet1'!BS118")</f>
        <v>0</v>
      </c>
      <c r="F851" t="b">
        <f t="shared" ca="1" si="84"/>
        <v>0</v>
      </c>
    </row>
    <row r="852" spans="1:6" x14ac:dyDescent="0.25">
      <c r="A852" t="s">
        <v>1402</v>
      </c>
      <c r="B852" t="s">
        <v>1268</v>
      </c>
      <c r="C852" t="s">
        <v>191</v>
      </c>
      <c r="D852">
        <v>1.76</v>
      </c>
      <c r="E852">
        <f ca="1">INDIRECT("'Sheet1'!BT118")</f>
        <v>0</v>
      </c>
      <c r="F852" t="b">
        <f t="shared" ca="1" si="84"/>
        <v>0</v>
      </c>
    </row>
    <row r="853" spans="1:6" x14ac:dyDescent="0.25">
      <c r="A853" t="s">
        <v>1403</v>
      </c>
      <c r="B853" t="s">
        <v>1269</v>
      </c>
      <c r="C853" t="s">
        <v>193</v>
      </c>
      <c r="D853" s="5">
        <v>43984</v>
      </c>
      <c r="E853" s="5">
        <f ca="1">INDIRECT("'Sheet1'!BV118")</f>
        <v>0</v>
      </c>
      <c r="F853" t="b">
        <f t="shared" ca="1" si="84"/>
        <v>0</v>
      </c>
    </row>
    <row r="854" spans="1:6" x14ac:dyDescent="0.25">
      <c r="A854" t="s">
        <v>1484</v>
      </c>
      <c r="B854" t="s">
        <v>1481</v>
      </c>
      <c r="C854" t="s">
        <v>123</v>
      </c>
      <c r="D854">
        <v>1.78</v>
      </c>
      <c r="E854">
        <f ca="1">INDIRECT("'Sheet1'!C118")</f>
        <v>0</v>
      </c>
      <c r="F854" t="b">
        <f t="shared" ca="1" si="84"/>
        <v>0</v>
      </c>
    </row>
    <row r="855" spans="1:6" x14ac:dyDescent="0.25">
      <c r="A855" t="s">
        <v>1485</v>
      </c>
      <c r="B855" t="s">
        <v>1483</v>
      </c>
      <c r="C855" t="s">
        <v>124</v>
      </c>
      <c r="D855" s="5" t="s">
        <v>293</v>
      </c>
      <c r="E855" s="5">
        <f ca="1">INDIRECT("'Sheet1'!D118")</f>
        <v>0</v>
      </c>
      <c r="F855" t="b">
        <f t="shared" ca="1" si="84"/>
        <v>0</v>
      </c>
    </row>
    <row r="857" spans="1:6" x14ac:dyDescent="0.25">
      <c r="A857" t="s">
        <v>1404</v>
      </c>
      <c r="B857" t="s">
        <v>1256</v>
      </c>
      <c r="C857" t="s">
        <v>173</v>
      </c>
      <c r="D857">
        <v>1.7</v>
      </c>
      <c r="E857">
        <f ca="1">INDIRECT("'Sheet1'!BB119")</f>
        <v>0</v>
      </c>
      <c r="F857" t="b">
        <f t="shared" ref="F857:F872" ca="1" si="85">E857=D857</f>
        <v>0</v>
      </c>
    </row>
    <row r="858" spans="1:6" x14ac:dyDescent="0.25">
      <c r="A858" t="s">
        <v>1405</v>
      </c>
      <c r="B858" t="s">
        <v>1257</v>
      </c>
      <c r="C858" t="s">
        <v>175</v>
      </c>
      <c r="D858" s="5">
        <v>44531</v>
      </c>
      <c r="E858" s="5">
        <f ca="1">INDIRECT("'Sheet1'!BD119")</f>
        <v>0</v>
      </c>
      <c r="F858" t="b">
        <f t="shared" ca="1" si="85"/>
        <v>0</v>
      </c>
    </row>
    <row r="859" spans="1:6" x14ac:dyDescent="0.25">
      <c r="A859" t="s">
        <v>1406</v>
      </c>
      <c r="B859" t="s">
        <v>1258</v>
      </c>
      <c r="C859" t="s">
        <v>176</v>
      </c>
      <c r="D859">
        <v>1.71</v>
      </c>
      <c r="E859">
        <f ca="1">INDIRECT("'Sheet1'!BE119")</f>
        <v>0</v>
      </c>
      <c r="F859" t="b">
        <f t="shared" ca="1" si="85"/>
        <v>0</v>
      </c>
    </row>
    <row r="860" spans="1:6" x14ac:dyDescent="0.25">
      <c r="A860" t="s">
        <v>1407</v>
      </c>
      <c r="B860" t="s">
        <v>1259</v>
      </c>
      <c r="C860" t="s">
        <v>178</v>
      </c>
      <c r="D860" s="5">
        <v>44530</v>
      </c>
      <c r="E860" s="5">
        <f ca="1">INDIRECT("'Sheet1'!BG119")</f>
        <v>0</v>
      </c>
      <c r="F860" t="b">
        <f t="shared" ca="1" si="85"/>
        <v>0</v>
      </c>
    </row>
    <row r="861" spans="1:6" x14ac:dyDescent="0.25">
      <c r="A861" t="s">
        <v>1408</v>
      </c>
      <c r="B861" t="s">
        <v>1260</v>
      </c>
      <c r="C861" t="s">
        <v>179</v>
      </c>
      <c r="D861">
        <v>1.72</v>
      </c>
      <c r="E861">
        <f ca="1">INDIRECT("'Sheet1'!BH119")</f>
        <v>0</v>
      </c>
      <c r="F861" t="b">
        <f t="shared" ca="1" si="85"/>
        <v>0</v>
      </c>
    </row>
    <row r="862" spans="1:6" x14ac:dyDescent="0.25">
      <c r="A862" t="s">
        <v>1409</v>
      </c>
      <c r="B862" t="s">
        <v>1261</v>
      </c>
      <c r="C862" t="s">
        <v>181</v>
      </c>
      <c r="D862" s="5">
        <v>44257</v>
      </c>
      <c r="E862" s="5">
        <f ca="1">INDIRECT("'Sheet1'!BJ119")</f>
        <v>0</v>
      </c>
      <c r="F862" t="b">
        <f t="shared" ca="1" si="85"/>
        <v>0</v>
      </c>
    </row>
    <row r="863" spans="1:6" x14ac:dyDescent="0.25">
      <c r="A863" t="s">
        <v>1410</v>
      </c>
      <c r="B863" t="s">
        <v>1262</v>
      </c>
      <c r="C863" t="s">
        <v>182</v>
      </c>
      <c r="D863">
        <v>1.73</v>
      </c>
      <c r="E863">
        <f ca="1">INDIRECT("'Sheet1'!BK119")</f>
        <v>0</v>
      </c>
      <c r="F863" t="b">
        <f t="shared" ca="1" si="85"/>
        <v>0</v>
      </c>
    </row>
    <row r="864" spans="1:6" x14ac:dyDescent="0.25">
      <c r="A864" t="s">
        <v>1411</v>
      </c>
      <c r="B864" t="s">
        <v>1263</v>
      </c>
      <c r="C864" t="s">
        <v>184</v>
      </c>
      <c r="D864" s="5">
        <v>44166</v>
      </c>
      <c r="E864" s="5">
        <f ca="1">INDIRECT("'Sheet1'!BM119")</f>
        <v>0</v>
      </c>
      <c r="F864" t="b">
        <f t="shared" ca="1" si="85"/>
        <v>0</v>
      </c>
    </row>
    <row r="865" spans="1:6" x14ac:dyDescent="0.25">
      <c r="A865" t="s">
        <v>1412</v>
      </c>
      <c r="B865" t="s">
        <v>1264</v>
      </c>
      <c r="C865" t="s">
        <v>185</v>
      </c>
      <c r="D865">
        <v>1.74</v>
      </c>
      <c r="E865">
        <f ca="1">INDIRECT("'Sheet1'!BN119")</f>
        <v>0</v>
      </c>
      <c r="F865" t="b">
        <f t="shared" ca="1" si="85"/>
        <v>0</v>
      </c>
    </row>
    <row r="866" spans="1:6" x14ac:dyDescent="0.25">
      <c r="A866" t="s">
        <v>1413</v>
      </c>
      <c r="B866" t="s">
        <v>1265</v>
      </c>
      <c r="C866" t="s">
        <v>187</v>
      </c>
      <c r="D866" s="5">
        <v>44075</v>
      </c>
      <c r="E866" s="5">
        <f ca="1">INDIRECT("'Sheet1'!BP119")</f>
        <v>0</v>
      </c>
      <c r="F866" t="b">
        <f t="shared" ca="1" si="85"/>
        <v>0</v>
      </c>
    </row>
    <row r="867" spans="1:6" x14ac:dyDescent="0.25">
      <c r="A867" t="s">
        <v>1414</v>
      </c>
      <c r="B867" t="s">
        <v>1266</v>
      </c>
      <c r="C867" t="s">
        <v>188</v>
      </c>
      <c r="D867">
        <v>1.75</v>
      </c>
      <c r="E867">
        <f ca="1">INDIRECT("'Sheet1'!BQ119")</f>
        <v>0</v>
      </c>
      <c r="F867" t="b">
        <f t="shared" ca="1" si="85"/>
        <v>0</v>
      </c>
    </row>
    <row r="868" spans="1:6" x14ac:dyDescent="0.25">
      <c r="A868" t="s">
        <v>1415</v>
      </c>
      <c r="B868" t="s">
        <v>1267</v>
      </c>
      <c r="C868" t="s">
        <v>190</v>
      </c>
      <c r="D868" s="5">
        <v>44439</v>
      </c>
      <c r="E868" s="5">
        <f ca="1">INDIRECT("'Sheet1'!BS119")</f>
        <v>0</v>
      </c>
      <c r="F868" t="b">
        <f t="shared" ca="1" si="85"/>
        <v>0</v>
      </c>
    </row>
    <row r="869" spans="1:6" x14ac:dyDescent="0.25">
      <c r="A869" t="s">
        <v>1416</v>
      </c>
      <c r="B869" t="s">
        <v>1268</v>
      </c>
      <c r="C869" t="s">
        <v>191</v>
      </c>
      <c r="D869">
        <v>1.76</v>
      </c>
      <c r="E869">
        <f ca="1">INDIRECT("'Sheet1'!BT119")</f>
        <v>0</v>
      </c>
      <c r="F869" t="b">
        <f t="shared" ca="1" si="85"/>
        <v>0</v>
      </c>
    </row>
    <row r="870" spans="1:6" x14ac:dyDescent="0.25">
      <c r="A870" t="s">
        <v>1417</v>
      </c>
      <c r="B870" t="s">
        <v>1269</v>
      </c>
      <c r="C870" t="s">
        <v>193</v>
      </c>
      <c r="D870" s="5">
        <v>43984</v>
      </c>
      <c r="E870" s="5">
        <f ca="1">INDIRECT("'Sheet1'!BV119")</f>
        <v>0</v>
      </c>
      <c r="F870" t="b">
        <f t="shared" ca="1" si="85"/>
        <v>0</v>
      </c>
    </row>
    <row r="871" spans="1:6" x14ac:dyDescent="0.25">
      <c r="A871" t="s">
        <v>1478</v>
      </c>
      <c r="B871" t="s">
        <v>1481</v>
      </c>
      <c r="C871" t="s">
        <v>123</v>
      </c>
      <c r="D871">
        <v>1.78</v>
      </c>
      <c r="E871">
        <f ca="1">INDIRECT("'Sheet1'!C119")</f>
        <v>0</v>
      </c>
      <c r="F871" t="b">
        <f t="shared" ca="1" si="85"/>
        <v>0</v>
      </c>
    </row>
    <row r="872" spans="1:6" x14ac:dyDescent="0.25">
      <c r="A872" t="s">
        <v>1486</v>
      </c>
      <c r="B872" t="s">
        <v>1483</v>
      </c>
      <c r="C872" t="s">
        <v>124</v>
      </c>
      <c r="D872" s="5" t="s">
        <v>293</v>
      </c>
      <c r="E872" s="5">
        <f ca="1">INDIRECT("'Sheet1'!D119")</f>
        <v>0</v>
      </c>
      <c r="F872" t="b">
        <f t="shared" ca="1" si="85"/>
        <v>0</v>
      </c>
    </row>
    <row r="874" spans="1:6" x14ac:dyDescent="0.25">
      <c r="A874" t="s">
        <v>1418</v>
      </c>
      <c r="B874" t="s">
        <v>1256</v>
      </c>
      <c r="C874" t="s">
        <v>173</v>
      </c>
      <c r="D874">
        <v>1.7</v>
      </c>
      <c r="E874">
        <f ca="1">INDIRECT("'Sheet1'!BB120")</f>
        <v>0</v>
      </c>
      <c r="F874" t="b">
        <f t="shared" ref="F874:F889" ca="1" si="86">E874=D874</f>
        <v>0</v>
      </c>
    </row>
    <row r="875" spans="1:6" x14ac:dyDescent="0.25">
      <c r="A875" t="s">
        <v>1419</v>
      </c>
      <c r="B875" t="s">
        <v>1257</v>
      </c>
      <c r="C875" t="s">
        <v>175</v>
      </c>
      <c r="D875" s="5">
        <v>44531</v>
      </c>
      <c r="E875" s="5">
        <f ca="1">INDIRECT("'Sheet1'!BD120")</f>
        <v>0</v>
      </c>
      <c r="F875" t="b">
        <f t="shared" ca="1" si="86"/>
        <v>0</v>
      </c>
    </row>
    <row r="876" spans="1:6" x14ac:dyDescent="0.25">
      <c r="A876" t="s">
        <v>1420</v>
      </c>
      <c r="B876" t="s">
        <v>1258</v>
      </c>
      <c r="C876" t="s">
        <v>176</v>
      </c>
      <c r="D876">
        <v>1.71</v>
      </c>
      <c r="E876">
        <f ca="1">INDIRECT("'Sheet1'!BE120")</f>
        <v>0</v>
      </c>
      <c r="F876" t="b">
        <f t="shared" ca="1" si="86"/>
        <v>0</v>
      </c>
    </row>
    <row r="877" spans="1:6" x14ac:dyDescent="0.25">
      <c r="A877" t="s">
        <v>1421</v>
      </c>
      <c r="B877" t="s">
        <v>1259</v>
      </c>
      <c r="C877" t="s">
        <v>178</v>
      </c>
      <c r="D877" s="5">
        <v>44530</v>
      </c>
      <c r="E877" s="5">
        <f ca="1">INDIRECT("'Sheet1'!BG120")</f>
        <v>0</v>
      </c>
      <c r="F877" t="b">
        <f t="shared" ca="1" si="86"/>
        <v>0</v>
      </c>
    </row>
    <row r="878" spans="1:6" x14ac:dyDescent="0.25">
      <c r="A878" t="s">
        <v>1422</v>
      </c>
      <c r="B878" t="s">
        <v>1260</v>
      </c>
      <c r="C878" t="s">
        <v>179</v>
      </c>
      <c r="D878">
        <v>1.72</v>
      </c>
      <c r="E878">
        <f ca="1">INDIRECT("'Sheet1'!BH120")</f>
        <v>0</v>
      </c>
      <c r="F878" t="b">
        <f t="shared" ca="1" si="86"/>
        <v>0</v>
      </c>
    </row>
    <row r="879" spans="1:6" x14ac:dyDescent="0.25">
      <c r="A879" t="s">
        <v>1423</v>
      </c>
      <c r="B879" t="s">
        <v>1261</v>
      </c>
      <c r="C879" t="s">
        <v>181</v>
      </c>
      <c r="D879" s="5">
        <v>44257</v>
      </c>
      <c r="E879" s="5">
        <f ca="1">INDIRECT("'Sheet1'!BJ120")</f>
        <v>0</v>
      </c>
      <c r="F879" t="b">
        <f t="shared" ca="1" si="86"/>
        <v>0</v>
      </c>
    </row>
    <row r="880" spans="1:6" x14ac:dyDescent="0.25">
      <c r="A880" t="s">
        <v>1424</v>
      </c>
      <c r="B880" t="s">
        <v>1262</v>
      </c>
      <c r="C880" t="s">
        <v>182</v>
      </c>
      <c r="D880">
        <v>1.73</v>
      </c>
      <c r="E880">
        <f ca="1">INDIRECT("'Sheet1'!BK120")</f>
        <v>0</v>
      </c>
      <c r="F880" t="b">
        <f t="shared" ca="1" si="86"/>
        <v>0</v>
      </c>
    </row>
    <row r="881" spans="1:6" x14ac:dyDescent="0.25">
      <c r="A881" t="s">
        <v>1425</v>
      </c>
      <c r="B881" t="s">
        <v>1263</v>
      </c>
      <c r="C881" t="s">
        <v>184</v>
      </c>
      <c r="D881" s="5">
        <v>44166</v>
      </c>
      <c r="E881" s="5">
        <f ca="1">INDIRECT("'Sheet1'!BM120")</f>
        <v>0</v>
      </c>
      <c r="F881" t="b">
        <f t="shared" ca="1" si="86"/>
        <v>0</v>
      </c>
    </row>
    <row r="882" spans="1:6" x14ac:dyDescent="0.25">
      <c r="A882" t="s">
        <v>1426</v>
      </c>
      <c r="B882" t="s">
        <v>1264</v>
      </c>
      <c r="C882" t="s">
        <v>185</v>
      </c>
      <c r="D882">
        <v>1.74</v>
      </c>
      <c r="E882">
        <f ca="1">INDIRECT("'Sheet1'!BN120")</f>
        <v>0</v>
      </c>
      <c r="F882" t="b">
        <f t="shared" ca="1" si="86"/>
        <v>0</v>
      </c>
    </row>
    <row r="883" spans="1:6" x14ac:dyDescent="0.25">
      <c r="A883" t="s">
        <v>1427</v>
      </c>
      <c r="B883" t="s">
        <v>1265</v>
      </c>
      <c r="C883" t="s">
        <v>187</v>
      </c>
      <c r="D883" s="5">
        <v>44075</v>
      </c>
      <c r="E883" s="5">
        <f ca="1">INDIRECT("'Sheet1'!BP120")</f>
        <v>0</v>
      </c>
      <c r="F883" t="b">
        <f t="shared" ca="1" si="86"/>
        <v>0</v>
      </c>
    </row>
    <row r="884" spans="1:6" x14ac:dyDescent="0.25">
      <c r="A884" t="s">
        <v>1428</v>
      </c>
      <c r="B884" t="s">
        <v>1266</v>
      </c>
      <c r="C884" t="s">
        <v>188</v>
      </c>
      <c r="D884">
        <v>1.75</v>
      </c>
      <c r="E884">
        <f ca="1">INDIRECT("'Sheet1'!BQ120")</f>
        <v>0</v>
      </c>
      <c r="F884" t="b">
        <f t="shared" ca="1" si="86"/>
        <v>0</v>
      </c>
    </row>
    <row r="885" spans="1:6" x14ac:dyDescent="0.25">
      <c r="A885" t="s">
        <v>1429</v>
      </c>
      <c r="B885" t="s">
        <v>1267</v>
      </c>
      <c r="C885" t="s">
        <v>190</v>
      </c>
      <c r="D885" s="5">
        <v>44439</v>
      </c>
      <c r="E885" s="5">
        <f ca="1">INDIRECT("'Sheet1'!BS120")</f>
        <v>0</v>
      </c>
      <c r="F885" t="b">
        <f t="shared" ca="1" si="86"/>
        <v>0</v>
      </c>
    </row>
    <row r="886" spans="1:6" x14ac:dyDescent="0.25">
      <c r="A886" t="s">
        <v>1430</v>
      </c>
      <c r="B886" t="s">
        <v>1268</v>
      </c>
      <c r="C886" t="s">
        <v>191</v>
      </c>
      <c r="D886">
        <v>1.76</v>
      </c>
      <c r="E886">
        <f ca="1">INDIRECT("'Sheet1'!BT120")</f>
        <v>0</v>
      </c>
      <c r="F886" t="b">
        <f t="shared" ca="1" si="86"/>
        <v>0</v>
      </c>
    </row>
    <row r="887" spans="1:6" x14ac:dyDescent="0.25">
      <c r="A887" t="s">
        <v>1431</v>
      </c>
      <c r="B887" t="s">
        <v>1269</v>
      </c>
      <c r="C887" t="s">
        <v>193</v>
      </c>
      <c r="D887" s="5">
        <v>43984</v>
      </c>
      <c r="E887" s="5">
        <f ca="1">INDIRECT("'Sheet1'!BV120")</f>
        <v>0</v>
      </c>
      <c r="F887" t="b">
        <f t="shared" ca="1" si="86"/>
        <v>0</v>
      </c>
    </row>
    <row r="888" spans="1:6" x14ac:dyDescent="0.25">
      <c r="A888" t="s">
        <v>1479</v>
      </c>
      <c r="B888" t="s">
        <v>1481</v>
      </c>
      <c r="C888" t="s">
        <v>123</v>
      </c>
      <c r="D888">
        <v>1.78</v>
      </c>
      <c r="E888">
        <f ca="1">INDIRECT("'Sheet1'!C120")</f>
        <v>0</v>
      </c>
      <c r="F888" t="b">
        <f t="shared" ca="1" si="86"/>
        <v>0</v>
      </c>
    </row>
    <row r="889" spans="1:6" x14ac:dyDescent="0.25">
      <c r="A889" t="s">
        <v>1487</v>
      </c>
      <c r="B889" t="s">
        <v>1483</v>
      </c>
      <c r="C889" t="s">
        <v>124</v>
      </c>
      <c r="D889" s="5" t="s">
        <v>293</v>
      </c>
      <c r="E889" s="5">
        <f ca="1">INDIRECT("'Sheet1'!D120")</f>
        <v>0</v>
      </c>
      <c r="F889" t="b">
        <f t="shared" ca="1" si="86"/>
        <v>0</v>
      </c>
    </row>
    <row r="891" spans="1:6" x14ac:dyDescent="0.25">
      <c r="A891" t="s">
        <v>1432</v>
      </c>
      <c r="B891" t="s">
        <v>1256</v>
      </c>
      <c r="C891" t="s">
        <v>173</v>
      </c>
      <c r="D891">
        <v>1.7</v>
      </c>
      <c r="E891">
        <f ca="1">INDIRECT("'Sheet1'!BB121")</f>
        <v>0</v>
      </c>
      <c r="F891" t="b">
        <f t="shared" ref="F891:F906" ca="1" si="87">E891=D891</f>
        <v>0</v>
      </c>
    </row>
    <row r="892" spans="1:6" x14ac:dyDescent="0.25">
      <c r="A892" t="s">
        <v>1433</v>
      </c>
      <c r="B892" t="s">
        <v>1257</v>
      </c>
      <c r="C892" t="s">
        <v>175</v>
      </c>
      <c r="D892" s="5">
        <v>44531</v>
      </c>
      <c r="E892" s="5">
        <f ca="1">INDIRECT("'Sheet1'!BD121")</f>
        <v>0</v>
      </c>
      <c r="F892" t="b">
        <f t="shared" ca="1" si="87"/>
        <v>0</v>
      </c>
    </row>
    <row r="893" spans="1:6" x14ac:dyDescent="0.25">
      <c r="A893" t="s">
        <v>1434</v>
      </c>
      <c r="B893" t="s">
        <v>1258</v>
      </c>
      <c r="C893" t="s">
        <v>176</v>
      </c>
      <c r="D893">
        <v>1.71</v>
      </c>
      <c r="E893">
        <f ca="1">INDIRECT("'Sheet1'!BE121")</f>
        <v>0</v>
      </c>
      <c r="F893" t="b">
        <f t="shared" ca="1" si="87"/>
        <v>0</v>
      </c>
    </row>
    <row r="894" spans="1:6" x14ac:dyDescent="0.25">
      <c r="A894" t="s">
        <v>1435</v>
      </c>
      <c r="B894" t="s">
        <v>1259</v>
      </c>
      <c r="C894" t="s">
        <v>178</v>
      </c>
      <c r="D894" s="5">
        <v>44530</v>
      </c>
      <c r="E894" s="5">
        <f ca="1">INDIRECT("'Sheet1'!BG121")</f>
        <v>0</v>
      </c>
      <c r="F894" t="b">
        <f t="shared" ca="1" si="87"/>
        <v>0</v>
      </c>
    </row>
    <row r="895" spans="1:6" x14ac:dyDescent="0.25">
      <c r="A895" t="s">
        <v>1436</v>
      </c>
      <c r="B895" t="s">
        <v>1260</v>
      </c>
      <c r="C895" t="s">
        <v>179</v>
      </c>
      <c r="D895">
        <v>1.72</v>
      </c>
      <c r="E895">
        <f ca="1">INDIRECT("'Sheet1'!BH121")</f>
        <v>0</v>
      </c>
      <c r="F895" t="b">
        <f t="shared" ca="1" si="87"/>
        <v>0</v>
      </c>
    </row>
    <row r="896" spans="1:6" x14ac:dyDescent="0.25">
      <c r="A896" t="s">
        <v>1437</v>
      </c>
      <c r="B896" t="s">
        <v>1261</v>
      </c>
      <c r="C896" t="s">
        <v>181</v>
      </c>
      <c r="D896" s="5">
        <v>44257</v>
      </c>
      <c r="E896" s="5">
        <f ca="1">INDIRECT("'Sheet1'!BJ121")</f>
        <v>0</v>
      </c>
      <c r="F896" t="b">
        <f t="shared" ca="1" si="87"/>
        <v>0</v>
      </c>
    </row>
    <row r="897" spans="1:6" x14ac:dyDescent="0.25">
      <c r="A897" t="s">
        <v>1438</v>
      </c>
      <c r="B897" t="s">
        <v>1262</v>
      </c>
      <c r="C897" t="s">
        <v>182</v>
      </c>
      <c r="D897">
        <v>1.73</v>
      </c>
      <c r="E897">
        <f ca="1">INDIRECT("'Sheet1'!BK121")</f>
        <v>0</v>
      </c>
      <c r="F897" t="b">
        <f t="shared" ca="1" si="87"/>
        <v>0</v>
      </c>
    </row>
    <row r="898" spans="1:6" x14ac:dyDescent="0.25">
      <c r="A898" t="s">
        <v>1439</v>
      </c>
      <c r="B898" t="s">
        <v>1263</v>
      </c>
      <c r="C898" t="s">
        <v>184</v>
      </c>
      <c r="D898" s="5">
        <v>44166</v>
      </c>
      <c r="E898" s="5">
        <f ca="1">INDIRECT("'Sheet1'!BM121")</f>
        <v>0</v>
      </c>
      <c r="F898" t="b">
        <f t="shared" ca="1" si="87"/>
        <v>0</v>
      </c>
    </row>
    <row r="899" spans="1:6" x14ac:dyDescent="0.25">
      <c r="A899" t="s">
        <v>1440</v>
      </c>
      <c r="B899" t="s">
        <v>1264</v>
      </c>
      <c r="C899" t="s">
        <v>185</v>
      </c>
      <c r="D899">
        <v>1.74</v>
      </c>
      <c r="E899">
        <f ca="1">INDIRECT("'Sheet1'!BN121")</f>
        <v>0</v>
      </c>
      <c r="F899" t="b">
        <f t="shared" ca="1" si="87"/>
        <v>0</v>
      </c>
    </row>
    <row r="900" spans="1:6" x14ac:dyDescent="0.25">
      <c r="A900" t="s">
        <v>1441</v>
      </c>
      <c r="B900" t="s">
        <v>1265</v>
      </c>
      <c r="C900" t="s">
        <v>187</v>
      </c>
      <c r="D900" s="5">
        <v>44075</v>
      </c>
      <c r="E900" s="5">
        <f ca="1">INDIRECT("'Sheet1'!BP121")</f>
        <v>0</v>
      </c>
      <c r="F900" t="b">
        <f t="shared" ca="1" si="87"/>
        <v>0</v>
      </c>
    </row>
    <row r="901" spans="1:6" x14ac:dyDescent="0.25">
      <c r="A901" t="s">
        <v>1442</v>
      </c>
      <c r="B901" t="s">
        <v>1266</v>
      </c>
      <c r="C901" t="s">
        <v>188</v>
      </c>
      <c r="D901">
        <v>1.75</v>
      </c>
      <c r="E901">
        <f ca="1">INDIRECT("'Sheet1'!BQ121")</f>
        <v>0</v>
      </c>
      <c r="F901" t="b">
        <f t="shared" ca="1" si="87"/>
        <v>0</v>
      </c>
    </row>
    <row r="902" spans="1:6" x14ac:dyDescent="0.25">
      <c r="A902" t="s">
        <v>1443</v>
      </c>
      <c r="B902" t="s">
        <v>1267</v>
      </c>
      <c r="C902" t="s">
        <v>190</v>
      </c>
      <c r="D902" s="5">
        <v>44439</v>
      </c>
      <c r="E902" s="5">
        <f ca="1">INDIRECT("'Sheet1'!BS121")</f>
        <v>0</v>
      </c>
      <c r="F902" t="b">
        <f t="shared" ca="1" si="87"/>
        <v>0</v>
      </c>
    </row>
    <row r="903" spans="1:6" x14ac:dyDescent="0.25">
      <c r="A903" t="s">
        <v>1444</v>
      </c>
      <c r="B903" t="s">
        <v>1268</v>
      </c>
      <c r="C903" t="s">
        <v>191</v>
      </c>
      <c r="D903">
        <v>1.76</v>
      </c>
      <c r="E903">
        <f ca="1">INDIRECT("'Sheet1'!BT121")</f>
        <v>0</v>
      </c>
      <c r="F903" t="b">
        <f t="shared" ca="1" si="87"/>
        <v>0</v>
      </c>
    </row>
    <row r="904" spans="1:6" x14ac:dyDescent="0.25">
      <c r="A904" t="s">
        <v>1445</v>
      </c>
      <c r="B904" t="s">
        <v>1269</v>
      </c>
      <c r="C904" t="s">
        <v>193</v>
      </c>
      <c r="D904" s="5">
        <v>43984</v>
      </c>
      <c r="E904" s="5">
        <f ca="1">INDIRECT("'Sheet1'!BV121")</f>
        <v>0</v>
      </c>
      <c r="F904" t="b">
        <f t="shared" ca="1" si="87"/>
        <v>0</v>
      </c>
    </row>
    <row r="905" spans="1:6" x14ac:dyDescent="0.25">
      <c r="A905" t="s">
        <v>1480</v>
      </c>
      <c r="B905" t="s">
        <v>1481</v>
      </c>
      <c r="C905" t="s">
        <v>123</v>
      </c>
      <c r="D905">
        <v>1.78</v>
      </c>
      <c r="E905">
        <f ca="1">INDIRECT("'Sheet1'!C121")</f>
        <v>0</v>
      </c>
      <c r="F905" t="b">
        <f t="shared" ca="1" si="87"/>
        <v>0</v>
      </c>
    </row>
    <row r="906" spans="1:6" x14ac:dyDescent="0.25">
      <c r="A906" t="s">
        <v>1488</v>
      </c>
      <c r="B906" t="s">
        <v>1483</v>
      </c>
      <c r="C906" t="s">
        <v>124</v>
      </c>
      <c r="D906" s="5" t="s">
        <v>293</v>
      </c>
      <c r="E906" s="5">
        <f ca="1">INDIRECT("'Sheet1'!D121")</f>
        <v>0</v>
      </c>
      <c r="F906" t="b">
        <f t="shared" ca="1" si="87"/>
        <v>0</v>
      </c>
    </row>
    <row r="908" spans="1:6" x14ac:dyDescent="0.25">
      <c r="A908" t="s">
        <v>1446</v>
      </c>
      <c r="B908" t="s">
        <v>1256</v>
      </c>
      <c r="C908" t="s">
        <v>173</v>
      </c>
      <c r="D908">
        <v>1.7</v>
      </c>
      <c r="E908">
        <f ca="1">INDIRECT("'Sheet1'!BB122")</f>
        <v>0</v>
      </c>
      <c r="F908" t="b">
        <f t="shared" ref="F908:F923" ca="1" si="88">E908=D908</f>
        <v>0</v>
      </c>
    </row>
    <row r="909" spans="1:6" x14ac:dyDescent="0.25">
      <c r="A909" t="s">
        <v>1447</v>
      </c>
      <c r="B909" t="s">
        <v>1257</v>
      </c>
      <c r="C909" t="s">
        <v>175</v>
      </c>
      <c r="D909" s="5">
        <v>44531</v>
      </c>
      <c r="E909" s="5">
        <f ca="1">INDIRECT("'Sheet1'!BD122")</f>
        <v>0</v>
      </c>
      <c r="F909" t="b">
        <f t="shared" ca="1" si="88"/>
        <v>0</v>
      </c>
    </row>
    <row r="910" spans="1:6" x14ac:dyDescent="0.25">
      <c r="A910" t="s">
        <v>1448</v>
      </c>
      <c r="B910" t="s">
        <v>1258</v>
      </c>
      <c r="C910" t="s">
        <v>176</v>
      </c>
      <c r="D910">
        <v>1.71</v>
      </c>
      <c r="E910">
        <f ca="1">INDIRECT("'Sheet1'!BE122")</f>
        <v>0</v>
      </c>
      <c r="F910" t="b">
        <f t="shared" ca="1" si="88"/>
        <v>0</v>
      </c>
    </row>
    <row r="911" spans="1:6" x14ac:dyDescent="0.25">
      <c r="A911" t="s">
        <v>1449</v>
      </c>
      <c r="B911" t="s">
        <v>1259</v>
      </c>
      <c r="C911" t="s">
        <v>178</v>
      </c>
      <c r="D911" s="5">
        <v>44530</v>
      </c>
      <c r="E911" s="5">
        <f ca="1">INDIRECT("'Sheet1'!BG122")</f>
        <v>0</v>
      </c>
      <c r="F911" t="b">
        <f t="shared" ca="1" si="88"/>
        <v>0</v>
      </c>
    </row>
    <row r="912" spans="1:6" x14ac:dyDescent="0.25">
      <c r="A912" t="s">
        <v>1450</v>
      </c>
      <c r="B912" t="s">
        <v>1260</v>
      </c>
      <c r="C912" t="s">
        <v>179</v>
      </c>
      <c r="D912">
        <v>1.72</v>
      </c>
      <c r="E912">
        <f ca="1">INDIRECT("'Sheet1'!BH122")</f>
        <v>0</v>
      </c>
      <c r="F912" t="b">
        <f t="shared" ca="1" si="88"/>
        <v>0</v>
      </c>
    </row>
    <row r="913" spans="1:6" x14ac:dyDescent="0.25">
      <c r="A913" t="s">
        <v>1451</v>
      </c>
      <c r="B913" t="s">
        <v>1261</v>
      </c>
      <c r="C913" t="s">
        <v>181</v>
      </c>
      <c r="D913" s="5">
        <v>44257</v>
      </c>
      <c r="E913" s="5">
        <f ca="1">INDIRECT("'Sheet1'!BJ122")</f>
        <v>0</v>
      </c>
      <c r="F913" t="b">
        <f t="shared" ca="1" si="88"/>
        <v>0</v>
      </c>
    </row>
    <row r="914" spans="1:6" x14ac:dyDescent="0.25">
      <c r="A914" t="s">
        <v>1452</v>
      </c>
      <c r="B914" t="s">
        <v>1262</v>
      </c>
      <c r="C914" t="s">
        <v>182</v>
      </c>
      <c r="D914">
        <v>1.73</v>
      </c>
      <c r="E914">
        <f ca="1">INDIRECT("'Sheet1'!BK122")</f>
        <v>0</v>
      </c>
      <c r="F914" t="b">
        <f t="shared" ca="1" si="88"/>
        <v>0</v>
      </c>
    </row>
    <row r="915" spans="1:6" x14ac:dyDescent="0.25">
      <c r="A915" t="s">
        <v>1453</v>
      </c>
      <c r="B915" t="s">
        <v>1263</v>
      </c>
      <c r="C915" t="s">
        <v>184</v>
      </c>
      <c r="D915" s="5">
        <v>44166</v>
      </c>
      <c r="E915" s="5">
        <f ca="1">INDIRECT("'Sheet1'!BM122")</f>
        <v>0</v>
      </c>
      <c r="F915" t="b">
        <f t="shared" ca="1" si="88"/>
        <v>0</v>
      </c>
    </row>
    <row r="916" spans="1:6" x14ac:dyDescent="0.25">
      <c r="A916" t="s">
        <v>1454</v>
      </c>
      <c r="B916" t="s">
        <v>1264</v>
      </c>
      <c r="C916" t="s">
        <v>185</v>
      </c>
      <c r="D916">
        <v>1.74</v>
      </c>
      <c r="E916">
        <f ca="1">INDIRECT("'Sheet1'!BN122")</f>
        <v>0</v>
      </c>
      <c r="F916" t="b">
        <f t="shared" ca="1" si="88"/>
        <v>0</v>
      </c>
    </row>
    <row r="917" spans="1:6" x14ac:dyDescent="0.25">
      <c r="A917" t="s">
        <v>1455</v>
      </c>
      <c r="B917" t="s">
        <v>1265</v>
      </c>
      <c r="C917" t="s">
        <v>187</v>
      </c>
      <c r="D917" s="5">
        <v>44075</v>
      </c>
      <c r="E917" s="5">
        <f ca="1">INDIRECT("'Sheet1'!BP122")</f>
        <v>0</v>
      </c>
      <c r="F917" t="b">
        <f t="shared" ca="1" si="88"/>
        <v>0</v>
      </c>
    </row>
    <row r="918" spans="1:6" x14ac:dyDescent="0.25">
      <c r="A918" t="s">
        <v>1456</v>
      </c>
      <c r="B918" t="s">
        <v>1266</v>
      </c>
      <c r="C918" t="s">
        <v>188</v>
      </c>
      <c r="D918">
        <v>1.75</v>
      </c>
      <c r="E918">
        <f ca="1">INDIRECT("'Sheet1'!BQ122")</f>
        <v>0</v>
      </c>
      <c r="F918" t="b">
        <f t="shared" ca="1" si="88"/>
        <v>0</v>
      </c>
    </row>
    <row r="919" spans="1:6" x14ac:dyDescent="0.25">
      <c r="A919" t="s">
        <v>1457</v>
      </c>
      <c r="B919" t="s">
        <v>1267</v>
      </c>
      <c r="C919" t="s">
        <v>190</v>
      </c>
      <c r="D919" s="5">
        <v>44439</v>
      </c>
      <c r="E919" s="5">
        <f ca="1">INDIRECT("'Sheet1'!BS122")</f>
        <v>0</v>
      </c>
      <c r="F919" t="b">
        <f t="shared" ca="1" si="88"/>
        <v>0</v>
      </c>
    </row>
    <row r="920" spans="1:6" x14ac:dyDescent="0.25">
      <c r="A920" t="s">
        <v>1458</v>
      </c>
      <c r="B920" t="s">
        <v>1268</v>
      </c>
      <c r="C920" t="s">
        <v>191</v>
      </c>
      <c r="D920">
        <v>1.76</v>
      </c>
      <c r="E920">
        <f ca="1">INDIRECT("'Sheet1'!BT122")</f>
        <v>0</v>
      </c>
      <c r="F920" t="b">
        <f t="shared" ca="1" si="88"/>
        <v>0</v>
      </c>
    </row>
    <row r="921" spans="1:6" x14ac:dyDescent="0.25">
      <c r="A921" t="s">
        <v>1459</v>
      </c>
      <c r="B921" t="s">
        <v>1269</v>
      </c>
      <c r="C921" t="s">
        <v>193</v>
      </c>
      <c r="D921" s="5">
        <v>43984</v>
      </c>
      <c r="E921" s="5">
        <f ca="1">INDIRECT("'Sheet1'!BV122")</f>
        <v>0</v>
      </c>
      <c r="F921" t="b">
        <f t="shared" ca="1" si="88"/>
        <v>0</v>
      </c>
    </row>
    <row r="922" spans="1:6" x14ac:dyDescent="0.25">
      <c r="A922" t="s">
        <v>1476</v>
      </c>
      <c r="B922" t="s">
        <v>1481</v>
      </c>
      <c r="C922" t="s">
        <v>123</v>
      </c>
      <c r="D922">
        <v>1.78</v>
      </c>
      <c r="E922">
        <f ca="1">INDIRECT("'Sheet1'!C122")</f>
        <v>0</v>
      </c>
      <c r="F922" t="b">
        <f t="shared" ca="1" si="88"/>
        <v>0</v>
      </c>
    </row>
    <row r="923" spans="1:6" x14ac:dyDescent="0.25">
      <c r="A923" t="s">
        <v>1489</v>
      </c>
      <c r="B923" t="s">
        <v>1483</v>
      </c>
      <c r="C923" t="s">
        <v>124</v>
      </c>
      <c r="D923" s="5" t="s">
        <v>293</v>
      </c>
      <c r="E923" s="5">
        <f ca="1">INDIRECT("'Sheet1'!D122")</f>
        <v>0</v>
      </c>
      <c r="F923" t="b">
        <f t="shared" ca="1" si="88"/>
        <v>0</v>
      </c>
    </row>
    <row r="925" spans="1:6" x14ac:dyDescent="0.25">
      <c r="A925" t="s">
        <v>1460</v>
      </c>
      <c r="B925" t="s">
        <v>1256</v>
      </c>
      <c r="C925" t="s">
        <v>173</v>
      </c>
      <c r="D925">
        <v>1.7</v>
      </c>
      <c r="E925">
        <f ca="1">INDIRECT("'Sheet1'!BB123")</f>
        <v>0</v>
      </c>
      <c r="F925" t="b">
        <f t="shared" ref="F925:F951" ca="1" si="89">E925=D925</f>
        <v>0</v>
      </c>
    </row>
    <row r="926" spans="1:6" x14ac:dyDescent="0.25">
      <c r="A926" t="s">
        <v>1461</v>
      </c>
      <c r="B926" t="s">
        <v>1257</v>
      </c>
      <c r="C926" t="s">
        <v>175</v>
      </c>
      <c r="D926" s="5">
        <v>44531</v>
      </c>
      <c r="E926" s="5">
        <f ca="1">INDIRECT("'Sheet1'!BD123")</f>
        <v>0</v>
      </c>
      <c r="F926" t="b">
        <f t="shared" ca="1" si="89"/>
        <v>0</v>
      </c>
    </row>
    <row r="927" spans="1:6" x14ac:dyDescent="0.25">
      <c r="A927" t="s">
        <v>1462</v>
      </c>
      <c r="B927" t="s">
        <v>1258</v>
      </c>
      <c r="C927" t="s">
        <v>176</v>
      </c>
      <c r="D927">
        <v>1.71</v>
      </c>
      <c r="E927">
        <f ca="1">INDIRECT("'Sheet1'!BE123")</f>
        <v>0</v>
      </c>
      <c r="F927" t="b">
        <f t="shared" ca="1" si="89"/>
        <v>0</v>
      </c>
    </row>
    <row r="928" spans="1:6" x14ac:dyDescent="0.25">
      <c r="A928" t="s">
        <v>1463</v>
      </c>
      <c r="B928" t="s">
        <v>1259</v>
      </c>
      <c r="C928" t="s">
        <v>178</v>
      </c>
      <c r="D928" s="5">
        <v>44530</v>
      </c>
      <c r="E928" s="5">
        <f ca="1">INDIRECT("'Sheet1'!BG123")</f>
        <v>0</v>
      </c>
      <c r="F928" t="b">
        <f t="shared" ca="1" si="89"/>
        <v>0</v>
      </c>
    </row>
    <row r="929" spans="1:6" x14ac:dyDescent="0.25">
      <c r="A929" t="s">
        <v>1464</v>
      </c>
      <c r="B929" t="s">
        <v>1260</v>
      </c>
      <c r="C929" t="s">
        <v>179</v>
      </c>
      <c r="D929">
        <v>1.72</v>
      </c>
      <c r="E929">
        <f ca="1">INDIRECT("'Sheet1'!BH123")</f>
        <v>0</v>
      </c>
      <c r="F929" t="b">
        <f t="shared" ca="1" si="89"/>
        <v>0</v>
      </c>
    </row>
    <row r="930" spans="1:6" x14ac:dyDescent="0.25">
      <c r="A930" t="s">
        <v>1465</v>
      </c>
      <c r="B930" t="s">
        <v>1261</v>
      </c>
      <c r="C930" t="s">
        <v>181</v>
      </c>
      <c r="D930" s="5">
        <v>44257</v>
      </c>
      <c r="E930" s="5">
        <f ca="1">INDIRECT("'Sheet1'!BJ123")</f>
        <v>0</v>
      </c>
      <c r="F930" t="b">
        <f t="shared" ca="1" si="89"/>
        <v>0</v>
      </c>
    </row>
    <row r="931" spans="1:6" x14ac:dyDescent="0.25">
      <c r="A931" t="s">
        <v>1466</v>
      </c>
      <c r="B931" t="s">
        <v>1262</v>
      </c>
      <c r="C931" t="s">
        <v>182</v>
      </c>
      <c r="D931">
        <v>1.73</v>
      </c>
      <c r="E931">
        <f ca="1">INDIRECT("'Sheet1'!BK123")</f>
        <v>0</v>
      </c>
      <c r="F931" t="b">
        <f t="shared" ca="1" si="89"/>
        <v>0</v>
      </c>
    </row>
    <row r="932" spans="1:6" x14ac:dyDescent="0.25">
      <c r="A932" t="s">
        <v>1467</v>
      </c>
      <c r="B932" t="s">
        <v>1263</v>
      </c>
      <c r="C932" t="s">
        <v>184</v>
      </c>
      <c r="D932" s="5">
        <v>44166</v>
      </c>
      <c r="E932" s="5">
        <f ca="1">INDIRECT("'Sheet1'!BM123")</f>
        <v>0</v>
      </c>
      <c r="F932" t="b">
        <f t="shared" ca="1" si="89"/>
        <v>0</v>
      </c>
    </row>
    <row r="933" spans="1:6" x14ac:dyDescent="0.25">
      <c r="A933" t="s">
        <v>1468</v>
      </c>
      <c r="B933" t="s">
        <v>1264</v>
      </c>
      <c r="C933" t="s">
        <v>185</v>
      </c>
      <c r="D933">
        <v>1.74</v>
      </c>
      <c r="E933">
        <f ca="1">INDIRECT("'Sheet1'!BN123")</f>
        <v>0</v>
      </c>
      <c r="F933" t="b">
        <f t="shared" ca="1" si="89"/>
        <v>0</v>
      </c>
    </row>
    <row r="934" spans="1:6" x14ac:dyDescent="0.25">
      <c r="A934" t="s">
        <v>1469</v>
      </c>
      <c r="B934" t="s">
        <v>1265</v>
      </c>
      <c r="C934" t="s">
        <v>187</v>
      </c>
      <c r="D934" s="5">
        <v>44075</v>
      </c>
      <c r="E934" s="5">
        <f ca="1">INDIRECT("'Sheet1'!BP123")</f>
        <v>0</v>
      </c>
      <c r="F934" t="b">
        <f t="shared" ca="1" si="89"/>
        <v>0</v>
      </c>
    </row>
    <row r="935" spans="1:6" x14ac:dyDescent="0.25">
      <c r="A935" t="s">
        <v>1470</v>
      </c>
      <c r="B935" t="s">
        <v>1266</v>
      </c>
      <c r="C935" t="s">
        <v>188</v>
      </c>
      <c r="D935">
        <v>1.75</v>
      </c>
      <c r="E935">
        <f ca="1">INDIRECT("'Sheet1'!BQ123")</f>
        <v>0</v>
      </c>
      <c r="F935" t="b">
        <f t="shared" ca="1" si="89"/>
        <v>0</v>
      </c>
    </row>
    <row r="936" spans="1:6" x14ac:dyDescent="0.25">
      <c r="A936" t="s">
        <v>1471</v>
      </c>
      <c r="B936" t="s">
        <v>1267</v>
      </c>
      <c r="C936" t="s">
        <v>190</v>
      </c>
      <c r="D936" s="5">
        <v>44439</v>
      </c>
      <c r="E936" s="5">
        <f ca="1">INDIRECT("'Sheet1'!BS123")</f>
        <v>0</v>
      </c>
      <c r="F936" t="b">
        <f t="shared" ca="1" si="89"/>
        <v>0</v>
      </c>
    </row>
    <row r="937" spans="1:6" x14ac:dyDescent="0.25">
      <c r="A937" t="s">
        <v>1472</v>
      </c>
      <c r="B937" t="s">
        <v>1268</v>
      </c>
      <c r="C937" t="s">
        <v>191</v>
      </c>
      <c r="D937">
        <v>1.76</v>
      </c>
      <c r="E937">
        <f ca="1">INDIRECT("'Sheet1'!BT123")</f>
        <v>0</v>
      </c>
      <c r="F937" t="b">
        <f t="shared" ca="1" si="89"/>
        <v>0</v>
      </c>
    </row>
    <row r="938" spans="1:6" x14ac:dyDescent="0.25">
      <c r="A938" t="s">
        <v>1473</v>
      </c>
      <c r="B938" t="s">
        <v>1269</v>
      </c>
      <c r="C938" t="s">
        <v>193</v>
      </c>
      <c r="D938" s="5">
        <v>43984</v>
      </c>
      <c r="E938" s="5">
        <f ca="1">INDIRECT("'Sheet1'!BV123")</f>
        <v>0</v>
      </c>
      <c r="F938" t="b">
        <f t="shared" ca="1" si="89"/>
        <v>0</v>
      </c>
    </row>
    <row r="939" spans="1:6" x14ac:dyDescent="0.25">
      <c r="A939" t="s">
        <v>1475</v>
      </c>
      <c r="B939" t="s">
        <v>1481</v>
      </c>
      <c r="C939" t="s">
        <v>123</v>
      </c>
      <c r="D939">
        <v>1.78</v>
      </c>
      <c r="E939">
        <f ca="1">INDIRECT("'Sheet1'!C123")</f>
        <v>0</v>
      </c>
      <c r="F939" t="b">
        <f t="shared" ca="1" si="89"/>
        <v>0</v>
      </c>
    </row>
    <row r="940" spans="1:6" x14ac:dyDescent="0.25">
      <c r="A940" t="s">
        <v>1490</v>
      </c>
      <c r="B940" t="s">
        <v>1483</v>
      </c>
      <c r="C940" t="s">
        <v>124</v>
      </c>
      <c r="D940" s="5" t="s">
        <v>293</v>
      </c>
      <c r="E940" s="5">
        <f ca="1">INDIRECT("'Sheet1'!D123")</f>
        <v>0</v>
      </c>
      <c r="F940" t="b">
        <f t="shared" ca="1" si="89"/>
        <v>0</v>
      </c>
    </row>
    <row r="942" spans="1:6" x14ac:dyDescent="0.25">
      <c r="A942" t="s">
        <v>1491</v>
      </c>
      <c r="B942" t="s">
        <v>1497</v>
      </c>
      <c r="C942" t="s">
        <v>123</v>
      </c>
      <c r="D942">
        <v>1.7</v>
      </c>
      <c r="E942">
        <f ca="1">INDIRECT("'Sheet1'!C124")</f>
        <v>0</v>
      </c>
      <c r="F942" t="b">
        <f t="shared" ca="1" si="89"/>
        <v>0</v>
      </c>
    </row>
    <row r="943" spans="1:6" x14ac:dyDescent="0.25">
      <c r="A943" t="s">
        <v>1492</v>
      </c>
      <c r="B943" t="s">
        <v>1498</v>
      </c>
      <c r="C943" t="s">
        <v>124</v>
      </c>
      <c r="D943" t="s">
        <v>293</v>
      </c>
      <c r="E943" s="5">
        <f ca="1">INDIRECT("'Sheet1'!D124")</f>
        <v>0</v>
      </c>
      <c r="F943" t="b">
        <f t="shared" ca="1" si="89"/>
        <v>0</v>
      </c>
    </row>
    <row r="945" spans="1:6" x14ac:dyDescent="0.25">
      <c r="A945" t="s">
        <v>1495</v>
      </c>
      <c r="B945" t="s">
        <v>1493</v>
      </c>
      <c r="C945" t="s">
        <v>123</v>
      </c>
      <c r="D945">
        <v>1.7</v>
      </c>
      <c r="E945">
        <f ca="1">INDIRECT("'Sheet1'!C125")</f>
        <v>0</v>
      </c>
      <c r="F945" t="b">
        <f t="shared" ca="1" si="89"/>
        <v>0</v>
      </c>
    </row>
    <row r="946" spans="1:6" x14ac:dyDescent="0.25">
      <c r="A946" t="s">
        <v>1496</v>
      </c>
      <c r="B946" t="s">
        <v>1494</v>
      </c>
      <c r="C946" t="s">
        <v>124</v>
      </c>
      <c r="D946" t="s">
        <v>293</v>
      </c>
      <c r="E946" s="5">
        <f ca="1">INDIRECT("'Sheet1'!D125")</f>
        <v>0</v>
      </c>
      <c r="F946" t="b">
        <f t="shared" ca="1" si="89"/>
        <v>0</v>
      </c>
    </row>
    <row r="948" spans="1:6" x14ac:dyDescent="0.25">
      <c r="A948" t="s">
        <v>1503</v>
      </c>
      <c r="B948" t="s">
        <v>1625</v>
      </c>
      <c r="C948" t="s">
        <v>196</v>
      </c>
      <c r="D948">
        <v>0.01</v>
      </c>
      <c r="E948">
        <f ca="1">INDIRECT("'Sheet1'!BY126")</f>
        <v>0</v>
      </c>
      <c r="F948" t="b">
        <f t="shared" ca="1" si="89"/>
        <v>0</v>
      </c>
    </row>
    <row r="949" spans="1:6" x14ac:dyDescent="0.25">
      <c r="A949" t="s">
        <v>1504</v>
      </c>
      <c r="B949" t="s">
        <v>1555</v>
      </c>
      <c r="C949" t="s">
        <v>197</v>
      </c>
      <c r="D949" t="s">
        <v>1513</v>
      </c>
      <c r="E949">
        <f ca="1">INDIRECT("'Sheet1'!BZ126")</f>
        <v>0</v>
      </c>
      <c r="F949" t="b">
        <f t="shared" ca="1" si="89"/>
        <v>0</v>
      </c>
    </row>
    <row r="950" spans="1:6" x14ac:dyDescent="0.25">
      <c r="A950" t="s">
        <v>1505</v>
      </c>
      <c r="B950" t="s">
        <v>1556</v>
      </c>
      <c r="C950" t="s">
        <v>198</v>
      </c>
      <c r="D950" s="5">
        <v>44529</v>
      </c>
      <c r="E950" s="5">
        <f ca="1">INDIRECT("'Sheet1'!CA126")</f>
        <v>0</v>
      </c>
      <c r="F950" t="b">
        <f t="shared" ca="1" si="89"/>
        <v>0</v>
      </c>
    </row>
    <row r="951" spans="1:6" x14ac:dyDescent="0.25">
      <c r="A951" t="s">
        <v>1506</v>
      </c>
      <c r="B951" t="s">
        <v>1626</v>
      </c>
      <c r="C951" t="s">
        <v>199</v>
      </c>
      <c r="D951">
        <v>0.01</v>
      </c>
      <c r="E951">
        <f ca="1">INDIRECT("'Sheet1'!CB126")</f>
        <v>0</v>
      </c>
      <c r="F951" t="b">
        <f t="shared" ca="1" si="89"/>
        <v>0</v>
      </c>
    </row>
    <row r="952" spans="1:6" x14ac:dyDescent="0.25">
      <c r="A952" t="s">
        <v>1507</v>
      </c>
      <c r="B952" t="s">
        <v>1655</v>
      </c>
      <c r="C952" t="s">
        <v>200</v>
      </c>
      <c r="D952" t="s">
        <v>1514</v>
      </c>
      <c r="E952">
        <f ca="1">INDIRECT("'Sheet1'!CC126")</f>
        <v>0</v>
      </c>
      <c r="F952" t="b">
        <f ca="1">E952=D952</f>
        <v>0</v>
      </c>
    </row>
    <row r="953" spans="1:6" x14ac:dyDescent="0.25">
      <c r="A953" t="s">
        <v>1508</v>
      </c>
      <c r="B953" t="s">
        <v>1656</v>
      </c>
      <c r="C953" t="s">
        <v>201</v>
      </c>
      <c r="D953" s="5">
        <v>44529</v>
      </c>
      <c r="E953" s="5">
        <f ca="1">INDIRECT("'Sheet1'!CD126")</f>
        <v>0</v>
      </c>
      <c r="F953" t="b">
        <f ca="1">E953=D953</f>
        <v>0</v>
      </c>
    </row>
    <row r="955" spans="1:6" x14ac:dyDescent="0.25">
      <c r="A955" t="s">
        <v>1519</v>
      </c>
      <c r="B955" t="s">
        <v>1533</v>
      </c>
      <c r="C955" t="s">
        <v>196</v>
      </c>
      <c r="D955" t="s">
        <v>1561</v>
      </c>
      <c r="E955">
        <f ca="1">INDIRECT("'Sheet1'!BY127")</f>
        <v>0</v>
      </c>
      <c r="F955" t="b">
        <f t="shared" ref="F955:F958" ca="1" si="90">E955=D955</f>
        <v>0</v>
      </c>
    </row>
    <row r="956" spans="1:6" x14ac:dyDescent="0.25">
      <c r="A956" t="s">
        <v>1520</v>
      </c>
      <c r="B956" t="s">
        <v>1535</v>
      </c>
      <c r="C956" t="s">
        <v>197</v>
      </c>
      <c r="D956" t="s">
        <v>1513</v>
      </c>
      <c r="E956">
        <f ca="1">INDIRECT("'Sheet1'!BZ127")</f>
        <v>0</v>
      </c>
      <c r="F956" t="b">
        <f t="shared" ca="1" si="90"/>
        <v>0</v>
      </c>
    </row>
    <row r="957" spans="1:6" x14ac:dyDescent="0.25">
      <c r="A957" t="s">
        <v>1521</v>
      </c>
      <c r="B957" t="s">
        <v>1515</v>
      </c>
      <c r="C957" t="s">
        <v>198</v>
      </c>
      <c r="D957" s="5">
        <v>44529</v>
      </c>
      <c r="E957" s="5">
        <f ca="1">INDIRECT("'Sheet1'!CA127")</f>
        <v>0</v>
      </c>
      <c r="F957" t="b">
        <f t="shared" ca="1" si="90"/>
        <v>0</v>
      </c>
    </row>
    <row r="958" spans="1:6" x14ac:dyDescent="0.25">
      <c r="A958" t="s">
        <v>1522</v>
      </c>
      <c r="B958" t="s">
        <v>1534</v>
      </c>
      <c r="C958" t="s">
        <v>199</v>
      </c>
      <c r="D958" t="s">
        <v>1562</v>
      </c>
      <c r="E958">
        <f ca="1">INDIRECT("'Sheet1'!CB127")</f>
        <v>0</v>
      </c>
      <c r="F958" t="b">
        <f t="shared" ca="1" si="90"/>
        <v>0</v>
      </c>
    </row>
    <row r="959" spans="1:6" x14ac:dyDescent="0.25">
      <c r="A959" t="s">
        <v>1523</v>
      </c>
      <c r="B959" t="s">
        <v>1654</v>
      </c>
      <c r="C959" t="s">
        <v>200</v>
      </c>
      <c r="D959" t="s">
        <v>1514</v>
      </c>
      <c r="E959">
        <f ca="1">INDIRECT("'Sheet1'!CC127")</f>
        <v>0</v>
      </c>
      <c r="F959" t="b">
        <f ca="1">E959=D959</f>
        <v>0</v>
      </c>
    </row>
    <row r="960" spans="1:6" x14ac:dyDescent="0.25">
      <c r="A960" t="s">
        <v>1524</v>
      </c>
      <c r="B960" t="s">
        <v>1653</v>
      </c>
      <c r="C960" t="s">
        <v>201</v>
      </c>
      <c r="D960" s="5">
        <v>44529</v>
      </c>
      <c r="E960" s="5">
        <f ca="1">INDIRECT("'Sheet1'!CD127")</f>
        <v>0</v>
      </c>
      <c r="F960" t="b">
        <f ca="1">E960=D960</f>
        <v>0</v>
      </c>
    </row>
    <row r="962" spans="1:6" x14ac:dyDescent="0.25">
      <c r="A962" t="s">
        <v>1525</v>
      </c>
      <c r="B962" t="s">
        <v>1623</v>
      </c>
      <c r="C962" t="s">
        <v>196</v>
      </c>
      <c r="D962" t="s">
        <v>1632</v>
      </c>
      <c r="E962">
        <f ca="1">INDIRECT("'Sheet1'!BY128")</f>
        <v>0</v>
      </c>
      <c r="F962" t="b">
        <f t="shared" ref="F962:F965" ca="1" si="91">E962=D962</f>
        <v>0</v>
      </c>
    </row>
    <row r="963" spans="1:6" x14ac:dyDescent="0.25">
      <c r="A963" t="s">
        <v>1526</v>
      </c>
      <c r="B963" t="s">
        <v>1553</v>
      </c>
      <c r="C963" t="s">
        <v>197</v>
      </c>
      <c r="D963" t="s">
        <v>1513</v>
      </c>
      <c r="E963">
        <f ca="1">INDIRECT("'Sheet1'!BZ128")</f>
        <v>0</v>
      </c>
      <c r="F963" t="b">
        <f t="shared" ca="1" si="91"/>
        <v>0</v>
      </c>
    </row>
    <row r="964" spans="1:6" x14ac:dyDescent="0.25">
      <c r="A964" t="s">
        <v>1527</v>
      </c>
      <c r="B964" t="s">
        <v>1554</v>
      </c>
      <c r="C964" t="s">
        <v>198</v>
      </c>
      <c r="D964" s="5">
        <v>44529</v>
      </c>
      <c r="E964" s="5">
        <f ca="1">INDIRECT("'Sheet1'!CA128")</f>
        <v>0</v>
      </c>
      <c r="F964" t="b">
        <f t="shared" ca="1" si="91"/>
        <v>0</v>
      </c>
    </row>
    <row r="965" spans="1:6" x14ac:dyDescent="0.25">
      <c r="A965" t="s">
        <v>1528</v>
      </c>
      <c r="B965" t="s">
        <v>1624</v>
      </c>
      <c r="C965" t="s">
        <v>199</v>
      </c>
      <c r="D965" t="s">
        <v>1627</v>
      </c>
      <c r="E965">
        <f ca="1">INDIRECT("'Sheet1'!CB128")</f>
        <v>0</v>
      </c>
      <c r="F965" t="b">
        <f t="shared" ca="1" si="91"/>
        <v>0</v>
      </c>
    </row>
    <row r="966" spans="1:6" x14ac:dyDescent="0.25">
      <c r="A966" t="s">
        <v>1529</v>
      </c>
      <c r="B966" t="s">
        <v>1652</v>
      </c>
      <c r="C966" t="s">
        <v>200</v>
      </c>
      <c r="D966" t="s">
        <v>1514</v>
      </c>
      <c r="E966">
        <f ca="1">INDIRECT("'Sheet1'!CC128")</f>
        <v>0</v>
      </c>
      <c r="F966" t="b">
        <f ca="1">E966=D966</f>
        <v>0</v>
      </c>
    </row>
    <row r="967" spans="1:6" x14ac:dyDescent="0.25">
      <c r="A967" t="s">
        <v>1530</v>
      </c>
      <c r="B967" t="s">
        <v>1651</v>
      </c>
      <c r="C967" t="s">
        <v>201</v>
      </c>
      <c r="D967" s="5">
        <v>44529</v>
      </c>
      <c r="E967" s="5">
        <f ca="1">INDIRECT("'Sheet1'!CD128")</f>
        <v>0</v>
      </c>
      <c r="F967" t="b">
        <f ca="1">E967=D967</f>
        <v>0</v>
      </c>
    </row>
    <row r="968" spans="1:6" x14ac:dyDescent="0.25">
      <c r="D968" s="5"/>
    </row>
    <row r="969" spans="1:6" x14ac:dyDescent="0.25">
      <c r="A969" t="s">
        <v>1540</v>
      </c>
      <c r="B969" t="s">
        <v>1557</v>
      </c>
      <c r="C969" t="s">
        <v>196</v>
      </c>
      <c r="D969">
        <v>0</v>
      </c>
      <c r="E969">
        <f ca="1">INDIRECT("'Sheet1'!BY129")</f>
        <v>0</v>
      </c>
      <c r="F969" t="b">
        <f t="shared" ref="F969:F972" ca="1" si="92">E969=D969</f>
        <v>1</v>
      </c>
    </row>
    <row r="970" spans="1:6" x14ac:dyDescent="0.25">
      <c r="A970" t="s">
        <v>1541</v>
      </c>
      <c r="B970" t="s">
        <v>1558</v>
      </c>
      <c r="C970" t="s">
        <v>197</v>
      </c>
      <c r="D970" t="s">
        <v>1513</v>
      </c>
      <c r="E970">
        <f ca="1">INDIRECT("'Sheet1'!BZ129")</f>
        <v>0</v>
      </c>
      <c r="F970" t="b">
        <f t="shared" ca="1" si="92"/>
        <v>0</v>
      </c>
    </row>
    <row r="971" spans="1:6" x14ac:dyDescent="0.25">
      <c r="A971" t="s">
        <v>1542</v>
      </c>
      <c r="B971" t="s">
        <v>1559</v>
      </c>
      <c r="C971" t="s">
        <v>198</v>
      </c>
      <c r="D971" s="5">
        <v>44531</v>
      </c>
      <c r="E971" s="5">
        <f ca="1">INDIRECT("'Sheet1'!CA129")</f>
        <v>0</v>
      </c>
      <c r="F971" t="b">
        <f t="shared" ca="1" si="92"/>
        <v>0</v>
      </c>
    </row>
    <row r="972" spans="1:6" x14ac:dyDescent="0.25">
      <c r="A972" t="s">
        <v>1543</v>
      </c>
      <c r="B972" t="s">
        <v>1560</v>
      </c>
      <c r="C972" t="s">
        <v>199</v>
      </c>
      <c r="D972">
        <v>0</v>
      </c>
      <c r="E972">
        <f ca="1">INDIRECT("'Sheet1'!CB129")</f>
        <v>0</v>
      </c>
      <c r="F972" t="b">
        <f t="shared" ca="1" si="92"/>
        <v>1</v>
      </c>
    </row>
    <row r="973" spans="1:6" x14ac:dyDescent="0.25">
      <c r="A973" t="s">
        <v>1544</v>
      </c>
      <c r="B973" t="s">
        <v>1649</v>
      </c>
      <c r="C973" t="s">
        <v>200</v>
      </c>
      <c r="D973" t="s">
        <v>1514</v>
      </c>
      <c r="E973">
        <f ca="1">INDIRECT("'Sheet1'!CC129")</f>
        <v>0</v>
      </c>
      <c r="F973" t="b">
        <f ca="1">E973=D973</f>
        <v>0</v>
      </c>
    </row>
    <row r="974" spans="1:6" x14ac:dyDescent="0.25">
      <c r="A974" t="s">
        <v>1545</v>
      </c>
      <c r="B974" t="s">
        <v>1650</v>
      </c>
      <c r="C974" t="s">
        <v>201</v>
      </c>
      <c r="D974" s="5">
        <v>44531</v>
      </c>
      <c r="E974" s="5">
        <f ca="1">INDIRECT("'Sheet1'!CD129")</f>
        <v>0</v>
      </c>
      <c r="F974" t="b">
        <f ca="1">E974=D974</f>
        <v>0</v>
      </c>
    </row>
    <row r="976" spans="1:6" x14ac:dyDescent="0.25">
      <c r="A976" t="s">
        <v>1546</v>
      </c>
      <c r="B976" t="s">
        <v>1536</v>
      </c>
      <c r="C976" t="s">
        <v>196</v>
      </c>
      <c r="E976">
        <f ca="1">INDIRECT("'Sheet1'!BY130")</f>
        <v>0</v>
      </c>
      <c r="F976" t="b">
        <f t="shared" ref="F976:F979" ca="1" si="93">E976=D976</f>
        <v>1</v>
      </c>
    </row>
    <row r="977" spans="1:6" x14ac:dyDescent="0.25">
      <c r="A977" t="s">
        <v>1547</v>
      </c>
      <c r="B977" t="s">
        <v>1537</v>
      </c>
      <c r="C977" t="s">
        <v>197</v>
      </c>
      <c r="E977">
        <f ca="1">INDIRECT("'Sheet1'!BZ130")</f>
        <v>0</v>
      </c>
      <c r="F977" t="b">
        <f t="shared" ca="1" si="93"/>
        <v>1</v>
      </c>
    </row>
    <row r="978" spans="1:6" x14ac:dyDescent="0.25">
      <c r="A978" t="s">
        <v>1548</v>
      </c>
      <c r="B978" t="s">
        <v>1538</v>
      </c>
      <c r="C978" t="s">
        <v>198</v>
      </c>
      <c r="D978" s="5"/>
      <c r="E978">
        <f ca="1">INDIRECT("'Sheet1'!CA130")</f>
        <v>0</v>
      </c>
      <c r="F978" t="b">
        <f t="shared" ca="1" si="93"/>
        <v>1</v>
      </c>
    </row>
    <row r="979" spans="1:6" x14ac:dyDescent="0.25">
      <c r="A979" t="s">
        <v>1549</v>
      </c>
      <c r="B979" t="s">
        <v>1539</v>
      </c>
      <c r="C979" t="s">
        <v>199</v>
      </c>
      <c r="E979">
        <f ca="1">INDIRECT("'Sheet1'!CB130")</f>
        <v>0</v>
      </c>
      <c r="F979" t="b">
        <f t="shared" ca="1" si="93"/>
        <v>1</v>
      </c>
    </row>
    <row r="980" spans="1:6" x14ac:dyDescent="0.25">
      <c r="A980" t="s">
        <v>1550</v>
      </c>
      <c r="B980" t="s">
        <v>1648</v>
      </c>
      <c r="C980" t="s">
        <v>200</v>
      </c>
      <c r="E980">
        <f ca="1">INDIRECT("'Sheet1'!CC130")</f>
        <v>0</v>
      </c>
      <c r="F980" t="b">
        <f ca="1">E980=D980</f>
        <v>1</v>
      </c>
    </row>
    <row r="981" spans="1:6" x14ac:dyDescent="0.25">
      <c r="A981" t="s">
        <v>1551</v>
      </c>
      <c r="B981" t="s">
        <v>1647</v>
      </c>
      <c r="C981" t="s">
        <v>201</v>
      </c>
      <c r="D981" s="5"/>
      <c r="E981">
        <f ca="1">INDIRECT("'Sheet1'!CD130")</f>
        <v>0</v>
      </c>
      <c r="F981" t="b">
        <f ca="1">E981=D981</f>
        <v>1</v>
      </c>
    </row>
    <row r="983" spans="1:6" x14ac:dyDescent="0.25">
      <c r="A983" t="s">
        <v>1563</v>
      </c>
      <c r="B983" t="s">
        <v>1577</v>
      </c>
      <c r="C983" t="s">
        <v>194</v>
      </c>
      <c r="D983" s="5">
        <v>44530</v>
      </c>
      <c r="E983" s="5">
        <f ca="1">INDIRECT("'Sheet1'!BW131")</f>
        <v>0</v>
      </c>
      <c r="F983" t="b">
        <f ca="1">E983=D983</f>
        <v>0</v>
      </c>
    </row>
    <row r="984" spans="1:6" x14ac:dyDescent="0.25">
      <c r="A984" t="s">
        <v>1564</v>
      </c>
      <c r="B984" t="s">
        <v>1568</v>
      </c>
      <c r="C984" t="s">
        <v>195</v>
      </c>
      <c r="D984">
        <v>71</v>
      </c>
      <c r="E984">
        <f ca="1">INDIRECT("'Sheet1'!BX131")</f>
        <v>0</v>
      </c>
      <c r="F984" t="b">
        <f ca="1">E984=D984</f>
        <v>0</v>
      </c>
    </row>
    <row r="986" spans="1:6" x14ac:dyDescent="0.25">
      <c r="A986" t="s">
        <v>1569</v>
      </c>
      <c r="B986" t="s">
        <v>1578</v>
      </c>
      <c r="C986" t="s">
        <v>194</v>
      </c>
      <c r="D986" s="5">
        <v>44196</v>
      </c>
      <c r="E986" s="5">
        <f ca="1">INDIRECT("'Sheet1'!BW132")</f>
        <v>0</v>
      </c>
      <c r="F986" t="b">
        <f ca="1">E986=D986</f>
        <v>0</v>
      </c>
    </row>
    <row r="987" spans="1:6" x14ac:dyDescent="0.25">
      <c r="A987" t="s">
        <v>1570</v>
      </c>
      <c r="B987" t="s">
        <v>1568</v>
      </c>
      <c r="C987" t="s">
        <v>195</v>
      </c>
      <c r="D987">
        <v>70</v>
      </c>
      <c r="E987">
        <f ca="1">INDIRECT("'Sheet1'!BX132")</f>
        <v>0</v>
      </c>
      <c r="F987" t="b">
        <f ca="1">E987=D987</f>
        <v>0</v>
      </c>
    </row>
    <row r="989" spans="1:6" x14ac:dyDescent="0.25">
      <c r="A989" t="s">
        <v>1571</v>
      </c>
      <c r="B989" t="s">
        <v>1619</v>
      </c>
      <c r="C989" t="s">
        <v>194</v>
      </c>
      <c r="D989" s="5"/>
      <c r="E989" s="5">
        <f ca="1">INDIRECT("'Sheet1'!BW133")</f>
        <v>0</v>
      </c>
      <c r="F989" t="b">
        <f ca="1">E989=D989</f>
        <v>1</v>
      </c>
    </row>
    <row r="990" spans="1:6" x14ac:dyDescent="0.25">
      <c r="A990" t="s">
        <v>1572</v>
      </c>
      <c r="B990" t="s">
        <v>1620</v>
      </c>
      <c r="C990" t="s">
        <v>195</v>
      </c>
      <c r="E990">
        <f ca="1">INDIRECT("'Sheet1'!BX133")</f>
        <v>0</v>
      </c>
      <c r="F990" t="b">
        <f ca="1">E990=D990</f>
        <v>1</v>
      </c>
    </row>
    <row r="992" spans="1:6" x14ac:dyDescent="0.25">
      <c r="A992" t="s">
        <v>1573</v>
      </c>
      <c r="B992" t="s">
        <v>1622</v>
      </c>
      <c r="C992" t="s">
        <v>194</v>
      </c>
      <c r="D992" s="5">
        <v>44197</v>
      </c>
      <c r="E992" s="5">
        <f ca="1">INDIRECT("'Sheet1'!BW134")</f>
        <v>0</v>
      </c>
      <c r="F992" t="b">
        <f ca="1">E992=D992</f>
        <v>0</v>
      </c>
    </row>
    <row r="993" spans="1:6" x14ac:dyDescent="0.25">
      <c r="A993" t="s">
        <v>1574</v>
      </c>
      <c r="B993" t="s">
        <v>1568</v>
      </c>
      <c r="C993" t="s">
        <v>195</v>
      </c>
      <c r="D993">
        <v>71</v>
      </c>
      <c r="E993">
        <f ca="1">INDIRECT("'Sheet1'!BX134")</f>
        <v>0</v>
      </c>
      <c r="F993" t="b">
        <f ca="1">E993=D993</f>
        <v>0</v>
      </c>
    </row>
    <row r="995" spans="1:6" x14ac:dyDescent="0.25">
      <c r="A995" t="s">
        <v>1575</v>
      </c>
      <c r="B995" t="s">
        <v>1579</v>
      </c>
      <c r="C995" t="s">
        <v>194</v>
      </c>
      <c r="E995">
        <f ca="1">INDIRECT("'Sheet1'!BW135")</f>
        <v>0</v>
      </c>
      <c r="F995" t="b">
        <f ca="1">E995=D995</f>
        <v>1</v>
      </c>
    </row>
    <row r="996" spans="1:6" x14ac:dyDescent="0.25">
      <c r="A996" t="s">
        <v>1576</v>
      </c>
      <c r="B996" t="s">
        <v>1580</v>
      </c>
      <c r="C996" t="s">
        <v>195</v>
      </c>
      <c r="E996">
        <f ca="1">INDIRECT("'Sheet1'!BX135")</f>
        <v>0</v>
      </c>
      <c r="F996" t="b">
        <f ca="1">E996=D996</f>
        <v>1</v>
      </c>
    </row>
    <row r="998" spans="1:6" x14ac:dyDescent="0.25">
      <c r="A998" t="str">
        <f>"136"&amp;LOWER(SUBSTITUTE(ADDRESS(136, ROWS($A$1:A1), 4), "136", ""))</f>
        <v>136a</v>
      </c>
      <c r="B998" t="s">
        <v>119</v>
      </c>
      <c r="C998" t="s">
        <v>120</v>
      </c>
      <c r="D998" t="s">
        <v>1603</v>
      </c>
      <c r="E998">
        <f ca="1">INDIRECT("'Sheet1'!A136")</f>
        <v>0</v>
      </c>
      <c r="F998" t="b">
        <f t="shared" ref="F998:F1061" ca="1" si="94">E998=D998</f>
        <v>0</v>
      </c>
    </row>
    <row r="999" spans="1:6" x14ac:dyDescent="0.25">
      <c r="A999" t="str">
        <f>"136"&amp;LOWER(SUBSTITUTE(ADDRESS(136, ROWS($A$1:A2), 4), "136", ""))</f>
        <v>136b</v>
      </c>
      <c r="B999" t="s">
        <v>303</v>
      </c>
      <c r="C999" t="s">
        <v>122</v>
      </c>
      <c r="E999">
        <f ca="1">INDIRECT("'Sheet1'!B136")</f>
        <v>0</v>
      </c>
      <c r="F999" t="b">
        <f t="shared" ca="1" si="94"/>
        <v>1</v>
      </c>
    </row>
    <row r="1000" spans="1:6" x14ac:dyDescent="0.25">
      <c r="A1000" t="str">
        <f>"136"&amp;LOWER(SUBSTITUTE(ADDRESS(136, ROWS($A$1:A3), 4), "136", ""))</f>
        <v>136c</v>
      </c>
      <c r="B1000" t="s">
        <v>1481</v>
      </c>
      <c r="C1000" t="s">
        <v>123</v>
      </c>
      <c r="D1000">
        <v>1.78</v>
      </c>
      <c r="E1000">
        <f ca="1">INDIRECT("'Sheet1'!C136")</f>
        <v>0</v>
      </c>
      <c r="F1000" t="b">
        <f t="shared" ca="1" si="94"/>
        <v>0</v>
      </c>
    </row>
    <row r="1001" spans="1:6" x14ac:dyDescent="0.25">
      <c r="A1001" t="str">
        <f>"136"&amp;LOWER(SUBSTITUTE(ADDRESS(136, ROWS($A$1:A4), 4), "136", ""))</f>
        <v>136d</v>
      </c>
      <c r="B1001" t="s">
        <v>1483</v>
      </c>
      <c r="C1001" t="s">
        <v>124</v>
      </c>
      <c r="D1001" t="s">
        <v>293</v>
      </c>
      <c r="E1001">
        <f ca="1">INDIRECT("'Sheet1'!D136")</f>
        <v>0</v>
      </c>
      <c r="F1001" t="b">
        <f t="shared" ca="1" si="94"/>
        <v>0</v>
      </c>
    </row>
    <row r="1002" spans="1:6" x14ac:dyDescent="0.25">
      <c r="A1002" t="str">
        <f>"136"&amp;LOWER(SUBSTITUTE(ADDRESS(136, ROWS($A$1:A5), 4), "136", ""))</f>
        <v>136e</v>
      </c>
      <c r="B1002" t="s">
        <v>291</v>
      </c>
      <c r="C1002" t="s">
        <v>125</v>
      </c>
      <c r="D1002">
        <v>101</v>
      </c>
      <c r="E1002">
        <f ca="1">INDIRECT("'Sheet1'!E136")</f>
        <v>0</v>
      </c>
      <c r="F1002" t="b">
        <f t="shared" ca="1" si="94"/>
        <v>0</v>
      </c>
    </row>
    <row r="1003" spans="1:6" x14ac:dyDescent="0.25">
      <c r="A1003" t="str">
        <f>"136"&amp;LOWER(SUBSTITUTE(ADDRESS(136, ROWS($A$1:A6), 4), "136", ""))</f>
        <v>136f</v>
      </c>
      <c r="B1003" t="s">
        <v>305</v>
      </c>
      <c r="C1003" t="s">
        <v>126</v>
      </c>
      <c r="D1003" s="5">
        <v>45088</v>
      </c>
      <c r="E1003" s="5">
        <f ca="1">INDIRECT("'Sheet1'!F136")</f>
        <v>0</v>
      </c>
      <c r="F1003" t="b">
        <f t="shared" ca="1" si="94"/>
        <v>0</v>
      </c>
    </row>
    <row r="1004" spans="1:6" x14ac:dyDescent="0.25">
      <c r="A1004" t="str">
        <f>"136"&amp;LOWER(SUBSTITUTE(ADDRESS(136, ROWS($A$1:A7), 4), "136", ""))</f>
        <v>136g</v>
      </c>
      <c r="B1004" t="s">
        <v>290</v>
      </c>
      <c r="C1004" t="s">
        <v>127</v>
      </c>
      <c r="D1004">
        <v>61</v>
      </c>
      <c r="E1004">
        <f ca="1">INDIRECT("'Sheet1'!G136")</f>
        <v>0</v>
      </c>
      <c r="F1004" t="b">
        <f t="shared" ca="1" si="94"/>
        <v>0</v>
      </c>
    </row>
    <row r="1005" spans="1:6" x14ac:dyDescent="0.25">
      <c r="A1005" t="str">
        <f>"136"&amp;LOWER(SUBSTITUTE(ADDRESS(136, ROWS($A$1:A8), 4), "136", ""))</f>
        <v>136h</v>
      </c>
      <c r="B1005" t="s">
        <v>202</v>
      </c>
      <c r="C1005" t="s">
        <v>112</v>
      </c>
      <c r="D1005" t="s">
        <v>114</v>
      </c>
      <c r="E1005">
        <f ca="1">INDIRECT("'Sheet1'!H136")</f>
        <v>0</v>
      </c>
      <c r="F1005" t="b">
        <f t="shared" ca="1" si="94"/>
        <v>0</v>
      </c>
    </row>
    <row r="1006" spans="1:6" x14ac:dyDescent="0.25">
      <c r="A1006" t="str">
        <f>"136"&amp;LOWER(SUBSTITUTE(ADDRESS(136, ROWS($A$1:A9), 4), "136", ""))</f>
        <v>136i</v>
      </c>
      <c r="B1006" t="s">
        <v>410</v>
      </c>
      <c r="C1006" t="s">
        <v>128</v>
      </c>
      <c r="D1006">
        <v>45</v>
      </c>
      <c r="E1006">
        <f ca="1">INDIRECT("'Sheet1'!I136")</f>
        <v>0</v>
      </c>
      <c r="F1006" t="b">
        <f t="shared" ca="1" si="94"/>
        <v>0</v>
      </c>
    </row>
    <row r="1007" spans="1:6" x14ac:dyDescent="0.25">
      <c r="A1007" t="str">
        <f>"136"&amp;LOWER(SUBSTITUTE(ADDRESS(136, ROWS($A$1:A10), 4), "136", ""))</f>
        <v>136j</v>
      </c>
      <c r="B1007" t="s">
        <v>411</v>
      </c>
      <c r="C1007" t="s">
        <v>129</v>
      </c>
      <c r="D1007" s="5">
        <v>44814</v>
      </c>
      <c r="E1007" s="5">
        <f ca="1">INDIRECT("'Sheet1'!J136")</f>
        <v>0</v>
      </c>
      <c r="F1007" t="b">
        <f t="shared" ca="1" si="94"/>
        <v>0</v>
      </c>
    </row>
    <row r="1008" spans="1:6" x14ac:dyDescent="0.25">
      <c r="A1008" t="str">
        <f>"136"&amp;LOWER(SUBSTITUTE(ADDRESS(136, ROWS($A$1:A11), 4), "136", ""))</f>
        <v>136k</v>
      </c>
      <c r="B1008" t="s">
        <v>415</v>
      </c>
      <c r="C1008" t="s">
        <v>130</v>
      </c>
      <c r="D1008">
        <v>44</v>
      </c>
      <c r="E1008">
        <f ca="1">INDIRECT("'Sheet1'!K136")</f>
        <v>0</v>
      </c>
      <c r="F1008" t="b">
        <f t="shared" ca="1" si="94"/>
        <v>0</v>
      </c>
    </row>
    <row r="1009" spans="1:6" x14ac:dyDescent="0.25">
      <c r="A1009" t="str">
        <f>"136"&amp;LOWER(SUBSTITUTE(ADDRESS(136, ROWS($A$1:A12), 4), "136", ""))</f>
        <v>136l</v>
      </c>
      <c r="B1009" t="s">
        <v>416</v>
      </c>
      <c r="C1009" t="s">
        <v>131</v>
      </c>
      <c r="D1009" s="5">
        <v>44632</v>
      </c>
      <c r="E1009" s="5">
        <f ca="1">INDIRECT("'Sheet1'!L136")</f>
        <v>0</v>
      </c>
      <c r="F1009" t="b">
        <f t="shared" ca="1" si="94"/>
        <v>0</v>
      </c>
    </row>
    <row r="1010" spans="1:6" x14ac:dyDescent="0.25">
      <c r="A1010" t="str">
        <f>"136"&amp;LOWER(SUBSTITUTE(ADDRESS(136, ROWS($A$1:A13), 4), "136", ""))</f>
        <v>136m</v>
      </c>
      <c r="B1010" t="s">
        <v>417</v>
      </c>
      <c r="C1010" t="s">
        <v>132</v>
      </c>
      <c r="D1010">
        <v>46</v>
      </c>
      <c r="E1010">
        <f ca="1">INDIRECT("'Sheet1'!M136")</f>
        <v>0</v>
      </c>
      <c r="F1010" t="b">
        <f t="shared" ca="1" si="94"/>
        <v>0</v>
      </c>
    </row>
    <row r="1011" spans="1:6" x14ac:dyDescent="0.25">
      <c r="A1011" t="str">
        <f>"136"&amp;LOWER(SUBSTITUTE(ADDRESS(136, ROWS($A$1:A14), 4), "136", ""))</f>
        <v>136n</v>
      </c>
      <c r="B1011" t="s">
        <v>418</v>
      </c>
      <c r="C1011" t="s">
        <v>133</v>
      </c>
      <c r="D1011" s="5">
        <v>44905</v>
      </c>
      <c r="E1011" s="5">
        <f ca="1">INDIRECT("'Sheet1'!N136")</f>
        <v>0</v>
      </c>
      <c r="F1011" t="b">
        <f t="shared" ca="1" si="94"/>
        <v>0</v>
      </c>
    </row>
    <row r="1012" spans="1:6" x14ac:dyDescent="0.25">
      <c r="A1012" t="str">
        <f>"136"&amp;LOWER(SUBSTITUTE(ADDRESS(136, ROWS($A$1:A15), 4), "136", ""))</f>
        <v>136o</v>
      </c>
      <c r="B1012" t="s">
        <v>419</v>
      </c>
      <c r="C1012" t="s">
        <v>134</v>
      </c>
      <c r="D1012">
        <v>47</v>
      </c>
      <c r="E1012">
        <f ca="1">INDIRECT("'Sheet1'!O136")</f>
        <v>0</v>
      </c>
      <c r="F1012" t="b">
        <f t="shared" ca="1" si="94"/>
        <v>0</v>
      </c>
    </row>
    <row r="1013" spans="1:6" x14ac:dyDescent="0.25">
      <c r="A1013" t="str">
        <f>"136"&amp;LOWER(SUBSTITUTE(ADDRESS(136, ROWS($A$1:A16), 4), "136", ""))</f>
        <v>136p</v>
      </c>
      <c r="B1013" t="s">
        <v>420</v>
      </c>
      <c r="C1013" t="s">
        <v>135</v>
      </c>
      <c r="D1013" s="5">
        <v>44996</v>
      </c>
      <c r="E1013" s="5">
        <f ca="1">INDIRECT("'Sheet1'!P136")</f>
        <v>0</v>
      </c>
      <c r="F1013" t="b">
        <f t="shared" ca="1" si="94"/>
        <v>0</v>
      </c>
    </row>
    <row r="1014" spans="1:6" x14ac:dyDescent="0.25">
      <c r="A1014" t="str">
        <f>"136"&amp;LOWER(SUBSTITUTE(ADDRESS(136, ROWS($A$1:A17), 4), "136", ""))</f>
        <v>136q</v>
      </c>
      <c r="B1014" t="s">
        <v>421</v>
      </c>
      <c r="C1014" t="s">
        <v>136</v>
      </c>
      <c r="D1014">
        <v>43</v>
      </c>
      <c r="E1014">
        <f ca="1">INDIRECT("'Sheet1'!Q136")</f>
        <v>0</v>
      </c>
      <c r="F1014" t="b">
        <f t="shared" ca="1" si="94"/>
        <v>0</v>
      </c>
    </row>
    <row r="1015" spans="1:6" x14ac:dyDescent="0.25">
      <c r="A1015" t="str">
        <f>"136"&amp;LOWER(SUBSTITUTE(ADDRESS(136, ROWS($A$1:A18), 4), "136", ""))</f>
        <v>136r</v>
      </c>
      <c r="B1015" t="s">
        <v>422</v>
      </c>
      <c r="C1015" t="s">
        <v>137</v>
      </c>
      <c r="D1015" s="5">
        <v>44541</v>
      </c>
      <c r="E1015" s="5">
        <f ca="1">INDIRECT("'Sheet1'!R136")</f>
        <v>0</v>
      </c>
      <c r="F1015" t="b">
        <f t="shared" ca="1" si="94"/>
        <v>0</v>
      </c>
    </row>
    <row r="1016" spans="1:6" x14ac:dyDescent="0.25">
      <c r="A1016" t="str">
        <f>"136"&amp;LOWER(SUBSTITUTE(ADDRESS(136, ROWS($A$1:A19), 4), "136", ""))</f>
        <v>136s</v>
      </c>
      <c r="B1016" t="s">
        <v>631</v>
      </c>
      <c r="C1016" t="s">
        <v>138</v>
      </c>
      <c r="D1016">
        <v>100</v>
      </c>
      <c r="E1016">
        <f ca="1">INDIRECT("'Sheet1'!S136")</f>
        <v>0</v>
      </c>
      <c r="F1016" t="b">
        <f t="shared" ca="1" si="94"/>
        <v>0</v>
      </c>
    </row>
    <row r="1017" spans="1:6" x14ac:dyDescent="0.25">
      <c r="A1017" t="str">
        <f>"136"&amp;LOWER(SUBSTITUTE(ADDRESS(136, ROWS($A$1:A20), 4), "136", ""))</f>
        <v>136t</v>
      </c>
      <c r="B1017" t="s">
        <v>1584</v>
      </c>
      <c r="C1017" t="s">
        <v>139</v>
      </c>
      <c r="D1017" t="s">
        <v>294</v>
      </c>
      <c r="E1017">
        <f ca="1">INDIRECT("'Sheet1'!T136")</f>
        <v>0</v>
      </c>
      <c r="F1017" t="b">
        <f t="shared" ca="1" si="94"/>
        <v>0</v>
      </c>
    </row>
    <row r="1018" spans="1:6" x14ac:dyDescent="0.25">
      <c r="A1018" t="str">
        <f>"136"&amp;LOWER(SUBSTITUTE(ADDRESS(136, ROWS($A$1:A21), 4), "136", ""))</f>
        <v>136u</v>
      </c>
      <c r="B1018" t="s">
        <v>632</v>
      </c>
      <c r="C1018" t="s">
        <v>140</v>
      </c>
      <c r="D1018" s="5">
        <v>45088</v>
      </c>
      <c r="E1018" s="5">
        <f ca="1">INDIRECT("'Sheet1'!U136")</f>
        <v>0</v>
      </c>
      <c r="F1018" t="b">
        <f t="shared" ca="1" si="94"/>
        <v>0</v>
      </c>
    </row>
    <row r="1019" spans="1:6" x14ac:dyDescent="0.25">
      <c r="A1019" t="str">
        <f>"136"&amp;LOWER(SUBSTITUTE(ADDRESS(136, ROWS($A$1:A22), 4), "136", ""))</f>
        <v>136v</v>
      </c>
      <c r="B1019" t="s">
        <v>633</v>
      </c>
      <c r="C1019" t="s">
        <v>141</v>
      </c>
      <c r="D1019">
        <v>101</v>
      </c>
      <c r="E1019">
        <f ca="1">INDIRECT("'Sheet1'!V136")</f>
        <v>0</v>
      </c>
      <c r="F1019" t="b">
        <f t="shared" ca="1" si="94"/>
        <v>0</v>
      </c>
    </row>
    <row r="1020" spans="1:6" x14ac:dyDescent="0.25">
      <c r="A1020" t="str">
        <f>"136"&amp;LOWER(SUBSTITUTE(ADDRESS(136, ROWS($A$1:A23), 4), "136", ""))</f>
        <v>136w</v>
      </c>
      <c r="B1020" t="s">
        <v>1585</v>
      </c>
      <c r="C1020" t="s">
        <v>142</v>
      </c>
      <c r="D1020" t="s">
        <v>294</v>
      </c>
      <c r="E1020">
        <f ca="1">INDIRECT("'Sheet1'!W136")</f>
        <v>0</v>
      </c>
      <c r="F1020" t="b">
        <f t="shared" ca="1" si="94"/>
        <v>0</v>
      </c>
    </row>
    <row r="1021" spans="1:6" x14ac:dyDescent="0.25">
      <c r="A1021" t="str">
        <f>"136"&amp;LOWER(SUBSTITUTE(ADDRESS(136, ROWS($A$1:A24), 4), "136", ""))</f>
        <v>136x</v>
      </c>
      <c r="B1021" t="s">
        <v>634</v>
      </c>
      <c r="C1021" t="s">
        <v>143</v>
      </c>
      <c r="D1021" s="5">
        <v>45087</v>
      </c>
      <c r="E1021" s="5">
        <f ca="1">INDIRECT("'Sheet1'!X136")</f>
        <v>0</v>
      </c>
      <c r="F1021" t="b">
        <f t="shared" ca="1" si="94"/>
        <v>0</v>
      </c>
    </row>
    <row r="1022" spans="1:6" x14ac:dyDescent="0.25">
      <c r="A1022" t="str">
        <f>"136"&amp;LOWER(SUBSTITUTE(ADDRESS(136, ROWS($A$1:A25), 4), "136", ""))</f>
        <v>136y</v>
      </c>
      <c r="B1022" t="s">
        <v>635</v>
      </c>
      <c r="C1022" t="s">
        <v>144</v>
      </c>
      <c r="D1022">
        <v>102</v>
      </c>
      <c r="E1022">
        <f ca="1">INDIRECT("'Sheet1'!Y136")</f>
        <v>0</v>
      </c>
      <c r="F1022" t="b">
        <f t="shared" ca="1" si="94"/>
        <v>0</v>
      </c>
    </row>
    <row r="1023" spans="1:6" x14ac:dyDescent="0.25">
      <c r="A1023" t="str">
        <f>"136"&amp;LOWER(SUBSTITUTE(ADDRESS(136, ROWS($A$1:A26), 4), "136", ""))</f>
        <v>136z</v>
      </c>
      <c r="B1023" t="s">
        <v>1586</v>
      </c>
      <c r="C1023" t="s">
        <v>145</v>
      </c>
      <c r="D1023" t="s">
        <v>294</v>
      </c>
      <c r="E1023">
        <f ca="1">INDIRECT("'Sheet1'!Z136")</f>
        <v>0</v>
      </c>
      <c r="F1023" t="b">
        <f t="shared" ca="1" si="94"/>
        <v>0</v>
      </c>
    </row>
    <row r="1024" spans="1:6" x14ac:dyDescent="0.25">
      <c r="A1024" t="str">
        <f>"136"&amp;LOWER(SUBSTITUTE(ADDRESS(136, ROWS($A$1:A27), 4), "136", ""))</f>
        <v>136aa</v>
      </c>
      <c r="B1024" t="s">
        <v>636</v>
      </c>
      <c r="C1024" t="s">
        <v>146</v>
      </c>
      <c r="D1024" s="5">
        <v>44814</v>
      </c>
      <c r="E1024" s="5">
        <f ca="1">INDIRECT("'Sheet1'!AA136")</f>
        <v>0</v>
      </c>
      <c r="F1024" t="b">
        <f t="shared" ca="1" si="94"/>
        <v>0</v>
      </c>
    </row>
    <row r="1025" spans="1:6" x14ac:dyDescent="0.25">
      <c r="A1025" t="str">
        <f>"136"&amp;LOWER(SUBSTITUTE(ADDRESS(136, ROWS($A$1:A28), 4), "136", ""))</f>
        <v>136ab</v>
      </c>
      <c r="B1025" t="s">
        <v>637</v>
      </c>
      <c r="C1025" t="s">
        <v>147</v>
      </c>
      <c r="D1025">
        <v>103</v>
      </c>
      <c r="E1025">
        <f ca="1">INDIRECT("'Sheet1'!AB136")</f>
        <v>0</v>
      </c>
      <c r="F1025" t="b">
        <f t="shared" ca="1" si="94"/>
        <v>0</v>
      </c>
    </row>
    <row r="1026" spans="1:6" x14ac:dyDescent="0.25">
      <c r="A1026" t="str">
        <f>"136"&amp;LOWER(SUBSTITUTE(ADDRESS(136, ROWS($A$1:A29), 4), "136", ""))</f>
        <v>136ac</v>
      </c>
      <c r="B1026" t="s">
        <v>1587</v>
      </c>
      <c r="C1026" t="s">
        <v>148</v>
      </c>
      <c r="D1026" t="s">
        <v>294</v>
      </c>
      <c r="E1026">
        <f ca="1">INDIRECT("'Sheet1'!AC136")</f>
        <v>0</v>
      </c>
      <c r="F1026" t="b">
        <f t="shared" ca="1" si="94"/>
        <v>0</v>
      </c>
    </row>
    <row r="1027" spans="1:6" x14ac:dyDescent="0.25">
      <c r="A1027" t="str">
        <f>"136"&amp;LOWER(SUBSTITUTE(ADDRESS(136, ROWS($A$1:A30), 4), "136", ""))</f>
        <v>136ad</v>
      </c>
      <c r="B1027" t="s">
        <v>638</v>
      </c>
      <c r="C1027" t="s">
        <v>149</v>
      </c>
      <c r="D1027" s="5">
        <v>44723</v>
      </c>
      <c r="E1027" s="5">
        <f ca="1">INDIRECT("'Sheet1'!AD136")</f>
        <v>0</v>
      </c>
      <c r="F1027" t="b">
        <f t="shared" ca="1" si="94"/>
        <v>0</v>
      </c>
    </row>
    <row r="1028" spans="1:6" x14ac:dyDescent="0.25">
      <c r="A1028" t="str">
        <f>"136"&amp;LOWER(SUBSTITUTE(ADDRESS(136, ROWS($A$1:A31), 4), "136", ""))</f>
        <v>136ae</v>
      </c>
      <c r="B1028" t="s">
        <v>639</v>
      </c>
      <c r="C1028" t="s">
        <v>150</v>
      </c>
      <c r="D1028">
        <v>104</v>
      </c>
      <c r="E1028">
        <f ca="1">INDIRECT("'Sheet1'!AE136")</f>
        <v>0</v>
      </c>
      <c r="F1028" t="b">
        <f t="shared" ca="1" si="94"/>
        <v>0</v>
      </c>
    </row>
    <row r="1029" spans="1:6" x14ac:dyDescent="0.25">
      <c r="A1029" t="str">
        <f>"136"&amp;LOWER(SUBSTITUTE(ADDRESS(136, ROWS($A$1:A32), 4), "136", ""))</f>
        <v>136af</v>
      </c>
      <c r="B1029" t="s">
        <v>1588</v>
      </c>
      <c r="C1029" t="s">
        <v>151</v>
      </c>
      <c r="D1029" t="s">
        <v>294</v>
      </c>
      <c r="E1029">
        <f ca="1">INDIRECT("'Sheet1'!AF136")</f>
        <v>0</v>
      </c>
      <c r="F1029" t="b">
        <f t="shared" ca="1" si="94"/>
        <v>0</v>
      </c>
    </row>
    <row r="1030" spans="1:6" x14ac:dyDescent="0.25">
      <c r="A1030" t="str">
        <f>"136"&amp;LOWER(SUBSTITUTE(ADDRESS(136, ROWS($A$1:A33), 4), "136", ""))</f>
        <v>136ag</v>
      </c>
      <c r="B1030" t="s">
        <v>640</v>
      </c>
      <c r="C1030" t="s">
        <v>152</v>
      </c>
      <c r="D1030" s="5">
        <v>44632</v>
      </c>
      <c r="E1030" s="5">
        <f ca="1">INDIRECT("'Sheet1'!AG136")</f>
        <v>0</v>
      </c>
      <c r="F1030" t="b">
        <f t="shared" ca="1" si="94"/>
        <v>0</v>
      </c>
    </row>
    <row r="1031" spans="1:6" x14ac:dyDescent="0.25">
      <c r="A1031" t="str">
        <f>"136"&amp;LOWER(SUBSTITUTE(ADDRESS(136, ROWS($A$1:A34), 4), "136", ""))</f>
        <v>136ah</v>
      </c>
      <c r="B1031" t="s">
        <v>641</v>
      </c>
      <c r="C1031" t="s">
        <v>153</v>
      </c>
      <c r="D1031">
        <v>105</v>
      </c>
      <c r="E1031">
        <f ca="1">INDIRECT("'Sheet1'!AH136")</f>
        <v>0</v>
      </c>
      <c r="F1031" t="b">
        <f t="shared" ca="1" si="94"/>
        <v>0</v>
      </c>
    </row>
    <row r="1032" spans="1:6" x14ac:dyDescent="0.25">
      <c r="A1032" t="str">
        <f>"136"&amp;LOWER(SUBSTITUTE(ADDRESS(136, ROWS($A$1:A35), 4), "136", ""))</f>
        <v>136ai</v>
      </c>
      <c r="B1032" t="s">
        <v>1589</v>
      </c>
      <c r="C1032" t="s">
        <v>154</v>
      </c>
      <c r="D1032" t="s">
        <v>294</v>
      </c>
      <c r="E1032">
        <f ca="1">INDIRECT("'Sheet1'!AI136")</f>
        <v>0</v>
      </c>
      <c r="F1032" t="b">
        <f t="shared" ca="1" si="94"/>
        <v>0</v>
      </c>
    </row>
    <row r="1033" spans="1:6" x14ac:dyDescent="0.25">
      <c r="A1033" t="str">
        <f>"136"&amp;LOWER(SUBSTITUTE(ADDRESS(136, ROWS($A$1:A36), 4), "136", ""))</f>
        <v>136aj</v>
      </c>
      <c r="B1033" t="s">
        <v>642</v>
      </c>
      <c r="C1033" t="s">
        <v>155</v>
      </c>
      <c r="D1033" s="5">
        <v>44996</v>
      </c>
      <c r="E1033" s="5">
        <f ca="1">INDIRECT("'Sheet1'!AJ136")</f>
        <v>0</v>
      </c>
      <c r="F1033" t="b">
        <f t="shared" ca="1" si="94"/>
        <v>0</v>
      </c>
    </row>
    <row r="1034" spans="1:6" x14ac:dyDescent="0.25">
      <c r="A1034" t="str">
        <f>"136"&amp;LOWER(SUBSTITUTE(ADDRESS(136, ROWS($A$1:A37), 4), "136", ""))</f>
        <v>136ak</v>
      </c>
      <c r="B1034" t="s">
        <v>643</v>
      </c>
      <c r="C1034" t="s">
        <v>156</v>
      </c>
      <c r="D1034">
        <v>106</v>
      </c>
      <c r="E1034">
        <f ca="1">INDIRECT("'Sheet1'!AK136")</f>
        <v>0</v>
      </c>
      <c r="F1034" t="b">
        <f t="shared" ca="1" si="94"/>
        <v>0</v>
      </c>
    </row>
    <row r="1035" spans="1:6" x14ac:dyDescent="0.25">
      <c r="A1035" t="str">
        <f>"136"&amp;LOWER(SUBSTITUTE(ADDRESS(136, ROWS($A$1:A38), 4), "136", ""))</f>
        <v>136al</v>
      </c>
      <c r="B1035" t="s">
        <v>1590</v>
      </c>
      <c r="C1035" t="s">
        <v>157</v>
      </c>
      <c r="D1035" t="s">
        <v>294</v>
      </c>
      <c r="E1035">
        <f ca="1">INDIRECT("'Sheet1'!AL136")</f>
        <v>0</v>
      </c>
      <c r="F1035" t="b">
        <f t="shared" ca="1" si="94"/>
        <v>0</v>
      </c>
    </row>
    <row r="1036" spans="1:6" x14ac:dyDescent="0.25">
      <c r="A1036" t="str">
        <f>"136"&amp;LOWER(SUBSTITUTE(ADDRESS(136, ROWS($A$1:A39), 4), "136", ""))</f>
        <v>136am</v>
      </c>
      <c r="B1036" t="s">
        <v>644</v>
      </c>
      <c r="C1036" t="s">
        <v>158</v>
      </c>
      <c r="D1036" s="5">
        <v>44541</v>
      </c>
      <c r="E1036" s="5">
        <f ca="1">INDIRECT("'Sheet1'!AM136")</f>
        <v>0</v>
      </c>
      <c r="F1036" t="b">
        <f t="shared" ca="1" si="94"/>
        <v>0</v>
      </c>
    </row>
    <row r="1037" spans="1:6" x14ac:dyDescent="0.25">
      <c r="A1037" t="str">
        <f>"136"&amp;LOWER(SUBSTITUTE(ADDRESS(136, ROWS($A$1:A40), 4), "136", ""))</f>
        <v>136an</v>
      </c>
      <c r="B1037" t="s">
        <v>887</v>
      </c>
      <c r="C1037" t="s">
        <v>159</v>
      </c>
      <c r="D1037">
        <v>20</v>
      </c>
      <c r="E1037">
        <f ca="1">INDIRECT("'Sheet1'!AN136")</f>
        <v>0</v>
      </c>
      <c r="F1037" t="b">
        <f t="shared" ca="1" si="94"/>
        <v>0</v>
      </c>
    </row>
    <row r="1038" spans="1:6" x14ac:dyDescent="0.25">
      <c r="A1038" t="str">
        <f>"136"&amp;LOWER(SUBSTITUTE(ADDRESS(136, ROWS($A$1:A41), 4), "136", ""))</f>
        <v>136ao</v>
      </c>
      <c r="B1038" t="s">
        <v>888</v>
      </c>
      <c r="C1038" t="s">
        <v>160</v>
      </c>
      <c r="D1038" s="5">
        <v>45088</v>
      </c>
      <c r="E1038" s="5">
        <f ca="1">INDIRECT("'Sheet1'!AO136")</f>
        <v>0</v>
      </c>
      <c r="F1038" t="b">
        <f t="shared" ca="1" si="94"/>
        <v>0</v>
      </c>
    </row>
    <row r="1039" spans="1:6" x14ac:dyDescent="0.25">
      <c r="A1039" t="str">
        <f>"136"&amp;LOWER(SUBSTITUTE(ADDRESS(136, ROWS($A$1:A42), 4), "136", ""))</f>
        <v>136ap</v>
      </c>
      <c r="B1039" t="s">
        <v>889</v>
      </c>
      <c r="C1039" t="s">
        <v>161</v>
      </c>
      <c r="D1039">
        <v>21</v>
      </c>
      <c r="E1039">
        <f ca="1">INDIRECT("'Sheet1'!AP136")</f>
        <v>0</v>
      </c>
      <c r="F1039" t="b">
        <f t="shared" ca="1" si="94"/>
        <v>0</v>
      </c>
    </row>
    <row r="1040" spans="1:6" x14ac:dyDescent="0.25">
      <c r="A1040" t="str">
        <f>"136"&amp;LOWER(SUBSTITUTE(ADDRESS(136, ROWS($A$1:A43), 4), "136", ""))</f>
        <v>136aq</v>
      </c>
      <c r="B1040" t="s">
        <v>890</v>
      </c>
      <c r="C1040" t="s">
        <v>162</v>
      </c>
      <c r="D1040" s="5">
        <v>45087</v>
      </c>
      <c r="E1040" s="5">
        <f ca="1">INDIRECT("'Sheet1'!AQ136")</f>
        <v>0</v>
      </c>
      <c r="F1040" t="b">
        <f t="shared" ca="1" si="94"/>
        <v>0</v>
      </c>
    </row>
    <row r="1041" spans="1:6" x14ac:dyDescent="0.25">
      <c r="A1041" t="str">
        <f>"136"&amp;LOWER(SUBSTITUTE(ADDRESS(136, ROWS($A$1:A44), 4), "136", ""))</f>
        <v>136ar</v>
      </c>
      <c r="B1041" t="s">
        <v>891</v>
      </c>
      <c r="C1041" t="s">
        <v>163</v>
      </c>
      <c r="D1041">
        <v>22</v>
      </c>
      <c r="E1041">
        <f ca="1">INDIRECT("'Sheet1'!AR136")</f>
        <v>0</v>
      </c>
      <c r="F1041" t="b">
        <f t="shared" ca="1" si="94"/>
        <v>0</v>
      </c>
    </row>
    <row r="1042" spans="1:6" x14ac:dyDescent="0.25">
      <c r="A1042" t="str">
        <f>"136"&amp;LOWER(SUBSTITUTE(ADDRESS(136, ROWS($A$1:A45), 4), "136", ""))</f>
        <v>136as</v>
      </c>
      <c r="B1042" t="s">
        <v>892</v>
      </c>
      <c r="C1042" t="s">
        <v>164</v>
      </c>
      <c r="D1042" s="5">
        <v>44814</v>
      </c>
      <c r="E1042" s="5">
        <f ca="1">INDIRECT("'Sheet1'!AS136")</f>
        <v>0</v>
      </c>
      <c r="F1042" t="b">
        <f t="shared" ca="1" si="94"/>
        <v>0</v>
      </c>
    </row>
    <row r="1043" spans="1:6" x14ac:dyDescent="0.25">
      <c r="A1043" t="str">
        <f>"136"&amp;LOWER(SUBSTITUTE(ADDRESS(136, ROWS($A$1:A46), 4), "136", ""))</f>
        <v>136at</v>
      </c>
      <c r="B1043" t="s">
        <v>893</v>
      </c>
      <c r="C1043" t="s">
        <v>165</v>
      </c>
      <c r="D1043">
        <v>23</v>
      </c>
      <c r="E1043">
        <f ca="1">INDIRECT("'Sheet1'!AT136")</f>
        <v>0</v>
      </c>
      <c r="F1043" t="b">
        <f t="shared" ca="1" si="94"/>
        <v>0</v>
      </c>
    </row>
    <row r="1044" spans="1:6" x14ac:dyDescent="0.25">
      <c r="A1044" t="str">
        <f>"136"&amp;LOWER(SUBSTITUTE(ADDRESS(136, ROWS($A$1:A47), 4), "136", ""))</f>
        <v>136au</v>
      </c>
      <c r="B1044" t="s">
        <v>894</v>
      </c>
      <c r="C1044" t="s">
        <v>166</v>
      </c>
      <c r="D1044" s="5">
        <v>44723</v>
      </c>
      <c r="E1044" s="5">
        <f ca="1">INDIRECT("'Sheet1'!AU136")</f>
        <v>0</v>
      </c>
      <c r="F1044" t="b">
        <f t="shared" ca="1" si="94"/>
        <v>0</v>
      </c>
    </row>
    <row r="1045" spans="1:6" x14ac:dyDescent="0.25">
      <c r="A1045" t="str">
        <f>"136"&amp;LOWER(SUBSTITUTE(ADDRESS(136, ROWS($A$1:A48), 4), "136", ""))</f>
        <v>136av</v>
      </c>
      <c r="B1045" t="s">
        <v>895</v>
      </c>
      <c r="C1045" t="s">
        <v>167</v>
      </c>
      <c r="D1045">
        <v>24</v>
      </c>
      <c r="E1045">
        <f ca="1">INDIRECT("'Sheet1'!AV136")</f>
        <v>0</v>
      </c>
      <c r="F1045" t="b">
        <f t="shared" ca="1" si="94"/>
        <v>0</v>
      </c>
    </row>
    <row r="1046" spans="1:6" x14ac:dyDescent="0.25">
      <c r="A1046" t="str">
        <f>"136"&amp;LOWER(SUBSTITUTE(ADDRESS(136, ROWS($A$1:A49), 4), "136", ""))</f>
        <v>136aw</v>
      </c>
      <c r="B1046" t="s">
        <v>896</v>
      </c>
      <c r="C1046" t="s">
        <v>168</v>
      </c>
      <c r="D1046" s="5">
        <v>44632</v>
      </c>
      <c r="E1046" s="5">
        <f ca="1">INDIRECT("'Sheet1'!AW136")</f>
        <v>0</v>
      </c>
      <c r="F1046" t="b">
        <f t="shared" ca="1" si="94"/>
        <v>0</v>
      </c>
    </row>
    <row r="1047" spans="1:6" x14ac:dyDescent="0.25">
      <c r="A1047" t="str">
        <f>"136"&amp;LOWER(SUBSTITUTE(ADDRESS(136, ROWS($A$1:A50), 4), "136", ""))</f>
        <v>136ax</v>
      </c>
      <c r="B1047" t="s">
        <v>897</v>
      </c>
      <c r="C1047" t="s">
        <v>169</v>
      </c>
      <c r="D1047">
        <v>25</v>
      </c>
      <c r="E1047">
        <f ca="1">INDIRECT("'Sheet1'!AX136")</f>
        <v>0</v>
      </c>
      <c r="F1047" t="b">
        <f t="shared" ca="1" si="94"/>
        <v>0</v>
      </c>
    </row>
    <row r="1048" spans="1:6" x14ac:dyDescent="0.25">
      <c r="A1048" t="str">
        <f>"136"&amp;LOWER(SUBSTITUTE(ADDRESS(136, ROWS($A$1:A51), 4), "136", ""))</f>
        <v>136ay</v>
      </c>
      <c r="B1048" t="s">
        <v>898</v>
      </c>
      <c r="C1048" t="s">
        <v>170</v>
      </c>
      <c r="D1048" s="5">
        <v>44996</v>
      </c>
      <c r="E1048" s="5">
        <f ca="1">INDIRECT("'Sheet1'!AY136")</f>
        <v>0</v>
      </c>
      <c r="F1048" t="b">
        <f t="shared" ca="1" si="94"/>
        <v>0</v>
      </c>
    </row>
    <row r="1049" spans="1:6" x14ac:dyDescent="0.25">
      <c r="A1049" t="str">
        <f>"136"&amp;LOWER(SUBSTITUTE(ADDRESS(136, ROWS($A$1:A52), 4), "136", ""))</f>
        <v>136az</v>
      </c>
      <c r="B1049" t="s">
        <v>899</v>
      </c>
      <c r="C1049" t="s">
        <v>171</v>
      </c>
      <c r="D1049">
        <v>26</v>
      </c>
      <c r="E1049">
        <f ca="1">INDIRECT("'Sheet1'!AZ136")</f>
        <v>0</v>
      </c>
      <c r="F1049" t="b">
        <f t="shared" ca="1" si="94"/>
        <v>0</v>
      </c>
    </row>
    <row r="1050" spans="1:6" x14ac:dyDescent="0.25">
      <c r="A1050" t="str">
        <f>"136"&amp;LOWER(SUBSTITUTE(ADDRESS(136, ROWS($A$1:A53), 4), "136", ""))</f>
        <v>136ba</v>
      </c>
      <c r="B1050" t="s">
        <v>900</v>
      </c>
      <c r="C1050" t="s">
        <v>172</v>
      </c>
      <c r="D1050" s="5">
        <v>44541</v>
      </c>
      <c r="E1050" s="5">
        <f ca="1">INDIRECT("'Sheet1'!BA136")</f>
        <v>0</v>
      </c>
      <c r="F1050" t="b">
        <f t="shared" ca="1" si="94"/>
        <v>0</v>
      </c>
    </row>
    <row r="1051" spans="1:6" x14ac:dyDescent="0.25">
      <c r="A1051" t="str">
        <f>"136"&amp;LOWER(SUBSTITUTE(ADDRESS(136, ROWS($A$1:A54), 4), "136", ""))</f>
        <v>136bb</v>
      </c>
      <c r="B1051" t="s">
        <v>1214</v>
      </c>
      <c r="C1051" t="s">
        <v>173</v>
      </c>
      <c r="D1051">
        <v>1.7</v>
      </c>
      <c r="E1051">
        <f ca="1">INDIRECT("'Sheet1'!BB136")</f>
        <v>0</v>
      </c>
      <c r="F1051" t="b">
        <f t="shared" ca="1" si="94"/>
        <v>0</v>
      </c>
    </row>
    <row r="1052" spans="1:6" x14ac:dyDescent="0.25">
      <c r="A1052" t="str">
        <f>"136"&amp;LOWER(SUBSTITUTE(ADDRESS(136, ROWS($A$1:A55), 4), "136", ""))</f>
        <v>136bc</v>
      </c>
      <c r="B1052" t="s">
        <v>1591</v>
      </c>
      <c r="C1052" t="s">
        <v>174</v>
      </c>
      <c r="D1052" t="s">
        <v>293</v>
      </c>
      <c r="E1052">
        <f ca="1">INDIRECT("'Sheet1'!BC136")</f>
        <v>0</v>
      </c>
      <c r="F1052" t="b">
        <f t="shared" ca="1" si="94"/>
        <v>0</v>
      </c>
    </row>
    <row r="1053" spans="1:6" x14ac:dyDescent="0.25">
      <c r="A1053" t="str">
        <f>"136"&amp;LOWER(SUBSTITUTE(ADDRESS(136, ROWS($A$1:A56), 4), "136", ""))</f>
        <v>136bd</v>
      </c>
      <c r="B1053" t="s">
        <v>1215</v>
      </c>
      <c r="C1053" t="s">
        <v>175</v>
      </c>
      <c r="D1053" s="5">
        <v>45088</v>
      </c>
      <c r="E1053" s="5">
        <f ca="1">INDIRECT("'Sheet1'!BD136")</f>
        <v>0</v>
      </c>
      <c r="F1053" t="b">
        <f t="shared" ca="1" si="94"/>
        <v>0</v>
      </c>
    </row>
    <row r="1054" spans="1:6" x14ac:dyDescent="0.25">
      <c r="A1054" t="str">
        <f>"136"&amp;LOWER(SUBSTITUTE(ADDRESS(136, ROWS($A$1:A57), 4), "136", ""))</f>
        <v>136be</v>
      </c>
      <c r="B1054" t="s">
        <v>1216</v>
      </c>
      <c r="C1054" t="s">
        <v>176</v>
      </c>
      <c r="D1054">
        <v>1.71</v>
      </c>
      <c r="E1054">
        <f ca="1">INDIRECT("'Sheet1'!BE136")</f>
        <v>0</v>
      </c>
      <c r="F1054" t="b">
        <f t="shared" ca="1" si="94"/>
        <v>0</v>
      </c>
    </row>
    <row r="1055" spans="1:6" x14ac:dyDescent="0.25">
      <c r="A1055" t="str">
        <f>"136"&amp;LOWER(SUBSTITUTE(ADDRESS(136, ROWS($A$1:A58), 4), "136", ""))</f>
        <v>136bf</v>
      </c>
      <c r="B1055" t="s">
        <v>1592</v>
      </c>
      <c r="C1055" t="s">
        <v>177</v>
      </c>
      <c r="D1055" t="s">
        <v>293</v>
      </c>
      <c r="E1055">
        <f ca="1">INDIRECT("'Sheet1'!BF136")</f>
        <v>0</v>
      </c>
      <c r="F1055" t="b">
        <f t="shared" ca="1" si="94"/>
        <v>0</v>
      </c>
    </row>
    <row r="1056" spans="1:6" x14ac:dyDescent="0.25">
      <c r="A1056" t="str">
        <f>"136"&amp;LOWER(SUBSTITUTE(ADDRESS(136, ROWS($A$1:A59), 4), "136", ""))</f>
        <v>136bg</v>
      </c>
      <c r="B1056" t="s">
        <v>1217</v>
      </c>
      <c r="C1056" t="s">
        <v>178</v>
      </c>
      <c r="D1056" s="5">
        <v>45087</v>
      </c>
      <c r="E1056" s="5">
        <f ca="1">INDIRECT("'Sheet1'!BG136")</f>
        <v>0</v>
      </c>
      <c r="F1056" t="b">
        <f t="shared" ca="1" si="94"/>
        <v>0</v>
      </c>
    </row>
    <row r="1057" spans="1:6" x14ac:dyDescent="0.25">
      <c r="A1057" t="str">
        <f>"136"&amp;LOWER(SUBSTITUTE(ADDRESS(136, ROWS($A$1:A60), 4), "136", ""))</f>
        <v>136bh</v>
      </c>
      <c r="B1057" t="s">
        <v>1218</v>
      </c>
      <c r="C1057" t="s">
        <v>179</v>
      </c>
      <c r="D1057">
        <v>1.72</v>
      </c>
      <c r="E1057">
        <f ca="1">INDIRECT("'Sheet1'!BH136")</f>
        <v>0</v>
      </c>
      <c r="F1057" t="b">
        <f t="shared" ca="1" si="94"/>
        <v>0</v>
      </c>
    </row>
    <row r="1058" spans="1:6" x14ac:dyDescent="0.25">
      <c r="A1058" t="str">
        <f>"136"&amp;LOWER(SUBSTITUTE(ADDRESS(136, ROWS($A$1:A61), 4), "136", ""))</f>
        <v>136bi</v>
      </c>
      <c r="B1058" t="s">
        <v>1593</v>
      </c>
      <c r="C1058" t="s">
        <v>180</v>
      </c>
      <c r="D1058" t="s">
        <v>293</v>
      </c>
      <c r="E1058">
        <f ca="1">INDIRECT("'Sheet1'!BI136")</f>
        <v>0</v>
      </c>
      <c r="F1058" t="b">
        <f t="shared" ca="1" si="94"/>
        <v>0</v>
      </c>
    </row>
    <row r="1059" spans="1:6" x14ac:dyDescent="0.25">
      <c r="A1059" t="str">
        <f>"136"&amp;LOWER(SUBSTITUTE(ADDRESS(136, ROWS($A$1:A62), 4), "136", ""))</f>
        <v>136bj</v>
      </c>
      <c r="B1059" t="s">
        <v>1219</v>
      </c>
      <c r="C1059" t="s">
        <v>181</v>
      </c>
      <c r="D1059" s="5">
        <v>44814</v>
      </c>
      <c r="E1059" s="5">
        <f ca="1">INDIRECT("'Sheet1'!BJ136")</f>
        <v>0</v>
      </c>
      <c r="F1059" t="b">
        <f t="shared" ca="1" si="94"/>
        <v>0</v>
      </c>
    </row>
    <row r="1060" spans="1:6" x14ac:dyDescent="0.25">
      <c r="A1060" t="str">
        <f>"136"&amp;LOWER(SUBSTITUTE(ADDRESS(136, ROWS($A$1:A63), 4), "136", ""))</f>
        <v>136bk</v>
      </c>
      <c r="B1060" t="s">
        <v>1220</v>
      </c>
      <c r="C1060" t="s">
        <v>182</v>
      </c>
      <c r="D1060">
        <v>1.73</v>
      </c>
      <c r="E1060">
        <f ca="1">INDIRECT("'Sheet1'!BK136")</f>
        <v>0</v>
      </c>
      <c r="F1060" t="b">
        <f t="shared" ca="1" si="94"/>
        <v>0</v>
      </c>
    </row>
    <row r="1061" spans="1:6" x14ac:dyDescent="0.25">
      <c r="A1061" t="str">
        <f>"136"&amp;LOWER(SUBSTITUTE(ADDRESS(136, ROWS($A$1:A64), 4), "136", ""))</f>
        <v>136bl</v>
      </c>
      <c r="B1061" t="s">
        <v>1594</v>
      </c>
      <c r="C1061" t="s">
        <v>183</v>
      </c>
      <c r="D1061" t="s">
        <v>293</v>
      </c>
      <c r="E1061">
        <f ca="1">INDIRECT("'Sheet1'!BL136")</f>
        <v>0</v>
      </c>
      <c r="F1061" t="b">
        <f t="shared" ca="1" si="94"/>
        <v>0</v>
      </c>
    </row>
    <row r="1062" spans="1:6" x14ac:dyDescent="0.25">
      <c r="A1062" t="str">
        <f>"136"&amp;LOWER(SUBSTITUTE(ADDRESS(136, ROWS($A$1:A65), 4), "136", ""))</f>
        <v>136bm</v>
      </c>
      <c r="B1062" t="s">
        <v>1221</v>
      </c>
      <c r="C1062" t="s">
        <v>184</v>
      </c>
      <c r="D1062" s="5">
        <v>44723</v>
      </c>
      <c r="E1062" s="5">
        <f ca="1">INDIRECT("'Sheet1'!BM136")</f>
        <v>0</v>
      </c>
      <c r="F1062" t="b">
        <f t="shared" ref="F1062:F1079" ca="1" si="95">E1062=D1062</f>
        <v>0</v>
      </c>
    </row>
    <row r="1063" spans="1:6" x14ac:dyDescent="0.25">
      <c r="A1063" t="str">
        <f>"136"&amp;LOWER(SUBSTITUTE(ADDRESS(136, ROWS($A$1:A66), 4), "136", ""))</f>
        <v>136bn</v>
      </c>
      <c r="B1063" t="s">
        <v>1222</v>
      </c>
      <c r="C1063" t="s">
        <v>185</v>
      </c>
      <c r="D1063">
        <v>1.74</v>
      </c>
      <c r="E1063">
        <f ca="1">INDIRECT("'Sheet1'!BN136")</f>
        <v>0</v>
      </c>
      <c r="F1063" t="b">
        <f t="shared" ca="1" si="95"/>
        <v>0</v>
      </c>
    </row>
    <row r="1064" spans="1:6" x14ac:dyDescent="0.25">
      <c r="A1064" t="str">
        <f>"136"&amp;LOWER(SUBSTITUTE(ADDRESS(136, ROWS($A$1:A67), 4), "136", ""))</f>
        <v>136bo</v>
      </c>
      <c r="B1064" t="s">
        <v>1595</v>
      </c>
      <c r="C1064" t="s">
        <v>186</v>
      </c>
      <c r="D1064" t="s">
        <v>293</v>
      </c>
      <c r="E1064">
        <f ca="1">INDIRECT("'Sheet1'!BO136")</f>
        <v>0</v>
      </c>
      <c r="F1064" t="b">
        <f t="shared" ca="1" si="95"/>
        <v>0</v>
      </c>
    </row>
    <row r="1065" spans="1:6" x14ac:dyDescent="0.25">
      <c r="A1065" t="str">
        <f>"136"&amp;LOWER(SUBSTITUTE(ADDRESS(136, ROWS($A$1:A68), 4), "136", ""))</f>
        <v>136bp</v>
      </c>
      <c r="B1065" t="s">
        <v>1223</v>
      </c>
      <c r="C1065" t="s">
        <v>187</v>
      </c>
      <c r="D1065" s="5">
        <v>44632</v>
      </c>
      <c r="E1065" s="5">
        <f ca="1">INDIRECT("'Sheet1'!BP136")</f>
        <v>0</v>
      </c>
      <c r="F1065" t="b">
        <f t="shared" ca="1" si="95"/>
        <v>0</v>
      </c>
    </row>
    <row r="1066" spans="1:6" x14ac:dyDescent="0.25">
      <c r="A1066" t="str">
        <f>"136"&amp;LOWER(SUBSTITUTE(ADDRESS(136, ROWS($A$1:A69), 4), "136", ""))</f>
        <v>136bq</v>
      </c>
      <c r="B1066" t="s">
        <v>1224</v>
      </c>
      <c r="C1066" t="s">
        <v>188</v>
      </c>
      <c r="D1066">
        <v>1.75</v>
      </c>
      <c r="E1066">
        <f ca="1">INDIRECT("'Sheet1'!BQ136")</f>
        <v>0</v>
      </c>
      <c r="F1066" t="b">
        <f t="shared" ca="1" si="95"/>
        <v>0</v>
      </c>
    </row>
    <row r="1067" spans="1:6" x14ac:dyDescent="0.25">
      <c r="A1067" t="str">
        <f>"136"&amp;LOWER(SUBSTITUTE(ADDRESS(136, ROWS($A$1:A70), 4), "136", ""))</f>
        <v>136br</v>
      </c>
      <c r="B1067" t="s">
        <v>1596</v>
      </c>
      <c r="C1067" t="s">
        <v>189</v>
      </c>
      <c r="D1067" t="s">
        <v>293</v>
      </c>
      <c r="E1067">
        <f ca="1">INDIRECT("'Sheet1'!BR136")</f>
        <v>0</v>
      </c>
      <c r="F1067" t="b">
        <f t="shared" ca="1" si="95"/>
        <v>0</v>
      </c>
    </row>
    <row r="1068" spans="1:6" x14ac:dyDescent="0.25">
      <c r="A1068" t="str">
        <f>"136"&amp;LOWER(SUBSTITUTE(ADDRESS(136, ROWS($A$1:A71), 4), "136", ""))</f>
        <v>136bs</v>
      </c>
      <c r="B1068" t="s">
        <v>1225</v>
      </c>
      <c r="C1068" t="s">
        <v>190</v>
      </c>
      <c r="D1068" s="5">
        <v>44996</v>
      </c>
      <c r="E1068" s="5">
        <f ca="1">INDIRECT("'Sheet1'!BS136")</f>
        <v>0</v>
      </c>
      <c r="F1068" t="b">
        <f t="shared" ca="1" si="95"/>
        <v>0</v>
      </c>
    </row>
    <row r="1069" spans="1:6" x14ac:dyDescent="0.25">
      <c r="A1069" t="str">
        <f>"136"&amp;LOWER(SUBSTITUTE(ADDRESS(136, ROWS($A$1:A72), 4), "136", ""))</f>
        <v>136bt</v>
      </c>
      <c r="B1069" t="s">
        <v>1226</v>
      </c>
      <c r="C1069" t="s">
        <v>191</v>
      </c>
      <c r="D1069">
        <v>1.76</v>
      </c>
      <c r="E1069">
        <f ca="1">INDIRECT("'Sheet1'!BT136")</f>
        <v>0</v>
      </c>
      <c r="F1069" t="b">
        <f t="shared" ca="1" si="95"/>
        <v>0</v>
      </c>
    </row>
    <row r="1070" spans="1:6" x14ac:dyDescent="0.25">
      <c r="A1070" t="str">
        <f>"136"&amp;LOWER(SUBSTITUTE(ADDRESS(136, ROWS($A$1:A73), 4), "136", ""))</f>
        <v>136bu</v>
      </c>
      <c r="B1070" t="s">
        <v>1597</v>
      </c>
      <c r="C1070" t="s">
        <v>192</v>
      </c>
      <c r="D1070" t="s">
        <v>293</v>
      </c>
      <c r="E1070">
        <f ca="1">INDIRECT("'Sheet1'!BU136")</f>
        <v>0</v>
      </c>
      <c r="F1070" t="b">
        <f t="shared" ca="1" si="95"/>
        <v>0</v>
      </c>
    </row>
    <row r="1071" spans="1:6" x14ac:dyDescent="0.25">
      <c r="A1071" t="str">
        <f>"136"&amp;LOWER(SUBSTITUTE(ADDRESS(136, ROWS($A$1:A74), 4), "136", ""))</f>
        <v>136bv</v>
      </c>
      <c r="B1071" t="s">
        <v>1227</v>
      </c>
      <c r="C1071" t="s">
        <v>193</v>
      </c>
      <c r="D1071" s="5">
        <v>44541</v>
      </c>
      <c r="E1071" s="5">
        <f ca="1">INDIRECT("'Sheet1'!BV136")</f>
        <v>0</v>
      </c>
      <c r="F1071" t="b">
        <f t="shared" ca="1" si="95"/>
        <v>0</v>
      </c>
    </row>
    <row r="1072" spans="1:6" x14ac:dyDescent="0.25">
      <c r="A1072" t="str">
        <f>"136"&amp;LOWER(SUBSTITUTE(ADDRESS(136, ROWS($A$1:A75), 4), "136", ""))</f>
        <v>136bw</v>
      </c>
      <c r="B1072" t="s">
        <v>1598</v>
      </c>
      <c r="C1072" t="s">
        <v>194</v>
      </c>
      <c r="D1072" s="5">
        <v>45945</v>
      </c>
      <c r="E1072" s="5">
        <f ca="1">INDIRECT("'Sheet1'!BW136")</f>
        <v>0</v>
      </c>
      <c r="F1072" t="b">
        <f t="shared" ca="1" si="95"/>
        <v>0</v>
      </c>
    </row>
    <row r="1073" spans="1:6" x14ac:dyDescent="0.25">
      <c r="A1073" t="str">
        <f>"136"&amp;LOWER(SUBSTITUTE(ADDRESS(136, ROWS($A$1:A76), 4), "136", ""))</f>
        <v>136bx</v>
      </c>
      <c r="B1073" t="s">
        <v>1568</v>
      </c>
      <c r="C1073" t="s">
        <v>195</v>
      </c>
      <c r="D1073">
        <v>64</v>
      </c>
      <c r="E1073">
        <f ca="1">INDIRECT("'Sheet1'!BX136")</f>
        <v>0</v>
      </c>
      <c r="F1073" t="b">
        <f t="shared" ca="1" si="95"/>
        <v>0</v>
      </c>
    </row>
    <row r="1074" spans="1:6" x14ac:dyDescent="0.25">
      <c r="A1074" t="str">
        <f>"136"&amp;LOWER(SUBSTITUTE(ADDRESS(136, ROWS($A$1:A77), 4), "136", ""))</f>
        <v>136by</v>
      </c>
      <c r="B1074" t="s">
        <v>1599</v>
      </c>
      <c r="C1074" t="s">
        <v>196</v>
      </c>
      <c r="D1074">
        <v>1.0900000000000001</v>
      </c>
      <c r="E1074">
        <f ca="1">INDIRECT("'Sheet1'!BY136")</f>
        <v>0</v>
      </c>
      <c r="F1074" t="b">
        <f t="shared" ca="1" si="95"/>
        <v>0</v>
      </c>
    </row>
    <row r="1075" spans="1:6" x14ac:dyDescent="0.25">
      <c r="A1075" t="str">
        <f>"136"&amp;LOWER(SUBSTITUTE(ADDRESS(136, ROWS($A$1:A78), 4), "136", ""))</f>
        <v>136bz</v>
      </c>
      <c r="B1075" t="s">
        <v>1600</v>
      </c>
      <c r="C1075" t="s">
        <v>197</v>
      </c>
      <c r="D1075" t="s">
        <v>1513</v>
      </c>
      <c r="E1075">
        <f ca="1">INDIRECT("'Sheet1'!BZ136")</f>
        <v>0</v>
      </c>
      <c r="F1075" t="b">
        <f t="shared" ca="1" si="95"/>
        <v>0</v>
      </c>
    </row>
    <row r="1076" spans="1:6" x14ac:dyDescent="0.25">
      <c r="A1076" t="str">
        <f>"136"&amp;LOWER(SUBSTITUTE(ADDRESS(136, ROWS($A$1:A79), 4), "136", ""))</f>
        <v>136ca</v>
      </c>
      <c r="B1076" t="s">
        <v>1601</v>
      </c>
      <c r="C1076" t="s">
        <v>198</v>
      </c>
      <c r="D1076" s="5">
        <v>44529</v>
      </c>
      <c r="E1076" s="5">
        <f ca="1">INDIRECT("'Sheet1'!CA136")</f>
        <v>0</v>
      </c>
      <c r="F1076" t="b">
        <f t="shared" ca="1" si="95"/>
        <v>0</v>
      </c>
    </row>
    <row r="1077" spans="1:6" x14ac:dyDescent="0.25">
      <c r="A1077" t="str">
        <f>"136"&amp;LOWER(SUBSTITUTE(ADDRESS(136, ROWS($A$1:A80), 4), "136", ""))</f>
        <v>136cb</v>
      </c>
      <c r="B1077" t="s">
        <v>1602</v>
      </c>
      <c r="C1077" t="s">
        <v>199</v>
      </c>
      <c r="D1077">
        <v>100.09</v>
      </c>
      <c r="E1077">
        <f ca="1">INDIRECT("'Sheet1'!CB136")</f>
        <v>0</v>
      </c>
      <c r="F1077" t="b">
        <f t="shared" ca="1" si="95"/>
        <v>0</v>
      </c>
    </row>
    <row r="1078" spans="1:6" x14ac:dyDescent="0.25">
      <c r="A1078" t="str">
        <f>"136"&amp;LOWER(SUBSTITUTE(ADDRESS(136, ROWS($A$1:A81), 4), "136", ""))</f>
        <v>136cc</v>
      </c>
      <c r="B1078" t="s">
        <v>1645</v>
      </c>
      <c r="C1078" t="s">
        <v>200</v>
      </c>
      <c r="D1078" t="s">
        <v>1514</v>
      </c>
      <c r="E1078">
        <f ca="1">INDIRECT("'Sheet1'!CC136")</f>
        <v>0</v>
      </c>
      <c r="F1078" t="b">
        <f t="shared" ca="1" si="95"/>
        <v>0</v>
      </c>
    </row>
    <row r="1079" spans="1:6" x14ac:dyDescent="0.25">
      <c r="A1079" t="str">
        <f>"136"&amp;LOWER(SUBSTITUTE(ADDRESS(136, ROWS($A$1:A82), 4), "136", ""))</f>
        <v>136cd</v>
      </c>
      <c r="B1079" t="s">
        <v>1646</v>
      </c>
      <c r="C1079" t="s">
        <v>201</v>
      </c>
      <c r="D1079" s="5">
        <v>44529</v>
      </c>
      <c r="E1079" s="5">
        <f ca="1">INDIRECT("'Sheet1'!CD136")</f>
        <v>0</v>
      </c>
      <c r="F1079" t="b">
        <f t="shared" ca="1" si="95"/>
        <v>0</v>
      </c>
    </row>
  </sheetData>
  <conditionalFormatting sqref="F1:F1048576">
    <cfRule type="cellIs" dxfId="7" priority="4" operator="equal">
      <formula>TRUE</formula>
    </cfRule>
  </conditionalFormatting>
  <conditionalFormatting sqref="G2:G1079">
    <cfRule type="expression" dxfId="6" priority="29">
      <formula>COUNTIF($F$2:$F$4986,FALSE)=0</formula>
    </cfRule>
    <cfRule type="expression" dxfId="5" priority="30">
      <formula>COUNTIF($F$2:$F$4986,FALSE)&gt;0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496DE79B-87EC-4309-AFB5-CA8147E45356}">
            <xm:f>NOT(ISERROR(SEARCH(FALSE,F1)))</xm:f>
            <xm:f>FALSE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F1:F1048576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F93A-21B9-4BCB-9729-086877834337}">
  <sheetPr codeName="Sheet6"/>
  <dimension ref="A1:XFD1059"/>
  <sheetViews>
    <sheetView workbookViewId="0">
      <selection activeCell="B1" sqref="B1"/>
    </sheetView>
  </sheetViews>
  <sheetFormatPr defaultRowHeight="15" x14ac:dyDescent="0.25"/>
  <cols>
    <col min="2" max="2" width="86.5703125" customWidth="1"/>
    <col min="3" max="3" width="22.28515625" customWidth="1"/>
    <col min="4" max="4" width="13.140625" customWidth="1"/>
    <col min="5" max="5" width="12.42578125" customWidth="1"/>
    <col min="6" max="6" width="10.140625" customWidth="1"/>
    <col min="7" max="7" width="27.85546875" customWidth="1"/>
  </cols>
  <sheetData>
    <row r="1" spans="1:7" x14ac:dyDescent="0.25">
      <c r="A1" s="4" t="s">
        <v>116</v>
      </c>
      <c r="B1" s="4" t="s">
        <v>288</v>
      </c>
      <c r="C1" s="4" t="s">
        <v>287</v>
      </c>
      <c r="D1" s="4" t="s">
        <v>117</v>
      </c>
      <c r="E1" s="4" t="s">
        <v>118</v>
      </c>
      <c r="F1" s="4" t="s">
        <v>1502</v>
      </c>
      <c r="G1" s="4" t="s">
        <v>2182</v>
      </c>
    </row>
    <row r="2" spans="1:7" x14ac:dyDescent="0.25">
      <c r="A2" t="str">
        <f>"1"&amp;LOWER(SUBSTITUTE(ADDRESS(1,ROW()-1,4),"1",""))</f>
        <v>1a</v>
      </c>
      <c r="B2" t="s">
        <v>2100</v>
      </c>
      <c r="C2" t="s">
        <v>120</v>
      </c>
      <c r="D2" t="s">
        <v>120</v>
      </c>
      <c r="E2" t="str">
        <f ca="1">INDIRECT("'Sheet1'!A1")</f>
        <v>Please copy and paste your data into this cell</v>
      </c>
      <c r="F2" t="b">
        <f ca="1">E2=D2</f>
        <v>0</v>
      </c>
    </row>
    <row r="3" spans="1:7" x14ac:dyDescent="0.25">
      <c r="A3" t="str">
        <f t="shared" ref="A3:A66" si="0">"1"&amp;LOWER(SUBSTITUTE(ADDRESS(1,ROW()-1,4),"1",""))</f>
        <v>1b</v>
      </c>
      <c r="B3" t="s">
        <v>2101</v>
      </c>
      <c r="C3" t="s">
        <v>122</v>
      </c>
      <c r="D3" t="s">
        <v>122</v>
      </c>
      <c r="E3">
        <f ca="1">INDIRECT("'Sheet1'!B1")</f>
        <v>0</v>
      </c>
      <c r="F3" t="b">
        <f t="shared" ref="F3:F66" ca="1" si="1">E3=D3</f>
        <v>0</v>
      </c>
    </row>
    <row r="4" spans="1:7" x14ac:dyDescent="0.25">
      <c r="A4" t="str">
        <f t="shared" si="0"/>
        <v>1c</v>
      </c>
      <c r="B4" t="s">
        <v>2102</v>
      </c>
      <c r="C4" t="s">
        <v>123</v>
      </c>
      <c r="D4" t="s">
        <v>123</v>
      </c>
      <c r="E4">
        <f ca="1">INDIRECT("'Sheet1'!C1")</f>
        <v>0</v>
      </c>
      <c r="F4" t="b">
        <f t="shared" ca="1" si="1"/>
        <v>0</v>
      </c>
    </row>
    <row r="5" spans="1:7" x14ac:dyDescent="0.25">
      <c r="A5" t="str">
        <f t="shared" si="0"/>
        <v>1d</v>
      </c>
      <c r="B5" t="s">
        <v>2103</v>
      </c>
      <c r="C5" t="s">
        <v>124</v>
      </c>
      <c r="D5" t="s">
        <v>124</v>
      </c>
      <c r="E5">
        <f ca="1">INDIRECT("'Sheet1'!D1")</f>
        <v>0</v>
      </c>
      <c r="F5" t="b">
        <f t="shared" ca="1" si="1"/>
        <v>0</v>
      </c>
    </row>
    <row r="6" spans="1:7" x14ac:dyDescent="0.25">
      <c r="A6" t="str">
        <f t="shared" si="0"/>
        <v>1e</v>
      </c>
      <c r="B6" t="s">
        <v>2104</v>
      </c>
      <c r="C6" t="s">
        <v>125</v>
      </c>
      <c r="D6" t="s">
        <v>125</v>
      </c>
      <c r="E6">
        <f ca="1">INDIRECT("'Sheet1'!E1")</f>
        <v>0</v>
      </c>
      <c r="F6" t="b">
        <f t="shared" ca="1" si="1"/>
        <v>0</v>
      </c>
    </row>
    <row r="7" spans="1:7" x14ac:dyDescent="0.25">
      <c r="A7" t="str">
        <f t="shared" si="0"/>
        <v>1f</v>
      </c>
      <c r="B7" t="s">
        <v>2105</v>
      </c>
      <c r="C7" t="s">
        <v>126</v>
      </c>
      <c r="D7" t="s">
        <v>126</v>
      </c>
      <c r="E7">
        <f ca="1">INDIRECT("'Sheet1'!F1")</f>
        <v>0</v>
      </c>
      <c r="F7" t="b">
        <f t="shared" ca="1" si="1"/>
        <v>0</v>
      </c>
    </row>
    <row r="8" spans="1:7" x14ac:dyDescent="0.25">
      <c r="A8" t="str">
        <f t="shared" si="0"/>
        <v>1g</v>
      </c>
      <c r="B8" t="s">
        <v>2106</v>
      </c>
      <c r="C8" t="s">
        <v>127</v>
      </c>
      <c r="D8" t="s">
        <v>127</v>
      </c>
      <c r="E8">
        <f ca="1">INDIRECT("'Sheet1'!G1")</f>
        <v>0</v>
      </c>
      <c r="F8" t="b">
        <f t="shared" ca="1" si="1"/>
        <v>0</v>
      </c>
    </row>
    <row r="9" spans="1:7" x14ac:dyDescent="0.25">
      <c r="A9" t="str">
        <f t="shared" si="0"/>
        <v>1h</v>
      </c>
      <c r="B9" t="s">
        <v>2107</v>
      </c>
      <c r="C9" t="s">
        <v>112</v>
      </c>
      <c r="D9" t="s">
        <v>112</v>
      </c>
      <c r="E9">
        <f ca="1">INDIRECT("'Sheet1'!H1")</f>
        <v>0</v>
      </c>
      <c r="F9" t="b">
        <f t="shared" ca="1" si="1"/>
        <v>0</v>
      </c>
    </row>
    <row r="10" spans="1:7" x14ac:dyDescent="0.25">
      <c r="A10" t="str">
        <f t="shared" si="0"/>
        <v>1i</v>
      </c>
      <c r="B10" t="s">
        <v>2108</v>
      </c>
      <c r="C10" t="s">
        <v>128</v>
      </c>
      <c r="D10" t="s">
        <v>128</v>
      </c>
      <c r="E10">
        <f ca="1">INDIRECT("'Sheet1'!I1")</f>
        <v>0</v>
      </c>
      <c r="F10" t="b">
        <f t="shared" ca="1" si="1"/>
        <v>0</v>
      </c>
    </row>
    <row r="11" spans="1:7" x14ac:dyDescent="0.25">
      <c r="A11" t="str">
        <f t="shared" si="0"/>
        <v>1j</v>
      </c>
      <c r="B11" t="s">
        <v>2109</v>
      </c>
      <c r="C11" t="s">
        <v>129</v>
      </c>
      <c r="D11" t="s">
        <v>129</v>
      </c>
      <c r="E11">
        <f ca="1">INDIRECT("'Sheet1'!J1")</f>
        <v>0</v>
      </c>
      <c r="F11" t="b">
        <f t="shared" ca="1" si="1"/>
        <v>0</v>
      </c>
    </row>
    <row r="12" spans="1:7" x14ac:dyDescent="0.25">
      <c r="A12" t="str">
        <f t="shared" si="0"/>
        <v>1k</v>
      </c>
      <c r="B12" t="s">
        <v>2110</v>
      </c>
      <c r="C12" t="s">
        <v>130</v>
      </c>
      <c r="D12" t="s">
        <v>130</v>
      </c>
      <c r="E12">
        <f ca="1">INDIRECT("'Sheet1'!K1")</f>
        <v>0</v>
      </c>
      <c r="F12" t="b">
        <f t="shared" ca="1" si="1"/>
        <v>0</v>
      </c>
    </row>
    <row r="13" spans="1:7" x14ac:dyDescent="0.25">
      <c r="A13" t="str">
        <f t="shared" si="0"/>
        <v>1l</v>
      </c>
      <c r="B13" t="s">
        <v>2111</v>
      </c>
      <c r="C13" t="s">
        <v>131</v>
      </c>
      <c r="D13" t="s">
        <v>131</v>
      </c>
      <c r="E13">
        <f ca="1">INDIRECT("'Sheet1'!L1")</f>
        <v>0</v>
      </c>
      <c r="F13" t="b">
        <f t="shared" ca="1" si="1"/>
        <v>0</v>
      </c>
    </row>
    <row r="14" spans="1:7" x14ac:dyDescent="0.25">
      <c r="A14" t="str">
        <f t="shared" si="0"/>
        <v>1m</v>
      </c>
      <c r="B14" t="s">
        <v>2112</v>
      </c>
      <c r="C14" t="s">
        <v>132</v>
      </c>
      <c r="D14" t="s">
        <v>132</v>
      </c>
      <c r="E14">
        <f ca="1">INDIRECT("'Sheet1'!M1")</f>
        <v>0</v>
      </c>
      <c r="F14" t="b">
        <f t="shared" ca="1" si="1"/>
        <v>0</v>
      </c>
    </row>
    <row r="15" spans="1:7" x14ac:dyDescent="0.25">
      <c r="A15" t="str">
        <f t="shared" si="0"/>
        <v>1n</v>
      </c>
      <c r="B15" t="s">
        <v>2113</v>
      </c>
      <c r="C15" t="s">
        <v>133</v>
      </c>
      <c r="D15" t="s">
        <v>133</v>
      </c>
      <c r="E15">
        <f ca="1">INDIRECT("'Sheet1'!N1")</f>
        <v>0</v>
      </c>
      <c r="F15" t="b">
        <f t="shared" ca="1" si="1"/>
        <v>0</v>
      </c>
    </row>
    <row r="16" spans="1:7" x14ac:dyDescent="0.25">
      <c r="A16" t="str">
        <f t="shared" si="0"/>
        <v>1o</v>
      </c>
      <c r="B16" t="s">
        <v>2114</v>
      </c>
      <c r="C16" t="s">
        <v>134</v>
      </c>
      <c r="D16" t="s">
        <v>134</v>
      </c>
      <c r="E16">
        <f ca="1">INDIRECT("'Sheet1'!O1")</f>
        <v>0</v>
      </c>
      <c r="F16" t="b">
        <f t="shared" ca="1" si="1"/>
        <v>0</v>
      </c>
    </row>
    <row r="17" spans="1:6" x14ac:dyDescent="0.25">
      <c r="A17" t="str">
        <f t="shared" si="0"/>
        <v>1p</v>
      </c>
      <c r="B17" t="s">
        <v>2115</v>
      </c>
      <c r="C17" t="s">
        <v>135</v>
      </c>
      <c r="D17" t="s">
        <v>135</v>
      </c>
      <c r="E17">
        <f ca="1">INDIRECT("'Sheet1'!P1")</f>
        <v>0</v>
      </c>
      <c r="F17" t="b">
        <f t="shared" ca="1" si="1"/>
        <v>0</v>
      </c>
    </row>
    <row r="18" spans="1:6" x14ac:dyDescent="0.25">
      <c r="A18" t="str">
        <f t="shared" si="0"/>
        <v>1q</v>
      </c>
      <c r="B18" t="s">
        <v>2116</v>
      </c>
      <c r="C18" t="s">
        <v>136</v>
      </c>
      <c r="D18" t="s">
        <v>136</v>
      </c>
      <c r="E18">
        <f ca="1">INDIRECT("'Sheet1'!Q1")</f>
        <v>0</v>
      </c>
      <c r="F18" t="b">
        <f t="shared" ca="1" si="1"/>
        <v>0</v>
      </c>
    </row>
    <row r="19" spans="1:6" x14ac:dyDescent="0.25">
      <c r="A19" t="str">
        <f t="shared" si="0"/>
        <v>1r</v>
      </c>
      <c r="B19" t="s">
        <v>2117</v>
      </c>
      <c r="C19" t="s">
        <v>137</v>
      </c>
      <c r="D19" t="s">
        <v>137</v>
      </c>
      <c r="E19">
        <f ca="1">INDIRECT("'Sheet1'!R1")</f>
        <v>0</v>
      </c>
      <c r="F19" t="b">
        <f t="shared" ca="1" si="1"/>
        <v>0</v>
      </c>
    </row>
    <row r="20" spans="1:6" x14ac:dyDescent="0.25">
      <c r="A20" t="str">
        <f t="shared" si="0"/>
        <v>1s</v>
      </c>
      <c r="B20" t="s">
        <v>2118</v>
      </c>
      <c r="C20" t="s">
        <v>138</v>
      </c>
      <c r="D20" t="s">
        <v>138</v>
      </c>
      <c r="E20">
        <f ca="1">INDIRECT("'Sheet1'!S1")</f>
        <v>0</v>
      </c>
      <c r="F20" t="b">
        <f t="shared" ca="1" si="1"/>
        <v>0</v>
      </c>
    </row>
    <row r="21" spans="1:6" x14ac:dyDescent="0.25">
      <c r="A21" t="str">
        <f t="shared" si="0"/>
        <v>1t</v>
      </c>
      <c r="B21" t="s">
        <v>2119</v>
      </c>
      <c r="C21" t="s">
        <v>139</v>
      </c>
      <c r="D21" t="s">
        <v>139</v>
      </c>
      <c r="E21">
        <f ca="1">INDIRECT("'Sheet1'!T1")</f>
        <v>0</v>
      </c>
      <c r="F21" t="b">
        <f t="shared" ca="1" si="1"/>
        <v>0</v>
      </c>
    </row>
    <row r="22" spans="1:6" x14ac:dyDescent="0.25">
      <c r="A22" t="str">
        <f t="shared" si="0"/>
        <v>1u</v>
      </c>
      <c r="B22" t="s">
        <v>2120</v>
      </c>
      <c r="C22" t="s">
        <v>140</v>
      </c>
      <c r="D22" t="s">
        <v>140</v>
      </c>
      <c r="E22">
        <f ca="1">INDIRECT("'Sheet1'!U1")</f>
        <v>0</v>
      </c>
      <c r="F22" t="b">
        <f t="shared" ca="1" si="1"/>
        <v>0</v>
      </c>
    </row>
    <row r="23" spans="1:6" x14ac:dyDescent="0.25">
      <c r="A23" t="str">
        <f t="shared" si="0"/>
        <v>1v</v>
      </c>
      <c r="B23" t="s">
        <v>2121</v>
      </c>
      <c r="C23" t="s">
        <v>141</v>
      </c>
      <c r="D23" t="s">
        <v>141</v>
      </c>
      <c r="E23">
        <f ca="1">INDIRECT("'Sheet1'!V1")</f>
        <v>0</v>
      </c>
      <c r="F23" t="b">
        <f t="shared" ca="1" si="1"/>
        <v>0</v>
      </c>
    </row>
    <row r="24" spans="1:6" x14ac:dyDescent="0.25">
      <c r="A24" t="str">
        <f t="shared" si="0"/>
        <v>1w</v>
      </c>
      <c r="B24" t="s">
        <v>2122</v>
      </c>
      <c r="C24" t="s">
        <v>142</v>
      </c>
      <c r="D24" t="s">
        <v>142</v>
      </c>
      <c r="E24">
        <f ca="1">INDIRECT("'Sheet1'!W1")</f>
        <v>0</v>
      </c>
      <c r="F24" t="b">
        <f t="shared" ca="1" si="1"/>
        <v>0</v>
      </c>
    </row>
    <row r="25" spans="1:6" x14ac:dyDescent="0.25">
      <c r="A25" t="str">
        <f t="shared" si="0"/>
        <v>1x</v>
      </c>
      <c r="B25" t="s">
        <v>2123</v>
      </c>
      <c r="C25" t="s">
        <v>143</v>
      </c>
      <c r="D25" t="s">
        <v>143</v>
      </c>
      <c r="E25">
        <f ca="1">INDIRECT("'Sheet1'!X1")</f>
        <v>0</v>
      </c>
      <c r="F25" t="b">
        <f t="shared" ca="1" si="1"/>
        <v>0</v>
      </c>
    </row>
    <row r="26" spans="1:6" x14ac:dyDescent="0.25">
      <c r="A26" t="str">
        <f t="shared" si="0"/>
        <v>1y</v>
      </c>
      <c r="B26" t="s">
        <v>2124</v>
      </c>
      <c r="C26" t="s">
        <v>144</v>
      </c>
      <c r="D26" t="s">
        <v>144</v>
      </c>
      <c r="E26">
        <f ca="1">INDIRECT("'Sheet1'!Y1")</f>
        <v>0</v>
      </c>
      <c r="F26" t="b">
        <f t="shared" ca="1" si="1"/>
        <v>0</v>
      </c>
    </row>
    <row r="27" spans="1:6" x14ac:dyDescent="0.25">
      <c r="A27" t="str">
        <f t="shared" si="0"/>
        <v>1z</v>
      </c>
      <c r="B27" t="s">
        <v>2125</v>
      </c>
      <c r="C27" t="s">
        <v>145</v>
      </c>
      <c r="D27" t="s">
        <v>145</v>
      </c>
      <c r="E27">
        <f ca="1">INDIRECT("'Sheet1'!Z1")</f>
        <v>0</v>
      </c>
      <c r="F27" t="b">
        <f t="shared" ca="1" si="1"/>
        <v>0</v>
      </c>
    </row>
    <row r="28" spans="1:6" x14ac:dyDescent="0.25">
      <c r="A28" t="str">
        <f t="shared" si="0"/>
        <v>1aa</v>
      </c>
      <c r="B28" t="s">
        <v>2126</v>
      </c>
      <c r="C28" t="s">
        <v>146</v>
      </c>
      <c r="D28" t="s">
        <v>146</v>
      </c>
      <c r="E28">
        <f ca="1">INDIRECT("'Sheet1'!AA1")</f>
        <v>0</v>
      </c>
      <c r="F28" t="b">
        <f t="shared" ca="1" si="1"/>
        <v>0</v>
      </c>
    </row>
    <row r="29" spans="1:6" x14ac:dyDescent="0.25">
      <c r="A29" t="str">
        <f t="shared" si="0"/>
        <v>1ab</v>
      </c>
      <c r="B29" t="s">
        <v>2127</v>
      </c>
      <c r="C29" t="s">
        <v>147</v>
      </c>
      <c r="D29" t="s">
        <v>147</v>
      </c>
      <c r="E29">
        <f ca="1">INDIRECT("'Sheet1'!AB1")</f>
        <v>0</v>
      </c>
      <c r="F29" t="b">
        <f t="shared" ca="1" si="1"/>
        <v>0</v>
      </c>
    </row>
    <row r="30" spans="1:6" x14ac:dyDescent="0.25">
      <c r="A30" t="str">
        <f t="shared" si="0"/>
        <v>1ac</v>
      </c>
      <c r="B30" t="s">
        <v>2128</v>
      </c>
      <c r="C30" t="s">
        <v>148</v>
      </c>
      <c r="D30" t="s">
        <v>148</v>
      </c>
      <c r="E30">
        <f ca="1">INDIRECT("'Sheet1'!AC1")</f>
        <v>0</v>
      </c>
      <c r="F30" t="b">
        <f t="shared" ca="1" si="1"/>
        <v>0</v>
      </c>
    </row>
    <row r="31" spans="1:6" x14ac:dyDescent="0.25">
      <c r="A31" t="str">
        <f t="shared" si="0"/>
        <v>1ad</v>
      </c>
      <c r="B31" t="s">
        <v>2129</v>
      </c>
      <c r="C31" t="s">
        <v>149</v>
      </c>
      <c r="D31" t="s">
        <v>149</v>
      </c>
      <c r="E31">
        <f ca="1">INDIRECT("'Sheet1'!AD1")</f>
        <v>0</v>
      </c>
      <c r="F31" t="b">
        <f t="shared" ca="1" si="1"/>
        <v>0</v>
      </c>
    </row>
    <row r="32" spans="1:6" x14ac:dyDescent="0.25">
      <c r="A32" t="str">
        <f t="shared" si="0"/>
        <v>1ae</v>
      </c>
      <c r="B32" t="s">
        <v>2130</v>
      </c>
      <c r="C32" t="s">
        <v>150</v>
      </c>
      <c r="D32" t="s">
        <v>150</v>
      </c>
      <c r="E32">
        <f ca="1">INDIRECT("'Sheet1'!AE1")</f>
        <v>0</v>
      </c>
      <c r="F32" t="b">
        <f t="shared" ca="1" si="1"/>
        <v>0</v>
      </c>
    </row>
    <row r="33" spans="1:6" x14ac:dyDescent="0.25">
      <c r="A33" t="str">
        <f t="shared" si="0"/>
        <v>1af</v>
      </c>
      <c r="B33" t="s">
        <v>2131</v>
      </c>
      <c r="C33" t="s">
        <v>151</v>
      </c>
      <c r="D33" t="s">
        <v>151</v>
      </c>
      <c r="E33">
        <f ca="1">INDIRECT("'Sheet1'!AF1")</f>
        <v>0</v>
      </c>
      <c r="F33" t="b">
        <f t="shared" ca="1" si="1"/>
        <v>0</v>
      </c>
    </row>
    <row r="34" spans="1:6" x14ac:dyDescent="0.25">
      <c r="A34" t="str">
        <f t="shared" si="0"/>
        <v>1ag</v>
      </c>
      <c r="B34" t="s">
        <v>2132</v>
      </c>
      <c r="C34" t="s">
        <v>152</v>
      </c>
      <c r="D34" t="s">
        <v>152</v>
      </c>
      <c r="E34">
        <f ca="1">INDIRECT("'Sheet1'!AG1")</f>
        <v>0</v>
      </c>
      <c r="F34" t="b">
        <f t="shared" ca="1" si="1"/>
        <v>0</v>
      </c>
    </row>
    <row r="35" spans="1:6" x14ac:dyDescent="0.25">
      <c r="A35" t="str">
        <f t="shared" si="0"/>
        <v>1ah</v>
      </c>
      <c r="B35" t="s">
        <v>2133</v>
      </c>
      <c r="C35" t="s">
        <v>153</v>
      </c>
      <c r="D35" t="s">
        <v>153</v>
      </c>
      <c r="E35">
        <f ca="1">INDIRECT("'Sheet1'!AH1")</f>
        <v>0</v>
      </c>
      <c r="F35" t="b">
        <f t="shared" ca="1" si="1"/>
        <v>0</v>
      </c>
    </row>
    <row r="36" spans="1:6" x14ac:dyDescent="0.25">
      <c r="A36" t="str">
        <f t="shared" si="0"/>
        <v>1ai</v>
      </c>
      <c r="B36" t="s">
        <v>2134</v>
      </c>
      <c r="C36" t="s">
        <v>154</v>
      </c>
      <c r="D36" t="s">
        <v>154</v>
      </c>
      <c r="E36">
        <f ca="1">INDIRECT("'Sheet1'!AI1")</f>
        <v>0</v>
      </c>
      <c r="F36" t="b">
        <f t="shared" ca="1" si="1"/>
        <v>0</v>
      </c>
    </row>
    <row r="37" spans="1:6" x14ac:dyDescent="0.25">
      <c r="A37" t="str">
        <f t="shared" si="0"/>
        <v>1aj</v>
      </c>
      <c r="B37" t="s">
        <v>2135</v>
      </c>
      <c r="C37" t="s">
        <v>155</v>
      </c>
      <c r="D37" t="s">
        <v>155</v>
      </c>
      <c r="E37">
        <f ca="1">INDIRECT("'Sheet1'!AJ1")</f>
        <v>0</v>
      </c>
      <c r="F37" t="b">
        <f t="shared" ca="1" si="1"/>
        <v>0</v>
      </c>
    </row>
    <row r="38" spans="1:6" x14ac:dyDescent="0.25">
      <c r="A38" t="str">
        <f t="shared" si="0"/>
        <v>1ak</v>
      </c>
      <c r="B38" t="s">
        <v>2136</v>
      </c>
      <c r="C38" t="s">
        <v>156</v>
      </c>
      <c r="D38" t="s">
        <v>156</v>
      </c>
      <c r="E38">
        <f ca="1">INDIRECT("'Sheet1'!AK1")</f>
        <v>0</v>
      </c>
      <c r="F38" t="b">
        <f t="shared" ca="1" si="1"/>
        <v>0</v>
      </c>
    </row>
    <row r="39" spans="1:6" x14ac:dyDescent="0.25">
      <c r="A39" t="str">
        <f t="shared" si="0"/>
        <v>1al</v>
      </c>
      <c r="B39" t="s">
        <v>2137</v>
      </c>
      <c r="C39" t="s">
        <v>157</v>
      </c>
      <c r="D39" t="s">
        <v>157</v>
      </c>
      <c r="E39">
        <f ca="1">INDIRECT("'Sheet1'!AL1")</f>
        <v>0</v>
      </c>
      <c r="F39" t="b">
        <f t="shared" ca="1" si="1"/>
        <v>0</v>
      </c>
    </row>
    <row r="40" spans="1:6" x14ac:dyDescent="0.25">
      <c r="A40" t="str">
        <f t="shared" si="0"/>
        <v>1am</v>
      </c>
      <c r="B40" t="s">
        <v>2138</v>
      </c>
      <c r="C40" t="s">
        <v>158</v>
      </c>
      <c r="D40" t="s">
        <v>158</v>
      </c>
      <c r="E40">
        <f ca="1">INDIRECT("'Sheet1'!AM1")</f>
        <v>0</v>
      </c>
      <c r="F40" t="b">
        <f t="shared" ca="1" si="1"/>
        <v>0</v>
      </c>
    </row>
    <row r="41" spans="1:6" x14ac:dyDescent="0.25">
      <c r="A41" t="str">
        <f t="shared" si="0"/>
        <v>1an</v>
      </c>
      <c r="B41" t="s">
        <v>2139</v>
      </c>
      <c r="C41" t="s">
        <v>159</v>
      </c>
      <c r="D41" t="s">
        <v>159</v>
      </c>
      <c r="E41">
        <f ca="1">INDIRECT("'Sheet1'!AN1")</f>
        <v>0</v>
      </c>
      <c r="F41" t="b">
        <f t="shared" ca="1" si="1"/>
        <v>0</v>
      </c>
    </row>
    <row r="42" spans="1:6" x14ac:dyDescent="0.25">
      <c r="A42" t="str">
        <f t="shared" si="0"/>
        <v>1ao</v>
      </c>
      <c r="B42" t="s">
        <v>2140</v>
      </c>
      <c r="C42" t="s">
        <v>160</v>
      </c>
      <c r="D42" t="s">
        <v>160</v>
      </c>
      <c r="E42">
        <f ca="1">INDIRECT("'Sheet1'!AO1")</f>
        <v>0</v>
      </c>
      <c r="F42" t="b">
        <f t="shared" ca="1" si="1"/>
        <v>0</v>
      </c>
    </row>
    <row r="43" spans="1:6" x14ac:dyDescent="0.25">
      <c r="A43" t="str">
        <f t="shared" si="0"/>
        <v>1ap</v>
      </c>
      <c r="B43" t="s">
        <v>2141</v>
      </c>
      <c r="C43" t="s">
        <v>161</v>
      </c>
      <c r="D43" t="s">
        <v>161</v>
      </c>
      <c r="E43">
        <f ca="1">INDIRECT("'Sheet1'!AP1")</f>
        <v>0</v>
      </c>
      <c r="F43" t="b">
        <f t="shared" ca="1" si="1"/>
        <v>0</v>
      </c>
    </row>
    <row r="44" spans="1:6" x14ac:dyDescent="0.25">
      <c r="A44" t="str">
        <f t="shared" si="0"/>
        <v>1aq</v>
      </c>
      <c r="B44" t="s">
        <v>2142</v>
      </c>
      <c r="C44" t="s">
        <v>162</v>
      </c>
      <c r="D44" t="s">
        <v>162</v>
      </c>
      <c r="E44">
        <f ca="1">INDIRECT("'Sheet1'!AQ1")</f>
        <v>0</v>
      </c>
      <c r="F44" t="b">
        <f t="shared" ca="1" si="1"/>
        <v>0</v>
      </c>
    </row>
    <row r="45" spans="1:6" x14ac:dyDescent="0.25">
      <c r="A45" t="str">
        <f t="shared" si="0"/>
        <v>1ar</v>
      </c>
      <c r="B45" t="s">
        <v>2143</v>
      </c>
      <c r="C45" t="s">
        <v>163</v>
      </c>
      <c r="D45" t="s">
        <v>163</v>
      </c>
      <c r="E45">
        <f ca="1">INDIRECT("'Sheet1'!AR1")</f>
        <v>0</v>
      </c>
      <c r="F45" t="b">
        <f t="shared" ca="1" si="1"/>
        <v>0</v>
      </c>
    </row>
    <row r="46" spans="1:6" x14ac:dyDescent="0.25">
      <c r="A46" t="str">
        <f t="shared" si="0"/>
        <v>1as</v>
      </c>
      <c r="B46" t="s">
        <v>2144</v>
      </c>
      <c r="C46" t="s">
        <v>164</v>
      </c>
      <c r="D46" t="s">
        <v>164</v>
      </c>
      <c r="E46">
        <f ca="1">INDIRECT("'Sheet1'!AS1")</f>
        <v>0</v>
      </c>
      <c r="F46" t="b">
        <f t="shared" ca="1" si="1"/>
        <v>0</v>
      </c>
    </row>
    <row r="47" spans="1:6" x14ac:dyDescent="0.25">
      <c r="A47" t="str">
        <f t="shared" si="0"/>
        <v>1at</v>
      </c>
      <c r="B47" t="s">
        <v>2145</v>
      </c>
      <c r="C47" t="s">
        <v>165</v>
      </c>
      <c r="D47" t="s">
        <v>165</v>
      </c>
      <c r="E47">
        <f ca="1">INDIRECT("'Sheet1'!AT1")</f>
        <v>0</v>
      </c>
      <c r="F47" t="b">
        <f t="shared" ca="1" si="1"/>
        <v>0</v>
      </c>
    </row>
    <row r="48" spans="1:6" x14ac:dyDescent="0.25">
      <c r="A48" t="str">
        <f t="shared" si="0"/>
        <v>1au</v>
      </c>
      <c r="B48" t="s">
        <v>2146</v>
      </c>
      <c r="C48" t="s">
        <v>166</v>
      </c>
      <c r="D48" t="s">
        <v>166</v>
      </c>
      <c r="E48">
        <f ca="1">INDIRECT("'Sheet1'!AU1")</f>
        <v>0</v>
      </c>
      <c r="F48" t="b">
        <f t="shared" ca="1" si="1"/>
        <v>0</v>
      </c>
    </row>
    <row r="49" spans="1:6" x14ac:dyDescent="0.25">
      <c r="A49" t="str">
        <f t="shared" si="0"/>
        <v>1av</v>
      </c>
      <c r="B49" t="s">
        <v>2147</v>
      </c>
      <c r="C49" t="s">
        <v>167</v>
      </c>
      <c r="D49" t="s">
        <v>167</v>
      </c>
      <c r="E49">
        <f ca="1">INDIRECT("'Sheet1'!AV1")</f>
        <v>0</v>
      </c>
      <c r="F49" t="b">
        <f t="shared" ca="1" si="1"/>
        <v>0</v>
      </c>
    </row>
    <row r="50" spans="1:6" x14ac:dyDescent="0.25">
      <c r="A50" t="str">
        <f t="shared" si="0"/>
        <v>1aw</v>
      </c>
      <c r="B50" t="s">
        <v>2148</v>
      </c>
      <c r="C50" t="s">
        <v>168</v>
      </c>
      <c r="D50" t="s">
        <v>168</v>
      </c>
      <c r="E50">
        <f ca="1">INDIRECT("'Sheet1'!AW1")</f>
        <v>0</v>
      </c>
      <c r="F50" t="b">
        <f t="shared" ca="1" si="1"/>
        <v>0</v>
      </c>
    </row>
    <row r="51" spans="1:6" x14ac:dyDescent="0.25">
      <c r="A51" t="str">
        <f t="shared" si="0"/>
        <v>1ax</v>
      </c>
      <c r="B51" t="s">
        <v>2149</v>
      </c>
      <c r="C51" t="s">
        <v>169</v>
      </c>
      <c r="D51" t="s">
        <v>169</v>
      </c>
      <c r="E51">
        <f ca="1">INDIRECT("'Sheet1'!AX1")</f>
        <v>0</v>
      </c>
      <c r="F51" t="b">
        <f t="shared" ca="1" si="1"/>
        <v>0</v>
      </c>
    </row>
    <row r="52" spans="1:6" x14ac:dyDescent="0.25">
      <c r="A52" t="str">
        <f t="shared" si="0"/>
        <v>1ay</v>
      </c>
      <c r="B52" t="s">
        <v>2150</v>
      </c>
      <c r="C52" t="s">
        <v>170</v>
      </c>
      <c r="D52" t="s">
        <v>170</v>
      </c>
      <c r="E52">
        <f ca="1">INDIRECT("'Sheet1'!AY1")</f>
        <v>0</v>
      </c>
      <c r="F52" t="b">
        <f t="shared" ca="1" si="1"/>
        <v>0</v>
      </c>
    </row>
    <row r="53" spans="1:6" x14ac:dyDescent="0.25">
      <c r="A53" t="str">
        <f t="shared" si="0"/>
        <v>1az</v>
      </c>
      <c r="B53" t="s">
        <v>2151</v>
      </c>
      <c r="C53" t="s">
        <v>171</v>
      </c>
      <c r="D53" t="s">
        <v>171</v>
      </c>
      <c r="E53">
        <f ca="1">INDIRECT("'Sheet1'!AZ1")</f>
        <v>0</v>
      </c>
      <c r="F53" t="b">
        <f t="shared" ca="1" si="1"/>
        <v>0</v>
      </c>
    </row>
    <row r="54" spans="1:6" x14ac:dyDescent="0.25">
      <c r="A54" t="str">
        <f t="shared" si="0"/>
        <v>1ba</v>
      </c>
      <c r="B54" t="s">
        <v>2152</v>
      </c>
      <c r="C54" t="s">
        <v>172</v>
      </c>
      <c r="D54" t="s">
        <v>172</v>
      </c>
      <c r="E54">
        <f ca="1">INDIRECT("'Sheet1'!BA1")</f>
        <v>0</v>
      </c>
      <c r="F54" t="b">
        <f t="shared" ca="1" si="1"/>
        <v>0</v>
      </c>
    </row>
    <row r="55" spans="1:6" x14ac:dyDescent="0.25">
      <c r="A55" t="str">
        <f t="shared" si="0"/>
        <v>1bb</v>
      </c>
      <c r="B55" t="s">
        <v>2153</v>
      </c>
      <c r="C55" t="s">
        <v>173</v>
      </c>
      <c r="D55" t="s">
        <v>173</v>
      </c>
      <c r="E55">
        <f ca="1">INDIRECT("'Sheet1'!BB1")</f>
        <v>0</v>
      </c>
      <c r="F55" t="b">
        <f t="shared" ca="1" si="1"/>
        <v>0</v>
      </c>
    </row>
    <row r="56" spans="1:6" x14ac:dyDescent="0.25">
      <c r="A56" t="str">
        <f t="shared" si="0"/>
        <v>1bc</v>
      </c>
      <c r="B56" t="s">
        <v>2154</v>
      </c>
      <c r="C56" t="s">
        <v>174</v>
      </c>
      <c r="D56" t="s">
        <v>174</v>
      </c>
      <c r="E56">
        <f ca="1">INDIRECT("'Sheet1'!BC1")</f>
        <v>0</v>
      </c>
      <c r="F56" t="b">
        <f t="shared" ca="1" si="1"/>
        <v>0</v>
      </c>
    </row>
    <row r="57" spans="1:6" x14ac:dyDescent="0.25">
      <c r="A57" t="str">
        <f t="shared" si="0"/>
        <v>1bd</v>
      </c>
      <c r="B57" t="s">
        <v>2155</v>
      </c>
      <c r="C57" t="s">
        <v>175</v>
      </c>
      <c r="D57" t="s">
        <v>175</v>
      </c>
      <c r="E57">
        <f ca="1">INDIRECT("'Sheet1'!BD1")</f>
        <v>0</v>
      </c>
      <c r="F57" t="b">
        <f t="shared" ca="1" si="1"/>
        <v>0</v>
      </c>
    </row>
    <row r="58" spans="1:6" x14ac:dyDescent="0.25">
      <c r="A58" t="str">
        <f t="shared" si="0"/>
        <v>1be</v>
      </c>
      <c r="B58" t="s">
        <v>2156</v>
      </c>
      <c r="C58" t="s">
        <v>176</v>
      </c>
      <c r="D58" t="s">
        <v>176</v>
      </c>
      <c r="E58">
        <f ca="1">INDIRECT("'Sheet1'!BE1")</f>
        <v>0</v>
      </c>
      <c r="F58" t="b">
        <f t="shared" ca="1" si="1"/>
        <v>0</v>
      </c>
    </row>
    <row r="59" spans="1:6" x14ac:dyDescent="0.25">
      <c r="A59" t="str">
        <f t="shared" si="0"/>
        <v>1bf</v>
      </c>
      <c r="B59" t="s">
        <v>2157</v>
      </c>
      <c r="C59" t="s">
        <v>177</v>
      </c>
      <c r="D59" t="s">
        <v>177</v>
      </c>
      <c r="E59">
        <f ca="1">INDIRECT("'Sheet1'!BF1")</f>
        <v>0</v>
      </c>
      <c r="F59" t="b">
        <f t="shared" ca="1" si="1"/>
        <v>0</v>
      </c>
    </row>
    <row r="60" spans="1:6" x14ac:dyDescent="0.25">
      <c r="A60" t="str">
        <f t="shared" si="0"/>
        <v>1bg</v>
      </c>
      <c r="B60" t="s">
        <v>2158</v>
      </c>
      <c r="C60" t="s">
        <v>178</v>
      </c>
      <c r="D60" t="s">
        <v>178</v>
      </c>
      <c r="E60">
        <f ca="1">INDIRECT("'Sheet1'!BG1")</f>
        <v>0</v>
      </c>
      <c r="F60" t="b">
        <f t="shared" ca="1" si="1"/>
        <v>0</v>
      </c>
    </row>
    <row r="61" spans="1:6" x14ac:dyDescent="0.25">
      <c r="A61" t="str">
        <f t="shared" si="0"/>
        <v>1bh</v>
      </c>
      <c r="B61" t="s">
        <v>2159</v>
      </c>
      <c r="C61" t="s">
        <v>179</v>
      </c>
      <c r="D61" t="s">
        <v>179</v>
      </c>
      <c r="E61">
        <f ca="1">INDIRECT("'Sheet1'!BH1")</f>
        <v>0</v>
      </c>
      <c r="F61" t="b">
        <f t="shared" ca="1" si="1"/>
        <v>0</v>
      </c>
    </row>
    <row r="62" spans="1:6" x14ac:dyDescent="0.25">
      <c r="A62" t="str">
        <f t="shared" si="0"/>
        <v>1bi</v>
      </c>
      <c r="B62" t="s">
        <v>2160</v>
      </c>
      <c r="C62" t="s">
        <v>180</v>
      </c>
      <c r="D62" t="s">
        <v>180</v>
      </c>
      <c r="E62">
        <f ca="1">INDIRECT("'Sheet1'!BI1")</f>
        <v>0</v>
      </c>
      <c r="F62" t="b">
        <f t="shared" ca="1" si="1"/>
        <v>0</v>
      </c>
    </row>
    <row r="63" spans="1:6" x14ac:dyDescent="0.25">
      <c r="A63" t="str">
        <f t="shared" si="0"/>
        <v>1bj</v>
      </c>
      <c r="B63" t="s">
        <v>2161</v>
      </c>
      <c r="C63" t="s">
        <v>181</v>
      </c>
      <c r="D63" t="s">
        <v>181</v>
      </c>
      <c r="E63">
        <f ca="1">INDIRECT("'Sheet1'!BJ1")</f>
        <v>0</v>
      </c>
      <c r="F63" t="b">
        <f t="shared" ca="1" si="1"/>
        <v>0</v>
      </c>
    </row>
    <row r="64" spans="1:6" x14ac:dyDescent="0.25">
      <c r="A64" t="str">
        <f t="shared" si="0"/>
        <v>1bk</v>
      </c>
      <c r="B64" t="s">
        <v>2162</v>
      </c>
      <c r="C64" t="s">
        <v>182</v>
      </c>
      <c r="D64" t="s">
        <v>182</v>
      </c>
      <c r="E64">
        <f ca="1">INDIRECT("'Sheet1'!BK1")</f>
        <v>0</v>
      </c>
      <c r="F64" t="b">
        <f t="shared" ca="1" si="1"/>
        <v>0</v>
      </c>
    </row>
    <row r="65" spans="1:6" x14ac:dyDescent="0.25">
      <c r="A65" t="str">
        <f t="shared" si="0"/>
        <v>1bl</v>
      </c>
      <c r="B65" t="s">
        <v>2163</v>
      </c>
      <c r="C65" t="s">
        <v>183</v>
      </c>
      <c r="D65" t="s">
        <v>183</v>
      </c>
      <c r="E65">
        <f ca="1">INDIRECT("'Sheet1'!BL1")</f>
        <v>0</v>
      </c>
      <c r="F65" t="b">
        <f t="shared" ca="1" si="1"/>
        <v>0</v>
      </c>
    </row>
    <row r="66" spans="1:6" x14ac:dyDescent="0.25">
      <c r="A66" t="str">
        <f t="shared" si="0"/>
        <v>1bm</v>
      </c>
      <c r="B66" t="s">
        <v>2164</v>
      </c>
      <c r="C66" t="s">
        <v>184</v>
      </c>
      <c r="D66" t="s">
        <v>184</v>
      </c>
      <c r="E66">
        <f ca="1">INDIRECT("'Sheet1'!BM1")</f>
        <v>0</v>
      </c>
      <c r="F66" t="b">
        <f t="shared" ca="1" si="1"/>
        <v>0</v>
      </c>
    </row>
    <row r="67" spans="1:6" x14ac:dyDescent="0.25">
      <c r="A67" t="str">
        <f t="shared" ref="A67:A84" si="2">"1"&amp;LOWER(SUBSTITUTE(ADDRESS(1,ROW()-1,4),"1",""))</f>
        <v>1bn</v>
      </c>
      <c r="B67" t="s">
        <v>2165</v>
      </c>
      <c r="C67" t="s">
        <v>185</v>
      </c>
      <c r="D67" t="s">
        <v>185</v>
      </c>
      <c r="E67">
        <f ca="1">INDIRECT("'Sheet1'!BN1")</f>
        <v>0</v>
      </c>
      <c r="F67" t="b">
        <f t="shared" ref="F67:F111" ca="1" si="3">E67=D67</f>
        <v>0</v>
      </c>
    </row>
    <row r="68" spans="1:6" x14ac:dyDescent="0.25">
      <c r="A68" t="str">
        <f t="shared" si="2"/>
        <v>1bo</v>
      </c>
      <c r="B68" t="s">
        <v>2166</v>
      </c>
      <c r="C68" t="s">
        <v>186</v>
      </c>
      <c r="D68" t="s">
        <v>186</v>
      </c>
      <c r="E68">
        <f ca="1">INDIRECT("'Sheet1'!BO1")</f>
        <v>0</v>
      </c>
      <c r="F68" t="b">
        <f t="shared" ca="1" si="3"/>
        <v>0</v>
      </c>
    </row>
    <row r="69" spans="1:6" x14ac:dyDescent="0.25">
      <c r="A69" t="str">
        <f t="shared" si="2"/>
        <v>1bp</v>
      </c>
      <c r="B69" t="s">
        <v>2167</v>
      </c>
      <c r="C69" t="s">
        <v>187</v>
      </c>
      <c r="D69" t="s">
        <v>187</v>
      </c>
      <c r="E69">
        <f ca="1">INDIRECT("'Sheet1'!BP1")</f>
        <v>0</v>
      </c>
      <c r="F69" t="b">
        <f t="shared" ca="1" si="3"/>
        <v>0</v>
      </c>
    </row>
    <row r="70" spans="1:6" x14ac:dyDescent="0.25">
      <c r="A70" t="str">
        <f t="shared" si="2"/>
        <v>1bq</v>
      </c>
      <c r="B70" t="s">
        <v>2168</v>
      </c>
      <c r="C70" t="s">
        <v>188</v>
      </c>
      <c r="D70" t="s">
        <v>188</v>
      </c>
      <c r="E70">
        <f ca="1">INDIRECT("'Sheet1'!BQ1")</f>
        <v>0</v>
      </c>
      <c r="F70" t="b">
        <f t="shared" ca="1" si="3"/>
        <v>0</v>
      </c>
    </row>
    <row r="71" spans="1:6" x14ac:dyDescent="0.25">
      <c r="A71" t="str">
        <f t="shared" si="2"/>
        <v>1br</v>
      </c>
      <c r="B71" t="s">
        <v>2169</v>
      </c>
      <c r="C71" t="s">
        <v>189</v>
      </c>
      <c r="D71" t="s">
        <v>189</v>
      </c>
      <c r="E71">
        <f ca="1">INDIRECT("'Sheet1'!BR1")</f>
        <v>0</v>
      </c>
      <c r="F71" t="b">
        <f t="shared" ca="1" si="3"/>
        <v>0</v>
      </c>
    </row>
    <row r="72" spans="1:6" x14ac:dyDescent="0.25">
      <c r="A72" t="str">
        <f t="shared" si="2"/>
        <v>1bs</v>
      </c>
      <c r="B72" t="s">
        <v>2170</v>
      </c>
      <c r="C72" t="s">
        <v>190</v>
      </c>
      <c r="D72" t="s">
        <v>190</v>
      </c>
      <c r="E72">
        <f ca="1">INDIRECT("'Sheet1'!BS1")</f>
        <v>0</v>
      </c>
      <c r="F72" t="b">
        <f t="shared" ca="1" si="3"/>
        <v>0</v>
      </c>
    </row>
    <row r="73" spans="1:6" x14ac:dyDescent="0.25">
      <c r="A73" t="str">
        <f t="shared" si="2"/>
        <v>1bt</v>
      </c>
      <c r="B73" t="s">
        <v>2171</v>
      </c>
      <c r="C73" t="s">
        <v>191</v>
      </c>
      <c r="D73" t="s">
        <v>191</v>
      </c>
      <c r="E73">
        <f ca="1">INDIRECT("'Sheet1'!BT1")</f>
        <v>0</v>
      </c>
      <c r="F73" t="b">
        <f t="shared" ca="1" si="3"/>
        <v>0</v>
      </c>
    </row>
    <row r="74" spans="1:6" x14ac:dyDescent="0.25">
      <c r="A74" t="str">
        <f t="shared" si="2"/>
        <v>1bu</v>
      </c>
      <c r="B74" t="s">
        <v>2172</v>
      </c>
      <c r="C74" t="s">
        <v>192</v>
      </c>
      <c r="D74" t="s">
        <v>192</v>
      </c>
      <c r="E74">
        <f ca="1">INDIRECT("'Sheet1'!BU1")</f>
        <v>0</v>
      </c>
      <c r="F74" t="b">
        <f t="shared" ca="1" si="3"/>
        <v>0</v>
      </c>
    </row>
    <row r="75" spans="1:6" x14ac:dyDescent="0.25">
      <c r="A75" t="str">
        <f t="shared" si="2"/>
        <v>1bv</v>
      </c>
      <c r="B75" t="s">
        <v>2173</v>
      </c>
      <c r="C75" t="s">
        <v>193</v>
      </c>
      <c r="D75" t="s">
        <v>193</v>
      </c>
      <c r="E75">
        <f ca="1">INDIRECT("'Sheet1'!BV1")</f>
        <v>0</v>
      </c>
      <c r="F75" t="b">
        <f t="shared" ca="1" si="3"/>
        <v>0</v>
      </c>
    </row>
    <row r="76" spans="1:6" x14ac:dyDescent="0.25">
      <c r="A76" t="str">
        <f t="shared" si="2"/>
        <v>1bw</v>
      </c>
      <c r="B76" t="s">
        <v>2174</v>
      </c>
      <c r="C76" t="s">
        <v>194</v>
      </c>
      <c r="D76" t="s">
        <v>194</v>
      </c>
      <c r="E76">
        <f ca="1">INDIRECT("'Sheet1'!BW1")</f>
        <v>0</v>
      </c>
      <c r="F76" t="b">
        <f t="shared" ca="1" si="3"/>
        <v>0</v>
      </c>
    </row>
    <row r="77" spans="1:6" x14ac:dyDescent="0.25">
      <c r="A77" t="str">
        <f t="shared" si="2"/>
        <v>1bx</v>
      </c>
      <c r="B77" t="s">
        <v>2175</v>
      </c>
      <c r="C77" t="s">
        <v>195</v>
      </c>
      <c r="D77" t="s">
        <v>195</v>
      </c>
      <c r="E77">
        <f ca="1">INDIRECT("'Sheet1'!BX1")</f>
        <v>0</v>
      </c>
      <c r="F77" t="b">
        <f t="shared" ca="1" si="3"/>
        <v>0</v>
      </c>
    </row>
    <row r="78" spans="1:6" x14ac:dyDescent="0.25">
      <c r="A78" t="str">
        <f t="shared" si="2"/>
        <v>1by</v>
      </c>
      <c r="B78" t="s">
        <v>2176</v>
      </c>
      <c r="C78" t="s">
        <v>196</v>
      </c>
      <c r="D78" t="s">
        <v>196</v>
      </c>
      <c r="E78">
        <f ca="1">INDIRECT("'Sheet1'!BY1")</f>
        <v>0</v>
      </c>
      <c r="F78" t="b">
        <f t="shared" ca="1" si="3"/>
        <v>0</v>
      </c>
    </row>
    <row r="79" spans="1:6" x14ac:dyDescent="0.25">
      <c r="A79" t="str">
        <f t="shared" si="2"/>
        <v>1bz</v>
      </c>
      <c r="B79" t="s">
        <v>2177</v>
      </c>
      <c r="C79" t="s">
        <v>197</v>
      </c>
      <c r="D79" t="s">
        <v>197</v>
      </c>
      <c r="E79">
        <f ca="1">INDIRECT("'Sheet1'!BZ1")</f>
        <v>0</v>
      </c>
      <c r="F79" t="b">
        <f t="shared" ca="1" si="3"/>
        <v>0</v>
      </c>
    </row>
    <row r="80" spans="1:6" x14ac:dyDescent="0.25">
      <c r="A80" t="str">
        <f t="shared" si="2"/>
        <v>1ca</v>
      </c>
      <c r="B80" t="s">
        <v>2178</v>
      </c>
      <c r="C80" t="s">
        <v>198</v>
      </c>
      <c r="D80" t="s">
        <v>198</v>
      </c>
      <c r="E80">
        <f ca="1">INDIRECT("'Sheet1'!CA1")</f>
        <v>0</v>
      </c>
      <c r="F80" t="b">
        <f t="shared" ca="1" si="3"/>
        <v>0</v>
      </c>
    </row>
    <row r="81" spans="1:6" x14ac:dyDescent="0.25">
      <c r="A81" t="str">
        <f t="shared" si="2"/>
        <v>1cb</v>
      </c>
      <c r="B81" t="s">
        <v>2179</v>
      </c>
      <c r="C81" t="s">
        <v>199</v>
      </c>
      <c r="D81" t="s">
        <v>199</v>
      </c>
      <c r="E81">
        <f ca="1">INDIRECT("'Sheet1'!CB1")</f>
        <v>0</v>
      </c>
      <c r="F81" t="b">
        <f t="shared" ca="1" si="3"/>
        <v>0</v>
      </c>
    </row>
    <row r="82" spans="1:6" x14ac:dyDescent="0.25">
      <c r="A82" t="str">
        <f t="shared" si="2"/>
        <v>1cc</v>
      </c>
      <c r="B82" t="s">
        <v>2180</v>
      </c>
      <c r="C82" t="s">
        <v>200</v>
      </c>
      <c r="D82" t="s">
        <v>200</v>
      </c>
      <c r="E82">
        <f ca="1">INDIRECT("'Sheet1'!CC1")</f>
        <v>0</v>
      </c>
      <c r="F82" t="b">
        <f t="shared" ca="1" si="3"/>
        <v>0</v>
      </c>
    </row>
    <row r="83" spans="1:6" x14ac:dyDescent="0.25">
      <c r="A83" t="str">
        <f t="shared" si="2"/>
        <v>1cd</v>
      </c>
      <c r="B83" t="s">
        <v>2181</v>
      </c>
      <c r="C83" t="s">
        <v>201</v>
      </c>
      <c r="D83" t="s">
        <v>201</v>
      </c>
      <c r="E83">
        <f ca="1">INDIRECT("'Sheet1'!CD1")</f>
        <v>0</v>
      </c>
      <c r="F83" t="b">
        <f t="shared" ca="1" si="3"/>
        <v>0</v>
      </c>
    </row>
    <row r="84" spans="1:6" x14ac:dyDescent="0.25">
      <c r="A84" t="str">
        <f t="shared" si="2"/>
        <v>1ce</v>
      </c>
      <c r="B84" t="s">
        <v>289</v>
      </c>
      <c r="C84" t="s">
        <v>292</v>
      </c>
      <c r="D84" t="s">
        <v>1672</v>
      </c>
      <c r="E84">
        <f ca="1">INDIRECT("'Sheet1'!CE1")</f>
        <v>0</v>
      </c>
      <c r="F84" t="b">
        <f t="shared" ca="1" si="3"/>
        <v>0</v>
      </c>
    </row>
    <row r="86" spans="1:6" x14ac:dyDescent="0.25">
      <c r="A86" t="str">
        <f>"2"&amp;LOWER(SUBSTITUTE(ADDRESS(1,ROW()-85,4),"1",""))</f>
        <v>2a</v>
      </c>
      <c r="B86" t="s">
        <v>1642</v>
      </c>
      <c r="C86" t="s">
        <v>120</v>
      </c>
      <c r="D86" t="s">
        <v>121</v>
      </c>
      <c r="E86">
        <f ca="1">INDIRECT("'Sheet1'!A2")</f>
        <v>0</v>
      </c>
      <c r="F86" t="b">
        <f t="shared" ca="1" si="3"/>
        <v>0</v>
      </c>
    </row>
    <row r="87" spans="1:6" x14ac:dyDescent="0.25">
      <c r="A87" t="str">
        <f t="shared" ref="A87:A98" si="4">"2"&amp;LOWER(SUBSTITUTE(ADDRESS(1,ROW()-85,4),"1",""))</f>
        <v>2b</v>
      </c>
      <c r="B87" t="s">
        <v>303</v>
      </c>
      <c r="C87" t="s">
        <v>122</v>
      </c>
      <c r="E87">
        <f ca="1">INDIRECT("'Sheet1'!B2")</f>
        <v>0</v>
      </c>
      <c r="F87" t="b">
        <f t="shared" ca="1" si="3"/>
        <v>1</v>
      </c>
    </row>
    <row r="88" spans="1:6" x14ac:dyDescent="0.25">
      <c r="A88" t="str">
        <f t="shared" si="4"/>
        <v>2c</v>
      </c>
      <c r="B88" t="s">
        <v>202</v>
      </c>
      <c r="C88" t="s">
        <v>112</v>
      </c>
      <c r="D88" t="s">
        <v>114</v>
      </c>
      <c r="E88">
        <f ca="1">INDIRECT("'Sheet1'!H2")</f>
        <v>0</v>
      </c>
      <c r="F88" t="b">
        <f t="shared" ca="1" si="3"/>
        <v>0</v>
      </c>
    </row>
    <row r="89" spans="1:6" x14ac:dyDescent="0.25">
      <c r="A89" t="str">
        <f t="shared" si="4"/>
        <v>2d</v>
      </c>
      <c r="B89" t="s">
        <v>2061</v>
      </c>
      <c r="C89" t="s">
        <v>125</v>
      </c>
      <c r="D89">
        <v>48</v>
      </c>
      <c r="E89">
        <f ca="1">INDIRECT("'Sheet1'!E2")</f>
        <v>0</v>
      </c>
      <c r="F89" t="b">
        <f t="shared" ca="1" si="3"/>
        <v>0</v>
      </c>
    </row>
    <row r="90" spans="1:6" x14ac:dyDescent="0.25">
      <c r="A90" t="str">
        <f t="shared" si="4"/>
        <v>2e</v>
      </c>
      <c r="B90" t="s">
        <v>2062</v>
      </c>
      <c r="C90" t="s">
        <v>126</v>
      </c>
      <c r="D90" s="2" t="s">
        <v>1657</v>
      </c>
      <c r="E90" s="5">
        <f ca="1">INDIRECT("'Sheet1'!F2")</f>
        <v>0</v>
      </c>
      <c r="F90" t="b">
        <f t="shared" ca="1" si="3"/>
        <v>0</v>
      </c>
    </row>
    <row r="91" spans="1:6" x14ac:dyDescent="0.25">
      <c r="A91" t="str">
        <f t="shared" si="4"/>
        <v>2f</v>
      </c>
      <c r="B91" t="s">
        <v>2084</v>
      </c>
      <c r="C91" t="s">
        <v>127</v>
      </c>
      <c r="D91" t="s">
        <v>1658</v>
      </c>
      <c r="E91">
        <f ca="1">INDIRECT("'Sheet1'!G2")</f>
        <v>0</v>
      </c>
      <c r="F91" t="b">
        <f t="shared" ca="1" si="3"/>
        <v>0</v>
      </c>
    </row>
    <row r="92" spans="1:6" x14ac:dyDescent="0.25">
      <c r="A92" t="str">
        <f t="shared" si="4"/>
        <v>2g</v>
      </c>
      <c r="B92" t="s">
        <v>2068</v>
      </c>
      <c r="C92" t="s">
        <v>427</v>
      </c>
      <c r="E92">
        <f ca="1">SUM(
  INDIRECT("'Sheet1'!I2"),
  INDIRECT("'Sheet1'!J2"),
  INDIRECT("'Sheet1'!K2"),
  INDIRECT("'Sheet1'!L2"),
  INDIRECT("'Sheet1'!M2"),
  INDIRECT("'Sheet1'!N2"),
  INDIRECT("'Sheet1'!O2"),
  INDIRECT("'Sheet1'!P2"),
  INDIRECT("'Sheet1'!Q2"),
  INDIRECT("'Sheet1'!R2")
)</f>
        <v>0</v>
      </c>
      <c r="F92" t="b">
        <f t="shared" ca="1" si="3"/>
        <v>1</v>
      </c>
    </row>
    <row r="93" spans="1:6" x14ac:dyDescent="0.25">
      <c r="A93" t="str">
        <f t="shared" si="4"/>
        <v>2h</v>
      </c>
      <c r="B93" t="s">
        <v>2069</v>
      </c>
      <c r="C93" t="s">
        <v>428</v>
      </c>
      <c r="E93">
        <f ca="1">SUM(
  INDIRECT("'Sheet1'!S2"),
  INDIRECT("'Sheet1'!T2"),
  INDIRECT("'Sheet1'!U2"),
  INDIRECT("'Sheet1'!V2"),
  INDIRECT("'Sheet1'!W2"),
  INDIRECT("'Sheet1'!X2"),
  INDIRECT("'Sheet1'!Y2"),
  INDIRECT("'Sheet1'!Z2"),
  INDIRECT("'Sheet1'!AA2"),
  INDIRECT("'Sheet1'!AB2"),
  INDIRECT("'Sheet1'!AC2"),
  INDIRECT("'Sheet1'!AD2"),
  INDIRECT("'Sheet1'!AE2"),
  INDIRECT("'Sheet1'!AF2"),
  INDIRECT("'Sheet1'!AG2"),
  INDIRECT("'Sheet1'!AH2"),
  INDIRECT("'Sheet1'!AI2"),
  INDIRECT("'Sheet1'!AJ2"),
  INDIRECT("'Sheet1'!AK2"),
  INDIRECT("'Sheet1'!AL2"),
  INDIRECT("'Sheet1'!AM2")
)</f>
        <v>0</v>
      </c>
      <c r="F93" t="b">
        <f t="shared" ca="1" si="3"/>
        <v>1</v>
      </c>
    </row>
    <row r="94" spans="1:6" x14ac:dyDescent="0.25">
      <c r="A94" t="str">
        <f t="shared" si="4"/>
        <v>2i</v>
      </c>
      <c r="B94" t="s">
        <v>2070</v>
      </c>
      <c r="C94" t="s">
        <v>429</v>
      </c>
      <c r="E94">
        <f ca="1">SUM(
  INDIRECT("'Sheet1'!AN2"),
  INDIRECT("'Sheet1'!AO2"),
  INDIRECT("'Sheet1'!AP2"),
  INDIRECT("'Sheet1'!AQ2"),
  INDIRECT("'Sheet1'!AR2"),
  INDIRECT("'Sheet1'!AS2"),
  INDIRECT("'Sheet1'!AT2"),
  INDIRECT("'Sheet1'!AU2"),
  INDIRECT("'Sheet1'!AV2"),
  INDIRECT("'Sheet1'!AW2"),
  INDIRECT("'Sheet1'!AX2"),
  INDIRECT("'Sheet1'!AY2"),
  INDIRECT("'Sheet1'!AZ2"),
  INDIRECT("'Sheet1'!BA2")
)</f>
        <v>0</v>
      </c>
      <c r="F94" t="b">
        <f t="shared" ca="1" si="3"/>
        <v>1</v>
      </c>
    </row>
    <row r="95" spans="1:6" x14ac:dyDescent="0.25">
      <c r="A95" t="str">
        <f t="shared" si="4"/>
        <v>2j</v>
      </c>
      <c r="B95" t="s">
        <v>2071</v>
      </c>
      <c r="C95" t="s">
        <v>430</v>
      </c>
      <c r="E95">
        <f ca="1">SUM(
  INDIRECT("'Sheet1'!BB2"),
  INDIRECT("'Sheet1'!BC2"),
  INDIRECT("'Sheet1'!BD2"),
  INDIRECT("'Sheet1'!BE2"),
  INDIRECT("'Sheet1'!BF2"),
  INDIRECT("'Sheet1'!BG2"),
  INDIRECT("'Sheet1'!BH2"),
  INDIRECT("'Sheet1'!BI2"),
  INDIRECT("'Sheet1'!BJ2"),
  INDIRECT("'Sheet1'!BK2"),
  INDIRECT("'Sheet1'!BL2"),
  INDIRECT("'Sheet1'!BM2"),
  INDIRECT("'Sheet1'!BN2"),
  INDIRECT("'Sheet1'!BO2"),
  INDIRECT("'Sheet1'!BP2"),
  INDIRECT("'Sheet1'!BQ2"),
  INDIRECT("'Sheet1'!BR2"),
  INDIRECT("'Sheet1'!BS2"),
  INDIRECT("'Sheet1'!BT2"),
  INDIRECT("'Sheet1'!BU2"),
  INDIRECT("'Sheet1'!BV2")
)</f>
        <v>0</v>
      </c>
      <c r="F95" t="b">
        <f t="shared" ca="1" si="3"/>
        <v>1</v>
      </c>
    </row>
    <row r="96" spans="1:6" x14ac:dyDescent="0.25">
      <c r="A96" t="str">
        <f t="shared" si="4"/>
        <v>2k</v>
      </c>
      <c r="B96" t="s">
        <v>2072</v>
      </c>
      <c r="C96" t="s">
        <v>438</v>
      </c>
      <c r="E96">
        <f ca="1">SUM(
  INDIRECT("'Sheet1'!BY2"),
  INDIRECT("'Sheet1'!BZ2"),
  INDIRECT("'Sheet1'!CA2")
)</f>
        <v>0</v>
      </c>
      <c r="F96" t="b">
        <f t="shared" ca="1" si="3"/>
        <v>1</v>
      </c>
    </row>
    <row r="97" spans="1:6 16384:16384" x14ac:dyDescent="0.25">
      <c r="A97" t="str">
        <f t="shared" si="4"/>
        <v>2l</v>
      </c>
      <c r="B97" t="s">
        <v>2073</v>
      </c>
      <c r="C97" t="s">
        <v>437</v>
      </c>
      <c r="E97">
        <f ca="1">SUM(
  INDIRECT("'Sheet1'!BY2"),
  INDIRECT("'Sheet1'!BZ2"),
  INDIRECT("'Sheet1'!CA2")
)</f>
        <v>0</v>
      </c>
      <c r="F97" t="b">
        <f t="shared" ca="1" si="3"/>
        <v>1</v>
      </c>
    </row>
    <row r="98" spans="1:6 16384:16384" x14ac:dyDescent="0.25">
      <c r="A98" t="str">
        <f t="shared" si="4"/>
        <v>2m</v>
      </c>
      <c r="B98" t="s">
        <v>2074</v>
      </c>
      <c r="C98" t="s">
        <v>439</v>
      </c>
      <c r="E98">
        <f ca="1">SUM(
  INDIRECT("'Sheet1'!CB2"),
  INDIRECT("'Sheet1'!CC2"),
  INDIRECT("'Sheet1'!CD2")
)</f>
        <v>0</v>
      </c>
      <c r="F98" t="b">
        <f t="shared" ca="1" si="3"/>
        <v>1</v>
      </c>
    </row>
    <row r="100" spans="1:6 16384:16384" x14ac:dyDescent="0.25">
      <c r="A100" t="s">
        <v>306</v>
      </c>
      <c r="B100" t="s">
        <v>1643</v>
      </c>
      <c r="C100" t="s">
        <v>120</v>
      </c>
      <c r="D100" t="s">
        <v>204</v>
      </c>
      <c r="E100">
        <f ca="1">INDIRECT("'Sheet1'!A3")</f>
        <v>0</v>
      </c>
      <c r="F100" t="b">
        <f t="shared" ca="1" si="3"/>
        <v>0</v>
      </c>
    </row>
    <row r="101" spans="1:6 16384:16384" x14ac:dyDescent="0.25">
      <c r="A101" t="s">
        <v>307</v>
      </c>
      <c r="B101" t="s">
        <v>202</v>
      </c>
      <c r="C101" t="s">
        <v>112</v>
      </c>
      <c r="D101" t="s">
        <v>113</v>
      </c>
      <c r="E101" s="1">
        <f ca="1">INDIRECT("'Sheet1'!H3")</f>
        <v>0</v>
      </c>
      <c r="F101" t="b">
        <f t="shared" ca="1" si="3"/>
        <v>0</v>
      </c>
    </row>
    <row r="102" spans="1:6 16384:16384" x14ac:dyDescent="0.25">
      <c r="A102" t="s">
        <v>308</v>
      </c>
      <c r="B102" t="s">
        <v>2061</v>
      </c>
      <c r="C102" t="s">
        <v>125</v>
      </c>
      <c r="D102">
        <v>48</v>
      </c>
      <c r="E102">
        <f ca="1">INDIRECT("'Sheet1'!E3")</f>
        <v>0</v>
      </c>
      <c r="F102" t="b">
        <f t="shared" ca="1" si="3"/>
        <v>0</v>
      </c>
    </row>
    <row r="103" spans="1:6 16384:16384" x14ac:dyDescent="0.25">
      <c r="A103" t="s">
        <v>309</v>
      </c>
      <c r="B103" t="s">
        <v>441</v>
      </c>
      <c r="C103" t="s">
        <v>125</v>
      </c>
      <c r="D103">
        <v>48</v>
      </c>
      <c r="E103">
        <f ca="1">INDIRECT("'Sheet1'!E3")</f>
        <v>0</v>
      </c>
      <c r="F103" t="b">
        <f t="shared" ca="1" si="3"/>
        <v>0</v>
      </c>
    </row>
    <row r="104" spans="1:6 16384:16384" x14ac:dyDescent="0.25">
      <c r="A104" t="s">
        <v>310</v>
      </c>
      <c r="B104" t="s">
        <v>2062</v>
      </c>
      <c r="C104" t="s">
        <v>126</v>
      </c>
      <c r="D104" s="5" t="s">
        <v>1657</v>
      </c>
      <c r="E104" s="5">
        <f ca="1">INDIRECT("'Sheet1'!F3")</f>
        <v>0</v>
      </c>
      <c r="F104" t="b">
        <f t="shared" ca="1" si="3"/>
        <v>0</v>
      </c>
    </row>
    <row r="105" spans="1:6 16384:16384" x14ac:dyDescent="0.25">
      <c r="A105" t="s">
        <v>440</v>
      </c>
      <c r="B105" t="s">
        <v>2084</v>
      </c>
      <c r="C105" t="s">
        <v>127</v>
      </c>
      <c r="D105" t="s">
        <v>1659</v>
      </c>
      <c r="E105">
        <f ca="1">INDIRECT("'Sheet1'!G3")</f>
        <v>0</v>
      </c>
      <c r="F105" t="b">
        <f t="shared" ca="1" si="3"/>
        <v>0</v>
      </c>
    </row>
    <row r="107" spans="1:6 16384:16384" x14ac:dyDescent="0.25">
      <c r="A107" t="s">
        <v>311</v>
      </c>
      <c r="B107" t="s">
        <v>1644</v>
      </c>
      <c r="C107" t="s">
        <v>120</v>
      </c>
      <c r="D107" t="s">
        <v>203</v>
      </c>
      <c r="E107">
        <f ca="1">INDIRECT("'Sheet1'!A4")</f>
        <v>0</v>
      </c>
      <c r="F107" t="b">
        <f t="shared" ca="1" si="3"/>
        <v>0</v>
      </c>
      <c r="XFD107" t="s">
        <v>119</v>
      </c>
    </row>
    <row r="108" spans="1:6 16384:16384" x14ac:dyDescent="0.25">
      <c r="A108" t="s">
        <v>312</v>
      </c>
      <c r="B108" t="s">
        <v>299</v>
      </c>
      <c r="C108" t="s">
        <v>112</v>
      </c>
      <c r="F108" t="b">
        <f t="shared" si="3"/>
        <v>1</v>
      </c>
    </row>
    <row r="109" spans="1:6 16384:16384" x14ac:dyDescent="0.25">
      <c r="A109" t="s">
        <v>313</v>
      </c>
      <c r="B109" t="s">
        <v>2061</v>
      </c>
      <c r="C109" t="s">
        <v>125</v>
      </c>
      <c r="D109">
        <v>49</v>
      </c>
      <c r="E109">
        <f ca="1">INDIRECT("'Sheet1'!E4")</f>
        <v>0</v>
      </c>
      <c r="F109" t="b">
        <f t="shared" ca="1" si="3"/>
        <v>0</v>
      </c>
    </row>
    <row r="110" spans="1:6 16384:16384" x14ac:dyDescent="0.25">
      <c r="A110" t="s">
        <v>314</v>
      </c>
      <c r="B110" t="s">
        <v>2062</v>
      </c>
      <c r="C110" t="s">
        <v>126</v>
      </c>
      <c r="D110" s="2" t="s">
        <v>1657</v>
      </c>
      <c r="E110" s="5">
        <f ca="1">INDIRECT("'Sheet1'!F4")</f>
        <v>0</v>
      </c>
      <c r="F110" t="b">
        <f t="shared" ca="1" si="3"/>
        <v>0</v>
      </c>
    </row>
    <row r="111" spans="1:6 16384:16384" x14ac:dyDescent="0.25">
      <c r="A111" t="s">
        <v>1606</v>
      </c>
      <c r="B111" t="s">
        <v>2063</v>
      </c>
      <c r="C111" t="s">
        <v>1608</v>
      </c>
      <c r="D111" s="2"/>
      <c r="E111">
        <f ca="1">SUM(
  INDIRECT("'Sheet1'!I4"),
  INDIRECT("'Sheet1'!J4"),
  INDIRECT("'Sheet1'!K4"),
  INDIRECT("'Sheet1'!L4"),
  INDIRECT("'Sheet1'!M4"),
  INDIRECT("'Sheet1'!N4"),
  INDIRECT("'Sheet1'!O4"),
  INDIRECT("'Sheet1'!P4"),
  INDIRECT("'Sheet1'!Q4"),
  INDIRECT("'Sheet1'!R4")
)</f>
        <v>0</v>
      </c>
      <c r="F111" t="b">
        <f t="shared" ca="1" si="3"/>
        <v>1</v>
      </c>
    </row>
    <row r="113" spans="1:6" x14ac:dyDescent="0.25">
      <c r="A113" t="s">
        <v>315</v>
      </c>
      <c r="B113" t="s">
        <v>304</v>
      </c>
      <c r="C113" t="s">
        <v>120</v>
      </c>
      <c r="E113">
        <f ca="1">INDIRECT("'Sheet1'!A5")</f>
        <v>0</v>
      </c>
      <c r="F113" t="b">
        <f ca="1">E113=D113</f>
        <v>1</v>
      </c>
    </row>
    <row r="114" spans="1:6" x14ac:dyDescent="0.25">
      <c r="A114" t="s">
        <v>1499</v>
      </c>
      <c r="B114" t="s">
        <v>2084</v>
      </c>
      <c r="C114" t="s">
        <v>127</v>
      </c>
      <c r="D114" t="s">
        <v>1658</v>
      </c>
      <c r="E114">
        <f ca="1">INDIRECT("'Sheet1'!G5")</f>
        <v>0</v>
      </c>
      <c r="F114" t="b">
        <f ca="1">E114=D114</f>
        <v>0</v>
      </c>
    </row>
    <row r="115" spans="1:6" x14ac:dyDescent="0.25">
      <c r="A115" t="s">
        <v>1581</v>
      </c>
      <c r="B115" t="s">
        <v>2060</v>
      </c>
      <c r="C115" t="s">
        <v>125</v>
      </c>
      <c r="D115">
        <v>51.5</v>
      </c>
      <c r="E115">
        <f ca="1">INDIRECT("'Sheet1'!E5")</f>
        <v>0</v>
      </c>
      <c r="F115" t="b">
        <f ca="1">E115=D115</f>
        <v>0</v>
      </c>
    </row>
    <row r="117" spans="1:6" x14ac:dyDescent="0.25">
      <c r="A117" t="s">
        <v>316</v>
      </c>
      <c r="B117" t="s">
        <v>2059</v>
      </c>
      <c r="C117" t="s">
        <v>127</v>
      </c>
      <c r="D117" t="s">
        <v>1501</v>
      </c>
      <c r="E117">
        <f ca="1">INDIRECT("'Sheet1'!G6")</f>
        <v>0</v>
      </c>
      <c r="F117" t="b">
        <f ca="1">E117=D117</f>
        <v>0</v>
      </c>
    </row>
    <row r="119" spans="1:6" x14ac:dyDescent="0.25">
      <c r="A119" t="s">
        <v>317</v>
      </c>
      <c r="B119" t="s">
        <v>1609</v>
      </c>
      <c r="C119" t="s">
        <v>120</v>
      </c>
      <c r="D119" t="s">
        <v>295</v>
      </c>
      <c r="E119">
        <f ca="1">INDIRECT("'Sheet1'!A7")</f>
        <v>0</v>
      </c>
      <c r="F119" t="b">
        <f ca="1">E119=D119</f>
        <v>0</v>
      </c>
    </row>
    <row r="120" spans="1:6" x14ac:dyDescent="0.25">
      <c r="A120" t="s">
        <v>341</v>
      </c>
      <c r="B120" t="s">
        <v>2064</v>
      </c>
      <c r="C120" t="s">
        <v>112</v>
      </c>
      <c r="E120">
        <f ca="1">INDIRECT("'Sheet1'!H7")</f>
        <v>0</v>
      </c>
      <c r="F120" t="b">
        <f t="shared" ref="F120" ca="1" si="5">E120=D120</f>
        <v>1</v>
      </c>
    </row>
    <row r="122" spans="1:6" x14ac:dyDescent="0.25">
      <c r="A122" t="s">
        <v>318</v>
      </c>
      <c r="B122" t="s">
        <v>2065</v>
      </c>
      <c r="C122" t="s">
        <v>120</v>
      </c>
      <c r="D122" t="s">
        <v>295</v>
      </c>
      <c r="E122">
        <f ca="1">INDIRECT("'Sheet1'!A8")</f>
        <v>0</v>
      </c>
      <c r="F122" t="b">
        <f ca="1">E122=D122</f>
        <v>0</v>
      </c>
    </row>
    <row r="123" spans="1:6" x14ac:dyDescent="0.25">
      <c r="A123" t="s">
        <v>319</v>
      </c>
      <c r="B123" t="s">
        <v>2066</v>
      </c>
      <c r="C123" t="s">
        <v>112</v>
      </c>
      <c r="E123">
        <f ca="1">INDIRECT("'Sheet1'!H8")</f>
        <v>0</v>
      </c>
      <c r="F123" t="b">
        <f t="shared" ref="F123" ca="1" si="6">E123=D123</f>
        <v>1</v>
      </c>
    </row>
    <row r="125" spans="1:6" x14ac:dyDescent="0.25">
      <c r="A125" t="s">
        <v>322</v>
      </c>
      <c r="B125" t="s">
        <v>2065</v>
      </c>
      <c r="C125" t="s">
        <v>120</v>
      </c>
      <c r="D125" t="s">
        <v>295</v>
      </c>
      <c r="E125">
        <f ca="1">INDIRECT("'Sheet1'!A9")</f>
        <v>0</v>
      </c>
      <c r="F125" t="b">
        <f ca="1">E125=D125</f>
        <v>0</v>
      </c>
    </row>
    <row r="126" spans="1:6" x14ac:dyDescent="0.25">
      <c r="A126" t="s">
        <v>323</v>
      </c>
      <c r="B126" t="s">
        <v>2067</v>
      </c>
      <c r="C126" t="s">
        <v>112</v>
      </c>
      <c r="E126">
        <f ca="1">INDIRECT("'Sheet1'!H9")</f>
        <v>0</v>
      </c>
      <c r="F126" t="b">
        <f t="shared" ref="F126:F187" ca="1" si="7">E126=D126</f>
        <v>1</v>
      </c>
    </row>
    <row r="128" spans="1:6" x14ac:dyDescent="0.25">
      <c r="A128" t="s">
        <v>326</v>
      </c>
      <c r="B128" t="s">
        <v>1714</v>
      </c>
      <c r="C128" t="s">
        <v>128</v>
      </c>
      <c r="D128">
        <v>47</v>
      </c>
      <c r="E128">
        <f ca="1">INDIRECT("'Sheet1'!I10")</f>
        <v>0</v>
      </c>
      <c r="F128" t="b">
        <f t="shared" ca="1" si="7"/>
        <v>0</v>
      </c>
    </row>
    <row r="129" spans="1:6" x14ac:dyDescent="0.25">
      <c r="A129" t="s">
        <v>327</v>
      </c>
      <c r="B129" t="s">
        <v>1724</v>
      </c>
      <c r="C129" t="s">
        <v>129</v>
      </c>
      <c r="D129" s="2" t="s">
        <v>1660</v>
      </c>
      <c r="E129" s="5">
        <f ca="1">INDIRECT("'Sheet1'!J10")</f>
        <v>0</v>
      </c>
      <c r="F129" t="b">
        <f t="shared" ca="1" si="7"/>
        <v>0</v>
      </c>
    </row>
    <row r="131" spans="1:6" x14ac:dyDescent="0.25">
      <c r="A131" t="s">
        <v>329</v>
      </c>
      <c r="B131" t="s">
        <v>1715</v>
      </c>
      <c r="C131" t="s">
        <v>130</v>
      </c>
      <c r="D131">
        <v>47</v>
      </c>
      <c r="E131">
        <f ca="1">INDIRECT("'Sheet1'!K11")</f>
        <v>0</v>
      </c>
      <c r="F131" t="b">
        <f t="shared" ca="1" si="7"/>
        <v>0</v>
      </c>
    </row>
    <row r="132" spans="1:6" x14ac:dyDescent="0.25">
      <c r="A132" t="s">
        <v>330</v>
      </c>
      <c r="B132" t="s">
        <v>1725</v>
      </c>
      <c r="C132" t="s">
        <v>131</v>
      </c>
      <c r="D132" s="2" t="s">
        <v>1660</v>
      </c>
      <c r="E132" s="5">
        <f ca="1">INDIRECT("'Sheet1'!L11")</f>
        <v>0</v>
      </c>
      <c r="F132" t="b">
        <f t="shared" ca="1" si="7"/>
        <v>0</v>
      </c>
    </row>
    <row r="134" spans="1:6" x14ac:dyDescent="0.25">
      <c r="A134" t="s">
        <v>331</v>
      </c>
      <c r="B134" t="s">
        <v>1716</v>
      </c>
      <c r="C134" t="s">
        <v>132</v>
      </c>
      <c r="D134">
        <v>47</v>
      </c>
      <c r="E134">
        <f ca="1">INDIRECT("'Sheet1'!M12")</f>
        <v>0</v>
      </c>
      <c r="F134" t="b">
        <f t="shared" ca="1" si="7"/>
        <v>0</v>
      </c>
    </row>
    <row r="135" spans="1:6" x14ac:dyDescent="0.25">
      <c r="A135" t="s">
        <v>332</v>
      </c>
      <c r="B135" t="s">
        <v>1726</v>
      </c>
      <c r="C135" t="s">
        <v>133</v>
      </c>
      <c r="D135" s="2" t="s">
        <v>1660</v>
      </c>
      <c r="E135" s="5">
        <f ca="1">INDIRECT("'Sheet1'!N12")</f>
        <v>0</v>
      </c>
      <c r="F135" t="b">
        <f t="shared" ca="1" si="7"/>
        <v>0</v>
      </c>
    </row>
    <row r="137" spans="1:6" x14ac:dyDescent="0.25">
      <c r="A137" t="s">
        <v>333</v>
      </c>
      <c r="B137" t="s">
        <v>1717</v>
      </c>
      <c r="C137" t="s">
        <v>134</v>
      </c>
      <c r="D137">
        <v>47</v>
      </c>
      <c r="E137">
        <f ca="1">INDIRECT("'Sheet1'!O13")</f>
        <v>0</v>
      </c>
      <c r="F137" t="b">
        <f t="shared" ca="1" si="7"/>
        <v>0</v>
      </c>
    </row>
    <row r="138" spans="1:6" x14ac:dyDescent="0.25">
      <c r="A138" t="s">
        <v>334</v>
      </c>
      <c r="B138" t="s">
        <v>1727</v>
      </c>
      <c r="C138" t="s">
        <v>135</v>
      </c>
      <c r="D138" s="2" t="s">
        <v>1660</v>
      </c>
      <c r="E138" s="5">
        <f ca="1">INDIRECT("'Sheet1'!P13")</f>
        <v>0</v>
      </c>
      <c r="F138" t="b">
        <f t="shared" ca="1" si="7"/>
        <v>0</v>
      </c>
    </row>
    <row r="140" spans="1:6" x14ac:dyDescent="0.25">
      <c r="A140" t="s">
        <v>335</v>
      </c>
      <c r="B140" t="s">
        <v>1718</v>
      </c>
      <c r="C140" t="s">
        <v>136</v>
      </c>
      <c r="D140">
        <v>47</v>
      </c>
      <c r="E140">
        <f ca="1">INDIRECT("'Sheet1'!Q14")</f>
        <v>0</v>
      </c>
      <c r="F140" t="b">
        <f t="shared" ca="1" si="7"/>
        <v>0</v>
      </c>
    </row>
    <row r="141" spans="1:6" x14ac:dyDescent="0.25">
      <c r="A141" t="s">
        <v>336</v>
      </c>
      <c r="B141" t="s">
        <v>1728</v>
      </c>
      <c r="C141" t="s">
        <v>137</v>
      </c>
      <c r="D141" s="2" t="s">
        <v>1660</v>
      </c>
      <c r="E141" s="5">
        <f ca="1">INDIRECT("'Sheet1'!R14")</f>
        <v>0</v>
      </c>
      <c r="F141" t="b">
        <f t="shared" ca="1" si="7"/>
        <v>0</v>
      </c>
    </row>
    <row r="143" spans="1:6" x14ac:dyDescent="0.25">
      <c r="A143" t="s">
        <v>355</v>
      </c>
      <c r="B143" t="s">
        <v>1719</v>
      </c>
      <c r="C143" t="s">
        <v>128</v>
      </c>
      <c r="D143">
        <v>47</v>
      </c>
      <c r="E143">
        <f ca="1">INDIRECT("'Sheet1'!I15")</f>
        <v>0</v>
      </c>
      <c r="F143" t="b">
        <f t="shared" ca="1" si="7"/>
        <v>0</v>
      </c>
    </row>
    <row r="144" spans="1:6" x14ac:dyDescent="0.25">
      <c r="A144" t="s">
        <v>356</v>
      </c>
      <c r="B144" t="s">
        <v>1724</v>
      </c>
      <c r="C144" t="s">
        <v>129</v>
      </c>
      <c r="D144" s="2" t="s">
        <v>1660</v>
      </c>
      <c r="E144" s="5">
        <f ca="1">INDIRECT("'Sheet1'!J15")</f>
        <v>0</v>
      </c>
      <c r="F144" t="b">
        <f t="shared" ca="1" si="7"/>
        <v>0</v>
      </c>
    </row>
    <row r="146" spans="1:6" x14ac:dyDescent="0.25">
      <c r="A146" t="s">
        <v>357</v>
      </c>
      <c r="B146" t="s">
        <v>1720</v>
      </c>
      <c r="C146" t="s">
        <v>130</v>
      </c>
      <c r="D146">
        <v>47</v>
      </c>
      <c r="E146">
        <f ca="1">INDIRECT("'Sheet1'!K16")</f>
        <v>0</v>
      </c>
      <c r="F146" t="b">
        <f t="shared" ca="1" si="7"/>
        <v>0</v>
      </c>
    </row>
    <row r="147" spans="1:6" x14ac:dyDescent="0.25">
      <c r="A147" t="s">
        <v>358</v>
      </c>
      <c r="B147" t="s">
        <v>1725</v>
      </c>
      <c r="C147" t="s">
        <v>131</v>
      </c>
      <c r="D147" s="2" t="s">
        <v>1660</v>
      </c>
      <c r="E147" s="5">
        <f ca="1">INDIRECT("'Sheet1'!L16")</f>
        <v>0</v>
      </c>
      <c r="F147" t="b">
        <f t="shared" ca="1" si="7"/>
        <v>0</v>
      </c>
    </row>
    <row r="149" spans="1:6" x14ac:dyDescent="0.25">
      <c r="A149" t="s">
        <v>359</v>
      </c>
      <c r="B149" t="s">
        <v>1721</v>
      </c>
      <c r="C149" t="s">
        <v>132</v>
      </c>
      <c r="D149">
        <v>47</v>
      </c>
      <c r="E149">
        <f ca="1">INDIRECT("'Sheet1'!M17")</f>
        <v>0</v>
      </c>
      <c r="F149" t="b">
        <f t="shared" ca="1" si="7"/>
        <v>0</v>
      </c>
    </row>
    <row r="150" spans="1:6" x14ac:dyDescent="0.25">
      <c r="A150" t="s">
        <v>360</v>
      </c>
      <c r="B150" t="s">
        <v>1726</v>
      </c>
      <c r="C150" t="s">
        <v>133</v>
      </c>
      <c r="D150" s="2" t="s">
        <v>1660</v>
      </c>
      <c r="E150" s="5">
        <f ca="1">INDIRECT("'Sheet1'!N17")</f>
        <v>0</v>
      </c>
      <c r="F150" t="b">
        <f t="shared" ca="1" si="7"/>
        <v>0</v>
      </c>
    </row>
    <row r="152" spans="1:6" x14ac:dyDescent="0.25">
      <c r="A152" t="s">
        <v>361</v>
      </c>
      <c r="B152" t="s">
        <v>1722</v>
      </c>
      <c r="C152" t="s">
        <v>134</v>
      </c>
      <c r="D152">
        <v>47</v>
      </c>
      <c r="E152">
        <f ca="1">INDIRECT("'Sheet1'!O18")</f>
        <v>0</v>
      </c>
      <c r="F152" t="b">
        <f t="shared" ca="1" si="7"/>
        <v>0</v>
      </c>
    </row>
    <row r="153" spans="1:6" x14ac:dyDescent="0.25">
      <c r="A153" t="s">
        <v>362</v>
      </c>
      <c r="B153" t="s">
        <v>1727</v>
      </c>
      <c r="C153" t="s">
        <v>135</v>
      </c>
      <c r="D153" s="2" t="s">
        <v>1660</v>
      </c>
      <c r="E153" s="5">
        <f ca="1">INDIRECT("'Sheet1'!P18")</f>
        <v>0</v>
      </c>
      <c r="F153" t="b">
        <f t="shared" ca="1" si="7"/>
        <v>0</v>
      </c>
    </row>
    <row r="155" spans="1:6" x14ac:dyDescent="0.25">
      <c r="A155" t="s">
        <v>363</v>
      </c>
      <c r="B155" t="s">
        <v>1723</v>
      </c>
      <c r="C155" t="s">
        <v>136</v>
      </c>
      <c r="D155">
        <v>47</v>
      </c>
      <c r="E155">
        <f ca="1">INDIRECT("'Sheet1'!Q19")</f>
        <v>0</v>
      </c>
      <c r="F155" t="b">
        <f t="shared" ca="1" si="7"/>
        <v>0</v>
      </c>
    </row>
    <row r="156" spans="1:6" x14ac:dyDescent="0.25">
      <c r="A156" t="s">
        <v>364</v>
      </c>
      <c r="B156" t="s">
        <v>1728</v>
      </c>
      <c r="C156" t="s">
        <v>137</v>
      </c>
      <c r="D156" s="2" t="s">
        <v>1660</v>
      </c>
      <c r="E156" s="5">
        <f ca="1">INDIRECT("'Sheet1'!R19")</f>
        <v>0</v>
      </c>
      <c r="F156" t="b">
        <f t="shared" ca="1" si="7"/>
        <v>0</v>
      </c>
    </row>
    <row r="158" spans="1:6" x14ac:dyDescent="0.25">
      <c r="A158" t="s">
        <v>365</v>
      </c>
      <c r="B158" t="s">
        <v>1709</v>
      </c>
      <c r="C158" t="s">
        <v>128</v>
      </c>
      <c r="D158">
        <v>47</v>
      </c>
      <c r="E158">
        <f ca="1">INDIRECT("'Sheet1'!I20")</f>
        <v>0</v>
      </c>
      <c r="F158" t="b">
        <f t="shared" ca="1" si="7"/>
        <v>0</v>
      </c>
    </row>
    <row r="159" spans="1:6" x14ac:dyDescent="0.25">
      <c r="A159" t="s">
        <v>366</v>
      </c>
      <c r="B159" t="s">
        <v>1676</v>
      </c>
      <c r="C159" t="s">
        <v>129</v>
      </c>
      <c r="D159" s="2" t="s">
        <v>1660</v>
      </c>
      <c r="E159" s="5">
        <f ca="1">INDIRECT("'Sheet1'!J20")</f>
        <v>0</v>
      </c>
      <c r="F159" t="b">
        <f t="shared" ca="1" si="7"/>
        <v>0</v>
      </c>
    </row>
    <row r="160" spans="1:6" x14ac:dyDescent="0.25">
      <c r="A160" t="s">
        <v>367</v>
      </c>
      <c r="B160" t="s">
        <v>1673</v>
      </c>
      <c r="C160" t="s">
        <v>130</v>
      </c>
      <c r="E160">
        <f ca="1">INDIRECT("'Sheet1'!K20")</f>
        <v>0</v>
      </c>
      <c r="F160" t="b">
        <f t="shared" ca="1" si="7"/>
        <v>1</v>
      </c>
    </row>
    <row r="161" spans="1:6" x14ac:dyDescent="0.25">
      <c r="A161" t="s">
        <v>368</v>
      </c>
      <c r="B161" t="s">
        <v>1674</v>
      </c>
      <c r="C161" t="s">
        <v>131</v>
      </c>
      <c r="D161" s="2" t="s">
        <v>1660</v>
      </c>
      <c r="E161" s="5">
        <f ca="1">INDIRECT("'Sheet1'!L20")</f>
        <v>0</v>
      </c>
      <c r="F161" t="b">
        <f t="shared" ca="1" si="7"/>
        <v>0</v>
      </c>
    </row>
    <row r="163" spans="1:6" x14ac:dyDescent="0.25">
      <c r="A163" t="s">
        <v>369</v>
      </c>
      <c r="B163" t="s">
        <v>1710</v>
      </c>
      <c r="C163" t="s">
        <v>128</v>
      </c>
      <c r="D163">
        <v>46</v>
      </c>
      <c r="E163">
        <f ca="1">INDIRECT("'Sheet1'!I21")</f>
        <v>0</v>
      </c>
      <c r="F163" t="b">
        <f t="shared" ca="1" si="7"/>
        <v>0</v>
      </c>
    </row>
    <row r="164" spans="1:6" x14ac:dyDescent="0.25">
      <c r="A164" t="s">
        <v>370</v>
      </c>
      <c r="B164" t="s">
        <v>1678</v>
      </c>
      <c r="C164" t="s">
        <v>129</v>
      </c>
      <c r="D164" s="5" t="s">
        <v>1660</v>
      </c>
      <c r="E164" s="5">
        <f ca="1">INDIRECT("'Sheet1'!J21")</f>
        <v>0</v>
      </c>
      <c r="F164" t="b">
        <f t="shared" ca="1" si="7"/>
        <v>0</v>
      </c>
    </row>
    <row r="165" spans="1:6" x14ac:dyDescent="0.25">
      <c r="A165" t="s">
        <v>371</v>
      </c>
      <c r="B165" t="s">
        <v>1677</v>
      </c>
      <c r="C165" t="s">
        <v>132</v>
      </c>
      <c r="E165">
        <f ca="1">INDIRECT("'Sheet1'!M21")</f>
        <v>0</v>
      </c>
      <c r="F165" t="b">
        <f t="shared" ca="1" si="7"/>
        <v>1</v>
      </c>
    </row>
    <row r="166" spans="1:6" x14ac:dyDescent="0.25">
      <c r="A166" t="s">
        <v>372</v>
      </c>
      <c r="B166" t="s">
        <v>1675</v>
      </c>
      <c r="C166" t="s">
        <v>133</v>
      </c>
      <c r="D166" s="5" t="s">
        <v>1660</v>
      </c>
      <c r="E166" s="5">
        <f ca="1">INDIRECT("'Sheet1'!N21")</f>
        <v>0</v>
      </c>
      <c r="F166" t="b">
        <f t="shared" ca="1" si="7"/>
        <v>0</v>
      </c>
    </row>
    <row r="168" spans="1:6" x14ac:dyDescent="0.25">
      <c r="A168" t="s">
        <v>373</v>
      </c>
      <c r="B168" t="s">
        <v>1711</v>
      </c>
      <c r="C168" t="s">
        <v>132</v>
      </c>
      <c r="D168">
        <v>46</v>
      </c>
      <c r="E168">
        <f ca="1">INDIRECT("'Sheet1'!M22")</f>
        <v>0</v>
      </c>
      <c r="F168" t="b">
        <f t="shared" ca="1" si="7"/>
        <v>0</v>
      </c>
    </row>
    <row r="169" spans="1:6" x14ac:dyDescent="0.25">
      <c r="A169" t="s">
        <v>374</v>
      </c>
      <c r="B169" t="s">
        <v>1681</v>
      </c>
      <c r="C169" t="s">
        <v>133</v>
      </c>
      <c r="D169" s="5" t="s">
        <v>1660</v>
      </c>
      <c r="E169" s="5">
        <f ca="1">INDIRECT("'Sheet1'!N22")</f>
        <v>0</v>
      </c>
      <c r="F169" t="b">
        <f t="shared" ca="1" si="7"/>
        <v>0</v>
      </c>
    </row>
    <row r="170" spans="1:6" x14ac:dyDescent="0.25">
      <c r="A170" t="s">
        <v>375</v>
      </c>
      <c r="B170" t="s">
        <v>1679</v>
      </c>
      <c r="C170" t="s">
        <v>134</v>
      </c>
      <c r="E170">
        <f ca="1">INDIRECT("'Sheet1'!O22")</f>
        <v>0</v>
      </c>
      <c r="F170" t="b">
        <f t="shared" ca="1" si="7"/>
        <v>1</v>
      </c>
    </row>
    <row r="171" spans="1:6" x14ac:dyDescent="0.25">
      <c r="A171" t="s">
        <v>376</v>
      </c>
      <c r="B171" t="s">
        <v>1680</v>
      </c>
      <c r="C171" t="s">
        <v>135</v>
      </c>
      <c r="D171" s="5" t="s">
        <v>1660</v>
      </c>
      <c r="E171" s="5">
        <f ca="1">INDIRECT("'Sheet1'!P22")</f>
        <v>0</v>
      </c>
      <c r="F171" t="b">
        <f t="shared" ca="1" si="7"/>
        <v>0</v>
      </c>
    </row>
    <row r="173" spans="1:6" x14ac:dyDescent="0.25">
      <c r="A173" t="s">
        <v>377</v>
      </c>
      <c r="B173" t="s">
        <v>1712</v>
      </c>
      <c r="C173" t="s">
        <v>130</v>
      </c>
      <c r="D173">
        <v>47</v>
      </c>
      <c r="E173">
        <f ca="1">INDIRECT("'Sheet1'!K23")</f>
        <v>0</v>
      </c>
      <c r="F173" t="b">
        <f t="shared" ca="1" si="7"/>
        <v>0</v>
      </c>
    </row>
    <row r="174" spans="1:6" x14ac:dyDescent="0.25">
      <c r="A174" t="s">
        <v>378</v>
      </c>
      <c r="B174" t="s">
        <v>1682</v>
      </c>
      <c r="C174" t="s">
        <v>131</v>
      </c>
      <c r="D174" s="5" t="s">
        <v>1660</v>
      </c>
      <c r="E174" s="5">
        <f ca="1">INDIRECT("'Sheet1'!L23")</f>
        <v>0</v>
      </c>
      <c r="F174" t="b">
        <f t="shared" ca="1" si="7"/>
        <v>0</v>
      </c>
    </row>
    <row r="175" spans="1:6" x14ac:dyDescent="0.25">
      <c r="A175" t="s">
        <v>380</v>
      </c>
      <c r="B175" t="s">
        <v>1684</v>
      </c>
      <c r="C175" t="s">
        <v>136</v>
      </c>
      <c r="E175">
        <f ca="1">INDIRECT("'Sheet1'!Q23")</f>
        <v>0</v>
      </c>
      <c r="F175" t="b">
        <f t="shared" ca="1" si="7"/>
        <v>1</v>
      </c>
    </row>
    <row r="176" spans="1:6" x14ac:dyDescent="0.25">
      <c r="A176" t="s">
        <v>379</v>
      </c>
      <c r="B176" t="s">
        <v>1683</v>
      </c>
      <c r="C176" t="s">
        <v>137</v>
      </c>
      <c r="D176" s="5" t="s">
        <v>1660</v>
      </c>
      <c r="E176" s="5">
        <f ca="1">INDIRECT("'Sheet1'!R23")</f>
        <v>0</v>
      </c>
      <c r="F176" t="b">
        <f t="shared" ca="1" si="7"/>
        <v>0</v>
      </c>
    </row>
    <row r="178" spans="1:6" x14ac:dyDescent="0.25">
      <c r="A178" t="s">
        <v>381</v>
      </c>
      <c r="B178" t="s">
        <v>1713</v>
      </c>
      <c r="C178" t="s">
        <v>134</v>
      </c>
      <c r="D178">
        <v>46</v>
      </c>
      <c r="E178">
        <f ca="1">INDIRECT("'Sheet1'!O24")</f>
        <v>0</v>
      </c>
      <c r="F178" t="b">
        <f t="shared" ca="1" si="7"/>
        <v>0</v>
      </c>
    </row>
    <row r="179" spans="1:6" x14ac:dyDescent="0.25">
      <c r="A179" t="s">
        <v>382</v>
      </c>
      <c r="B179" t="s">
        <v>1685</v>
      </c>
      <c r="C179" t="s">
        <v>135</v>
      </c>
      <c r="D179" s="5" t="s">
        <v>1660</v>
      </c>
      <c r="E179" s="5">
        <f ca="1">INDIRECT("'Sheet1'!P24")</f>
        <v>0</v>
      </c>
      <c r="F179" t="b">
        <f t="shared" ca="1" si="7"/>
        <v>0</v>
      </c>
    </row>
    <row r="180" spans="1:6" x14ac:dyDescent="0.25">
      <c r="A180" t="s">
        <v>383</v>
      </c>
      <c r="B180" t="s">
        <v>1686</v>
      </c>
      <c r="C180" t="s">
        <v>136</v>
      </c>
      <c r="E180">
        <f ca="1">INDIRECT("'Sheet1'!Q24")</f>
        <v>0</v>
      </c>
      <c r="F180" t="b">
        <f t="shared" ca="1" si="7"/>
        <v>1</v>
      </c>
    </row>
    <row r="181" spans="1:6" x14ac:dyDescent="0.25">
      <c r="A181" t="s">
        <v>384</v>
      </c>
      <c r="B181" t="s">
        <v>1687</v>
      </c>
      <c r="C181" t="s">
        <v>137</v>
      </c>
      <c r="D181" s="5" t="s">
        <v>1660</v>
      </c>
      <c r="E181" s="5">
        <f ca="1">INDIRECT("'Sheet1'!R24")</f>
        <v>0</v>
      </c>
      <c r="F181" t="b">
        <f t="shared" ca="1" si="7"/>
        <v>0</v>
      </c>
    </row>
    <row r="183" spans="1:6" x14ac:dyDescent="0.25">
      <c r="A183" t="s">
        <v>385</v>
      </c>
      <c r="B183" t="s">
        <v>410</v>
      </c>
      <c r="C183" t="s">
        <v>128</v>
      </c>
      <c r="D183">
        <v>45</v>
      </c>
      <c r="E183">
        <f ca="1">INDIRECT("'Sheet1'!I25")</f>
        <v>0</v>
      </c>
      <c r="F183" t="b">
        <f t="shared" ca="1" si="7"/>
        <v>0</v>
      </c>
    </row>
    <row r="184" spans="1:6" x14ac:dyDescent="0.25">
      <c r="A184" t="s">
        <v>386</v>
      </c>
      <c r="B184" t="s">
        <v>1688</v>
      </c>
      <c r="C184" t="s">
        <v>129</v>
      </c>
      <c r="D184" s="5" t="s">
        <v>1660</v>
      </c>
      <c r="E184" s="5">
        <f ca="1">INDIRECT("'Sheet1'!J25")</f>
        <v>0</v>
      </c>
      <c r="F184" t="b">
        <f t="shared" ca="1" si="7"/>
        <v>0</v>
      </c>
    </row>
    <row r="185" spans="1:6" x14ac:dyDescent="0.25">
      <c r="A185" t="s">
        <v>387</v>
      </c>
      <c r="B185" t="s">
        <v>1696</v>
      </c>
      <c r="C185" t="s">
        <v>130</v>
      </c>
      <c r="E185">
        <f ca="1">INDIRECT("'Sheet1'!K25")</f>
        <v>0</v>
      </c>
      <c r="F185" t="b">
        <f t="shared" ca="1" si="7"/>
        <v>1</v>
      </c>
    </row>
    <row r="186" spans="1:6" x14ac:dyDescent="0.25">
      <c r="A186" t="s">
        <v>388</v>
      </c>
      <c r="B186" t="s">
        <v>1689</v>
      </c>
      <c r="C186" t="s">
        <v>131</v>
      </c>
      <c r="D186" s="5" t="s">
        <v>1660</v>
      </c>
      <c r="E186" s="5">
        <f ca="1">INDIRECT("'Sheet1'!L25")</f>
        <v>0</v>
      </c>
      <c r="F186" t="b">
        <f t="shared" ca="1" si="7"/>
        <v>0</v>
      </c>
    </row>
    <row r="187" spans="1:6" x14ac:dyDescent="0.25">
      <c r="A187" t="s">
        <v>389</v>
      </c>
      <c r="B187" t="s">
        <v>1695</v>
      </c>
      <c r="C187" t="s">
        <v>132</v>
      </c>
      <c r="E187">
        <f ca="1">INDIRECT("'Sheet1'!M25")</f>
        <v>0</v>
      </c>
      <c r="F187" t="b">
        <f t="shared" ca="1" si="7"/>
        <v>1</v>
      </c>
    </row>
    <row r="188" spans="1:6" x14ac:dyDescent="0.25">
      <c r="A188" t="s">
        <v>412</v>
      </c>
      <c r="B188" t="s">
        <v>1690</v>
      </c>
      <c r="C188" t="s">
        <v>133</v>
      </c>
      <c r="D188" s="5" t="s">
        <v>1660</v>
      </c>
      <c r="E188" s="5">
        <f ca="1">INDIRECT("'Sheet1'!N25")</f>
        <v>0</v>
      </c>
      <c r="F188" t="b">
        <f t="shared" ref="F188:F192" ca="1" si="8">E188=D188</f>
        <v>0</v>
      </c>
    </row>
    <row r="189" spans="1:6" x14ac:dyDescent="0.25">
      <c r="A189" t="s">
        <v>413</v>
      </c>
      <c r="B189" t="s">
        <v>1694</v>
      </c>
      <c r="C189" t="s">
        <v>134</v>
      </c>
      <c r="E189">
        <f ca="1">INDIRECT("'Sheet1'!O25")</f>
        <v>0</v>
      </c>
      <c r="F189" t="b">
        <f t="shared" ca="1" si="8"/>
        <v>1</v>
      </c>
    </row>
    <row r="190" spans="1:6" x14ac:dyDescent="0.25">
      <c r="A190" t="s">
        <v>414</v>
      </c>
      <c r="B190" t="s">
        <v>1691</v>
      </c>
      <c r="C190" t="s">
        <v>135</v>
      </c>
      <c r="D190" s="5" t="s">
        <v>1660</v>
      </c>
      <c r="E190" s="5">
        <f ca="1">INDIRECT("'Sheet1'!P25")</f>
        <v>0</v>
      </c>
      <c r="F190" t="b">
        <f t="shared" ca="1" si="8"/>
        <v>0</v>
      </c>
    </row>
    <row r="191" spans="1:6" x14ac:dyDescent="0.25">
      <c r="A191" t="s">
        <v>423</v>
      </c>
      <c r="B191" t="s">
        <v>1693</v>
      </c>
      <c r="C191" t="s">
        <v>136</v>
      </c>
      <c r="E191">
        <f ca="1">INDIRECT("'Sheet1'!Q25")</f>
        <v>0</v>
      </c>
      <c r="F191" t="b">
        <f t="shared" ca="1" si="8"/>
        <v>1</v>
      </c>
    </row>
    <row r="192" spans="1:6" x14ac:dyDescent="0.25">
      <c r="A192" t="s">
        <v>424</v>
      </c>
      <c r="B192" t="s">
        <v>1692</v>
      </c>
      <c r="C192" t="s">
        <v>137</v>
      </c>
      <c r="D192" s="5" t="s">
        <v>1660</v>
      </c>
      <c r="E192" s="5">
        <f ca="1">INDIRECT("'Sheet1'!R25")</f>
        <v>0</v>
      </c>
      <c r="F192" t="b">
        <f t="shared" ca="1" si="8"/>
        <v>0</v>
      </c>
    </row>
    <row r="194" spans="1:6" x14ac:dyDescent="0.25">
      <c r="A194" t="s">
        <v>425</v>
      </c>
      <c r="B194" t="s">
        <v>1697</v>
      </c>
      <c r="C194" t="s">
        <v>128</v>
      </c>
      <c r="E194">
        <f ca="1">INDIRECT("'Sheet1'!I26")</f>
        <v>0</v>
      </c>
      <c r="F194" t="b">
        <f t="shared" ref="F194:F203" ca="1" si="9">E194=D194</f>
        <v>1</v>
      </c>
    </row>
    <row r="195" spans="1:6" x14ac:dyDescent="0.25">
      <c r="A195" t="s">
        <v>443</v>
      </c>
      <c r="B195" t="s">
        <v>1704</v>
      </c>
      <c r="C195" t="s">
        <v>129</v>
      </c>
      <c r="D195" s="5"/>
      <c r="E195">
        <f ca="1">INDIRECT("'Sheet1'!J26")</f>
        <v>0</v>
      </c>
      <c r="F195" t="b">
        <f t="shared" ca="1" si="9"/>
        <v>1</v>
      </c>
    </row>
    <row r="196" spans="1:6" x14ac:dyDescent="0.25">
      <c r="A196" t="s">
        <v>444</v>
      </c>
      <c r="B196" t="s">
        <v>1705</v>
      </c>
      <c r="C196" t="s">
        <v>130</v>
      </c>
      <c r="E196">
        <f ca="1">INDIRECT("'Sheet1'!K26")</f>
        <v>0</v>
      </c>
      <c r="F196" t="b">
        <f t="shared" ca="1" si="9"/>
        <v>1</v>
      </c>
    </row>
    <row r="197" spans="1:6" x14ac:dyDescent="0.25">
      <c r="A197" t="s">
        <v>445</v>
      </c>
      <c r="B197" t="s">
        <v>1706</v>
      </c>
      <c r="C197" t="s">
        <v>131</v>
      </c>
      <c r="D197" s="5"/>
      <c r="E197">
        <f ca="1">INDIRECT("'Sheet1'!L26")</f>
        <v>0</v>
      </c>
      <c r="F197" t="b">
        <f t="shared" ca="1" si="9"/>
        <v>1</v>
      </c>
    </row>
    <row r="198" spans="1:6" x14ac:dyDescent="0.25">
      <c r="A198" t="s">
        <v>446</v>
      </c>
      <c r="B198" t="s">
        <v>1698</v>
      </c>
      <c r="C198" t="s">
        <v>132</v>
      </c>
      <c r="E198">
        <f ca="1">INDIRECT("'Sheet1'!M26")</f>
        <v>0</v>
      </c>
      <c r="F198" t="b">
        <f t="shared" ca="1" si="9"/>
        <v>1</v>
      </c>
    </row>
    <row r="199" spans="1:6" x14ac:dyDescent="0.25">
      <c r="A199" t="s">
        <v>447</v>
      </c>
      <c r="B199" t="s">
        <v>1699</v>
      </c>
      <c r="C199" t="s">
        <v>133</v>
      </c>
      <c r="D199" s="5"/>
      <c r="E199">
        <f ca="1">INDIRECT("'Sheet1'!N26")</f>
        <v>0</v>
      </c>
      <c r="F199" t="b">
        <f t="shared" ca="1" si="9"/>
        <v>1</v>
      </c>
    </row>
    <row r="200" spans="1:6" x14ac:dyDescent="0.25">
      <c r="A200" t="s">
        <v>448</v>
      </c>
      <c r="B200" t="s">
        <v>1700</v>
      </c>
      <c r="C200" t="s">
        <v>134</v>
      </c>
      <c r="E200">
        <f ca="1">INDIRECT("'Sheet1'!O26")</f>
        <v>0</v>
      </c>
      <c r="F200" t="b">
        <f t="shared" ca="1" si="9"/>
        <v>1</v>
      </c>
    </row>
    <row r="201" spans="1:6" x14ac:dyDescent="0.25">
      <c r="A201" t="s">
        <v>449</v>
      </c>
      <c r="B201" t="s">
        <v>1701</v>
      </c>
      <c r="C201" t="s">
        <v>135</v>
      </c>
      <c r="D201" s="5"/>
      <c r="E201">
        <f ca="1">INDIRECT("'Sheet1'!P26")</f>
        <v>0</v>
      </c>
      <c r="F201" t="b">
        <f t="shared" ca="1" si="9"/>
        <v>1</v>
      </c>
    </row>
    <row r="202" spans="1:6" x14ac:dyDescent="0.25">
      <c r="A202" t="s">
        <v>450</v>
      </c>
      <c r="B202" t="s">
        <v>1702</v>
      </c>
      <c r="C202" t="s">
        <v>136</v>
      </c>
      <c r="E202">
        <f ca="1">INDIRECT("'Sheet1'!Q26")</f>
        <v>0</v>
      </c>
      <c r="F202" t="b">
        <f t="shared" ca="1" si="9"/>
        <v>1</v>
      </c>
    </row>
    <row r="203" spans="1:6" x14ac:dyDescent="0.25">
      <c r="A203" t="s">
        <v>451</v>
      </c>
      <c r="B203" t="s">
        <v>1703</v>
      </c>
      <c r="C203" t="s">
        <v>137</v>
      </c>
      <c r="D203" s="5"/>
      <c r="E203">
        <f ca="1">INDIRECT("'Sheet1'!R26")</f>
        <v>0</v>
      </c>
      <c r="F203" t="b">
        <f t="shared" ca="1" si="9"/>
        <v>1</v>
      </c>
    </row>
    <row r="205" spans="1:6" x14ac:dyDescent="0.25">
      <c r="A205" t="s">
        <v>462</v>
      </c>
      <c r="B205" t="s">
        <v>1697</v>
      </c>
      <c r="C205" t="s">
        <v>128</v>
      </c>
      <c r="E205">
        <f ca="1">INDIRECT("'Sheet1'!I37")</f>
        <v>0</v>
      </c>
      <c r="F205" t="b">
        <f t="shared" ref="F205:F218" ca="1" si="10">E205=D205</f>
        <v>1</v>
      </c>
    </row>
    <row r="206" spans="1:6" x14ac:dyDescent="0.25">
      <c r="A206" t="s">
        <v>463</v>
      </c>
      <c r="B206" t="s">
        <v>1704</v>
      </c>
      <c r="C206" t="s">
        <v>129</v>
      </c>
      <c r="D206" s="5"/>
      <c r="E206">
        <f ca="1">INDIRECT("'Sheet1'!J37")</f>
        <v>0</v>
      </c>
      <c r="F206" t="b">
        <f t="shared" ca="1" si="10"/>
        <v>1</v>
      </c>
    </row>
    <row r="207" spans="1:6" x14ac:dyDescent="0.25">
      <c r="A207" t="s">
        <v>464</v>
      </c>
      <c r="B207" t="s">
        <v>1707</v>
      </c>
      <c r="C207" t="s">
        <v>130</v>
      </c>
      <c r="E207">
        <f ca="1">INDIRECT("'Sheet1'!K37")</f>
        <v>0</v>
      </c>
      <c r="F207" t="b">
        <f t="shared" ca="1" si="10"/>
        <v>1</v>
      </c>
    </row>
    <row r="208" spans="1:6" x14ac:dyDescent="0.25">
      <c r="A208" t="s">
        <v>465</v>
      </c>
      <c r="B208" t="s">
        <v>1708</v>
      </c>
      <c r="C208" t="s">
        <v>131</v>
      </c>
      <c r="D208" s="5"/>
      <c r="E208">
        <f ca="1">INDIRECT("'Sheet1'!L37")</f>
        <v>0</v>
      </c>
      <c r="F208" t="b">
        <f t="shared" ca="1" si="10"/>
        <v>1</v>
      </c>
    </row>
    <row r="209" spans="1:6" x14ac:dyDescent="0.25">
      <c r="A209" t="s">
        <v>466</v>
      </c>
      <c r="B209" t="s">
        <v>1698</v>
      </c>
      <c r="C209" t="s">
        <v>132</v>
      </c>
      <c r="E209">
        <f ca="1">INDIRECT("'Sheet1'!M37")</f>
        <v>0</v>
      </c>
      <c r="F209" t="b">
        <f t="shared" ca="1" si="10"/>
        <v>1</v>
      </c>
    </row>
    <row r="210" spans="1:6" x14ac:dyDescent="0.25">
      <c r="A210" t="s">
        <v>467</v>
      </c>
      <c r="B210" t="s">
        <v>1699</v>
      </c>
      <c r="C210" t="s">
        <v>133</v>
      </c>
      <c r="D210" s="5"/>
      <c r="E210">
        <f ca="1">INDIRECT("'Sheet1'!N37")</f>
        <v>0</v>
      </c>
      <c r="F210" t="b">
        <f t="shared" ca="1" si="10"/>
        <v>1</v>
      </c>
    </row>
    <row r="211" spans="1:6" x14ac:dyDescent="0.25">
      <c r="A211" t="s">
        <v>468</v>
      </c>
      <c r="B211" t="s">
        <v>1700</v>
      </c>
      <c r="C211" t="s">
        <v>134</v>
      </c>
      <c r="E211">
        <f ca="1">INDIRECT("'Sheet1'!O37")</f>
        <v>0</v>
      </c>
      <c r="F211" t="b">
        <f t="shared" ca="1" si="10"/>
        <v>1</v>
      </c>
    </row>
    <row r="212" spans="1:6" x14ac:dyDescent="0.25">
      <c r="A212" t="s">
        <v>469</v>
      </c>
      <c r="B212" t="s">
        <v>1701</v>
      </c>
      <c r="C212" t="s">
        <v>135</v>
      </c>
      <c r="D212" s="5"/>
      <c r="E212">
        <f ca="1">INDIRECT("'Sheet1'!P37")</f>
        <v>0</v>
      </c>
      <c r="F212" t="b">
        <f t="shared" ca="1" si="10"/>
        <v>1</v>
      </c>
    </row>
    <row r="213" spans="1:6" x14ac:dyDescent="0.25">
      <c r="A213" t="s">
        <v>470</v>
      </c>
      <c r="B213" t="s">
        <v>1702</v>
      </c>
      <c r="C213" t="s">
        <v>136</v>
      </c>
      <c r="E213">
        <f ca="1">INDIRECT("'Sheet1'!Q37")</f>
        <v>0</v>
      </c>
      <c r="F213" t="b">
        <f t="shared" ca="1" si="10"/>
        <v>1</v>
      </c>
    </row>
    <row r="214" spans="1:6" x14ac:dyDescent="0.25">
      <c r="A214" t="s">
        <v>471</v>
      </c>
      <c r="B214" t="s">
        <v>1703</v>
      </c>
      <c r="C214" t="s">
        <v>137</v>
      </c>
      <c r="D214" s="5"/>
      <c r="E214">
        <f ca="1">INDIRECT("'Sheet1'!R37")</f>
        <v>0</v>
      </c>
      <c r="F214" t="b">
        <f t="shared" ca="1" si="10"/>
        <v>1</v>
      </c>
    </row>
    <row r="216" spans="1:6" x14ac:dyDescent="0.25">
      <c r="A216" t="s">
        <v>482</v>
      </c>
      <c r="B216" t="s">
        <v>1729</v>
      </c>
      <c r="C216" t="s">
        <v>138</v>
      </c>
      <c r="D216">
        <v>100.5</v>
      </c>
      <c r="E216">
        <f ca="1">INDIRECT("'Sheet1'!S28")</f>
        <v>0</v>
      </c>
      <c r="F216" t="b">
        <f t="shared" ca="1" si="10"/>
        <v>0</v>
      </c>
    </row>
    <row r="217" spans="1:6" x14ac:dyDescent="0.25">
      <c r="A217" t="s">
        <v>483</v>
      </c>
      <c r="B217" t="s">
        <v>1730</v>
      </c>
      <c r="C217" t="s">
        <v>139</v>
      </c>
      <c r="D217" t="s">
        <v>294</v>
      </c>
      <c r="E217">
        <f ca="1">INDIRECT("'Sheet1'!T28")</f>
        <v>0</v>
      </c>
      <c r="F217" t="b">
        <f t="shared" ca="1" si="10"/>
        <v>0</v>
      </c>
    </row>
    <row r="218" spans="1:6" x14ac:dyDescent="0.25">
      <c r="A218" t="s">
        <v>484</v>
      </c>
      <c r="B218" t="s">
        <v>1731</v>
      </c>
      <c r="C218" t="s">
        <v>140</v>
      </c>
      <c r="D218" s="5" t="s">
        <v>1660</v>
      </c>
      <c r="E218" s="5">
        <f ca="1">INDIRECT("'Sheet1'!U28")</f>
        <v>0</v>
      </c>
      <c r="F218" t="b">
        <f t="shared" ca="1" si="10"/>
        <v>0</v>
      </c>
    </row>
    <row r="220" spans="1:6" x14ac:dyDescent="0.25">
      <c r="A220" t="s">
        <v>486</v>
      </c>
      <c r="B220" t="s">
        <v>1729</v>
      </c>
      <c r="C220" t="s">
        <v>138</v>
      </c>
      <c r="D220">
        <v>200</v>
      </c>
      <c r="E220">
        <f ca="1">INDIRECT("'Sheet1'!S29")</f>
        <v>0</v>
      </c>
      <c r="F220" t="b">
        <f t="shared" ref="F220:F222" ca="1" si="11">E220=D220</f>
        <v>0</v>
      </c>
    </row>
    <row r="221" spans="1:6" x14ac:dyDescent="0.25">
      <c r="A221" t="s">
        <v>487</v>
      </c>
      <c r="B221" t="s">
        <v>1730</v>
      </c>
      <c r="C221" t="s">
        <v>139</v>
      </c>
      <c r="D221" t="s">
        <v>508</v>
      </c>
      <c r="E221">
        <f ca="1">INDIRECT("'Sheet1'!T29")</f>
        <v>0</v>
      </c>
      <c r="F221" t="b">
        <f t="shared" ca="1" si="11"/>
        <v>0</v>
      </c>
    </row>
    <row r="222" spans="1:6" x14ac:dyDescent="0.25">
      <c r="A222" t="s">
        <v>488</v>
      </c>
      <c r="B222" t="s">
        <v>1731</v>
      </c>
      <c r="C222" t="s">
        <v>140</v>
      </c>
      <c r="D222" s="5" t="s">
        <v>1660</v>
      </c>
      <c r="E222" s="5">
        <f ca="1">INDIRECT("'Sheet1'!U29")</f>
        <v>0</v>
      </c>
      <c r="F222" t="b">
        <f t="shared" ca="1" si="11"/>
        <v>0</v>
      </c>
    </row>
    <row r="224" spans="1:6" x14ac:dyDescent="0.25">
      <c r="A224" t="s">
        <v>489</v>
      </c>
      <c r="B224" t="s">
        <v>1732</v>
      </c>
      <c r="C224" t="s">
        <v>141</v>
      </c>
      <c r="D224">
        <v>100.5</v>
      </c>
      <c r="E224">
        <f ca="1">INDIRECT("'Sheet1'!V30")</f>
        <v>0</v>
      </c>
      <c r="F224" t="b">
        <f t="shared" ref="F224:F226" ca="1" si="12">E224=D224</f>
        <v>0</v>
      </c>
    </row>
    <row r="225" spans="1:6" x14ac:dyDescent="0.25">
      <c r="A225" t="s">
        <v>490</v>
      </c>
      <c r="B225" t="s">
        <v>1733</v>
      </c>
      <c r="C225" t="s">
        <v>142</v>
      </c>
      <c r="E225">
        <f ca="1">INDIRECT("'Sheet1'!W30")</f>
        <v>0</v>
      </c>
      <c r="F225" t="b">
        <f t="shared" ca="1" si="12"/>
        <v>1</v>
      </c>
    </row>
    <row r="226" spans="1:6" x14ac:dyDescent="0.25">
      <c r="A226" t="s">
        <v>491</v>
      </c>
      <c r="B226" t="s">
        <v>1734</v>
      </c>
      <c r="C226" t="s">
        <v>143</v>
      </c>
      <c r="D226" s="5" t="s">
        <v>1660</v>
      </c>
      <c r="E226" s="5">
        <f ca="1">INDIRECT("'Sheet1'!X30")</f>
        <v>0</v>
      </c>
      <c r="F226" t="b">
        <f t="shared" ca="1" si="12"/>
        <v>0</v>
      </c>
    </row>
    <row r="228" spans="1:6" x14ac:dyDescent="0.25">
      <c r="A228" t="s">
        <v>492</v>
      </c>
      <c r="B228" t="s">
        <v>1849</v>
      </c>
      <c r="C228" t="s">
        <v>141</v>
      </c>
      <c r="D228" t="s">
        <v>1637</v>
      </c>
      <c r="E228">
        <f ca="1">INDIRECT("'Sheet1'!V31")</f>
        <v>0</v>
      </c>
      <c r="F228" t="b">
        <f t="shared" ref="F228:F265" ca="1" si="13">E228=D228</f>
        <v>0</v>
      </c>
    </row>
    <row r="229" spans="1:6" x14ac:dyDescent="0.25">
      <c r="A229" t="s">
        <v>493</v>
      </c>
      <c r="B229" t="s">
        <v>1735</v>
      </c>
      <c r="C229" t="s">
        <v>142</v>
      </c>
      <c r="D229" t="s">
        <v>294</v>
      </c>
      <c r="E229">
        <f ca="1">INDIRECT("'Sheet1'!W31")</f>
        <v>0</v>
      </c>
      <c r="F229" t="b">
        <f t="shared" ca="1" si="13"/>
        <v>0</v>
      </c>
    </row>
    <row r="230" spans="1:6" x14ac:dyDescent="0.25">
      <c r="A230" t="s">
        <v>494</v>
      </c>
      <c r="B230" t="s">
        <v>1734</v>
      </c>
      <c r="C230" t="s">
        <v>143</v>
      </c>
      <c r="D230" s="5" t="s">
        <v>1660</v>
      </c>
      <c r="E230" s="5">
        <f ca="1">INDIRECT("'Sheet1'!X31")</f>
        <v>0</v>
      </c>
      <c r="F230" t="b">
        <f t="shared" ca="1" si="13"/>
        <v>0</v>
      </c>
    </row>
    <row r="232" spans="1:6" x14ac:dyDescent="0.25">
      <c r="A232" t="s">
        <v>495</v>
      </c>
      <c r="B232" t="s">
        <v>1736</v>
      </c>
      <c r="C232" t="s">
        <v>144</v>
      </c>
      <c r="D232">
        <v>100.5</v>
      </c>
      <c r="E232">
        <f ca="1">INDIRECT("'Sheet1'!Y32")</f>
        <v>0</v>
      </c>
      <c r="F232" t="b">
        <f t="shared" ca="1" si="13"/>
        <v>0</v>
      </c>
    </row>
    <row r="233" spans="1:6" x14ac:dyDescent="0.25">
      <c r="A233" t="s">
        <v>496</v>
      </c>
      <c r="B233" t="s">
        <v>1737</v>
      </c>
      <c r="C233" t="s">
        <v>146</v>
      </c>
      <c r="D233" s="5" t="s">
        <v>1660</v>
      </c>
      <c r="E233" s="5">
        <f ca="1">INDIRECT("'Sheet1'!AA32")</f>
        <v>0</v>
      </c>
      <c r="F233" t="b">
        <f t="shared" ca="1" si="13"/>
        <v>0</v>
      </c>
    </row>
    <row r="235" spans="1:6" x14ac:dyDescent="0.25">
      <c r="A235" t="s">
        <v>509</v>
      </c>
      <c r="B235" s="6" t="s">
        <v>1738</v>
      </c>
      <c r="C235" t="s">
        <v>147</v>
      </c>
      <c r="D235">
        <v>100</v>
      </c>
      <c r="E235">
        <f ca="1">INDIRECT("'Sheet1'!AB33")</f>
        <v>0</v>
      </c>
      <c r="F235" t="b">
        <f t="shared" ca="1" si="13"/>
        <v>0</v>
      </c>
    </row>
    <row r="236" spans="1:6" x14ac:dyDescent="0.25">
      <c r="A236" t="s">
        <v>510</v>
      </c>
      <c r="B236" s="6" t="s">
        <v>1739</v>
      </c>
      <c r="C236" t="s">
        <v>149</v>
      </c>
      <c r="D236" s="5" t="s">
        <v>1660</v>
      </c>
      <c r="E236" s="5">
        <f ca="1">INDIRECT("'Sheet1'!AD33")</f>
        <v>0</v>
      </c>
      <c r="F236" t="b">
        <f t="shared" ca="1" si="13"/>
        <v>0</v>
      </c>
    </row>
    <row r="238" spans="1:6" x14ac:dyDescent="0.25">
      <c r="A238" t="s">
        <v>513</v>
      </c>
      <c r="B238" t="s">
        <v>1740</v>
      </c>
      <c r="C238" t="s">
        <v>150</v>
      </c>
      <c r="D238">
        <v>100</v>
      </c>
      <c r="E238">
        <f ca="1">INDIRECT("'Sheet1'!AE34")</f>
        <v>0</v>
      </c>
      <c r="F238" t="b">
        <f t="shared" ca="1" si="13"/>
        <v>0</v>
      </c>
    </row>
    <row r="239" spans="1:6" x14ac:dyDescent="0.25">
      <c r="A239" t="s">
        <v>514</v>
      </c>
      <c r="B239" t="s">
        <v>1741</v>
      </c>
      <c r="C239" t="s">
        <v>152</v>
      </c>
      <c r="D239" s="5" t="s">
        <v>1660</v>
      </c>
      <c r="E239" s="5">
        <f ca="1">INDIRECT("'Sheet1'!AG34")</f>
        <v>0</v>
      </c>
      <c r="F239" t="b">
        <f t="shared" ca="1" si="13"/>
        <v>0</v>
      </c>
    </row>
    <row r="241" spans="1:6" x14ac:dyDescent="0.25">
      <c r="A241" t="s">
        <v>515</v>
      </c>
      <c r="B241" s="6" t="s">
        <v>1742</v>
      </c>
      <c r="C241" t="s">
        <v>153</v>
      </c>
      <c r="D241">
        <v>100</v>
      </c>
      <c r="E241">
        <f ca="1">INDIRECT("'Sheet1'!AH35")</f>
        <v>0</v>
      </c>
      <c r="F241" t="b">
        <f t="shared" ca="1" si="13"/>
        <v>0</v>
      </c>
    </row>
    <row r="242" spans="1:6" x14ac:dyDescent="0.25">
      <c r="A242" t="s">
        <v>516</v>
      </c>
      <c r="B242" s="6" t="s">
        <v>1743</v>
      </c>
      <c r="C242" t="s">
        <v>155</v>
      </c>
      <c r="D242" s="5" t="s">
        <v>1661</v>
      </c>
      <c r="E242" s="5">
        <f ca="1">INDIRECT("'Sheet1'!AJ35")</f>
        <v>0</v>
      </c>
      <c r="F242" t="b">
        <f t="shared" ca="1" si="13"/>
        <v>0</v>
      </c>
    </row>
    <row r="244" spans="1:6" x14ac:dyDescent="0.25">
      <c r="A244" t="s">
        <v>519</v>
      </c>
      <c r="B244" t="s">
        <v>1744</v>
      </c>
      <c r="C244" t="s">
        <v>156</v>
      </c>
      <c r="D244">
        <v>100</v>
      </c>
      <c r="E244">
        <f ca="1">INDIRECT("'Sheet1'!AK36")</f>
        <v>0</v>
      </c>
      <c r="F244" t="b">
        <f t="shared" ca="1" si="13"/>
        <v>0</v>
      </c>
    </row>
    <row r="245" spans="1:6" x14ac:dyDescent="0.25">
      <c r="A245" t="s">
        <v>520</v>
      </c>
      <c r="B245" t="s">
        <v>1745</v>
      </c>
      <c r="C245" t="s">
        <v>158</v>
      </c>
      <c r="D245" s="5" t="s">
        <v>1662</v>
      </c>
      <c r="E245" s="5">
        <f ca="1">INDIRECT("'Sheet1'!AM36")</f>
        <v>0</v>
      </c>
      <c r="F245" t="b">
        <f t="shared" ca="1" si="13"/>
        <v>0</v>
      </c>
    </row>
    <row r="247" spans="1:6" x14ac:dyDescent="0.25">
      <c r="A247" t="s">
        <v>525</v>
      </c>
      <c r="B247" t="s">
        <v>1746</v>
      </c>
      <c r="C247" t="s">
        <v>144</v>
      </c>
      <c r="D247">
        <v>100</v>
      </c>
      <c r="E247">
        <f ca="1">INDIRECT("'Sheet1'!Y37")</f>
        <v>0</v>
      </c>
      <c r="F247" t="b">
        <f t="shared" ca="1" si="13"/>
        <v>0</v>
      </c>
    </row>
    <row r="248" spans="1:6" x14ac:dyDescent="0.25">
      <c r="A248" t="s">
        <v>526</v>
      </c>
      <c r="B248" t="s">
        <v>1747</v>
      </c>
      <c r="C248" t="s">
        <v>146</v>
      </c>
      <c r="D248" s="5" t="s">
        <v>1660</v>
      </c>
      <c r="E248" s="5">
        <f ca="1">INDIRECT("'Sheet1'!AA37")</f>
        <v>0</v>
      </c>
      <c r="F248" t="b">
        <f t="shared" ca="1" si="13"/>
        <v>0</v>
      </c>
    </row>
    <row r="250" spans="1:6" x14ac:dyDescent="0.25">
      <c r="A250" t="s">
        <v>527</v>
      </c>
      <c r="B250" t="s">
        <v>1748</v>
      </c>
      <c r="C250" t="s">
        <v>147</v>
      </c>
      <c r="E250">
        <f ca="1">INDIRECT("'Sheet1'!AB38")</f>
        <v>0</v>
      </c>
      <c r="F250" t="b">
        <f t="shared" ca="1" si="13"/>
        <v>1</v>
      </c>
    </row>
    <row r="251" spans="1:6" x14ac:dyDescent="0.25">
      <c r="A251" t="s">
        <v>528</v>
      </c>
      <c r="B251" t="s">
        <v>1749</v>
      </c>
      <c r="C251" t="s">
        <v>149</v>
      </c>
      <c r="D251" s="5" t="s">
        <v>1663</v>
      </c>
      <c r="E251" s="5">
        <f ca="1">INDIRECT("'Sheet1'!AD38")</f>
        <v>0</v>
      </c>
      <c r="F251" t="b">
        <f t="shared" ca="1" si="13"/>
        <v>0</v>
      </c>
    </row>
    <row r="253" spans="1:6" x14ac:dyDescent="0.25">
      <c r="A253" t="s">
        <v>529</v>
      </c>
      <c r="B253" t="s">
        <v>1750</v>
      </c>
      <c r="C253" t="s">
        <v>150</v>
      </c>
      <c r="D253">
        <v>100</v>
      </c>
      <c r="E253">
        <f ca="1">INDIRECT("'Sheet1'!AE39")</f>
        <v>0</v>
      </c>
      <c r="F253" t="b">
        <f t="shared" ca="1" si="13"/>
        <v>0</v>
      </c>
    </row>
    <row r="254" spans="1:6" x14ac:dyDescent="0.25">
      <c r="A254" t="s">
        <v>530</v>
      </c>
      <c r="B254" t="s">
        <v>1751</v>
      </c>
      <c r="C254" t="s">
        <v>152</v>
      </c>
      <c r="D254" s="5" t="s">
        <v>1660</v>
      </c>
      <c r="E254" s="5">
        <f ca="1">INDIRECT("'Sheet1'!AG39")</f>
        <v>0</v>
      </c>
      <c r="F254" t="b">
        <f t="shared" ca="1" si="13"/>
        <v>0</v>
      </c>
    </row>
    <row r="256" spans="1:6" x14ac:dyDescent="0.25">
      <c r="A256" t="s">
        <v>531</v>
      </c>
      <c r="B256" t="s">
        <v>1752</v>
      </c>
      <c r="C256" t="s">
        <v>153</v>
      </c>
      <c r="D256">
        <v>100</v>
      </c>
      <c r="E256">
        <f ca="1">INDIRECT("'Sheet1'!AH40")</f>
        <v>0</v>
      </c>
      <c r="F256" t="b">
        <f t="shared" ca="1" si="13"/>
        <v>0</v>
      </c>
    </row>
    <row r="257" spans="1:6" x14ac:dyDescent="0.25">
      <c r="A257" t="s">
        <v>532</v>
      </c>
      <c r="B257" t="s">
        <v>1753</v>
      </c>
      <c r="C257" t="s">
        <v>155</v>
      </c>
      <c r="D257" s="5" t="s">
        <v>1661</v>
      </c>
      <c r="E257" s="5">
        <f ca="1">INDIRECT("'Sheet1'!AJ40")</f>
        <v>0</v>
      </c>
      <c r="F257" t="b">
        <f t="shared" ca="1" si="13"/>
        <v>0</v>
      </c>
    </row>
    <row r="259" spans="1:6" x14ac:dyDescent="0.25">
      <c r="A259" t="s">
        <v>533</v>
      </c>
      <c r="B259" t="s">
        <v>1754</v>
      </c>
      <c r="C259" t="s">
        <v>156</v>
      </c>
      <c r="D259">
        <v>100</v>
      </c>
      <c r="E259">
        <f ca="1">INDIRECT("'Sheet1'!AK41")</f>
        <v>0</v>
      </c>
      <c r="F259" t="b">
        <f t="shared" ca="1" si="13"/>
        <v>0</v>
      </c>
    </row>
    <row r="260" spans="1:6" x14ac:dyDescent="0.25">
      <c r="A260" t="s">
        <v>534</v>
      </c>
      <c r="B260" t="s">
        <v>1755</v>
      </c>
      <c r="C260" t="s">
        <v>158</v>
      </c>
      <c r="D260" s="5" t="s">
        <v>1662</v>
      </c>
      <c r="E260" s="5">
        <f ca="1">INDIRECT("'Sheet1'!AM41")</f>
        <v>0</v>
      </c>
      <c r="F260" t="b">
        <f t="shared" ca="1" si="13"/>
        <v>0</v>
      </c>
    </row>
    <row r="262" spans="1:6" x14ac:dyDescent="0.25">
      <c r="A262" t="s">
        <v>543</v>
      </c>
      <c r="B262" t="s">
        <v>1759</v>
      </c>
      <c r="C262" t="s">
        <v>144</v>
      </c>
      <c r="D262">
        <v>100</v>
      </c>
      <c r="E262">
        <f ca="1">INDIRECT("'Sheet1'!Y42")</f>
        <v>0</v>
      </c>
      <c r="F262" t="b">
        <f t="shared" ca="1" si="13"/>
        <v>0</v>
      </c>
    </row>
    <row r="263" spans="1:6" x14ac:dyDescent="0.25">
      <c r="A263" t="s">
        <v>544</v>
      </c>
      <c r="B263" t="s">
        <v>1756</v>
      </c>
      <c r="C263" t="s">
        <v>146</v>
      </c>
      <c r="D263" s="5" t="s">
        <v>1663</v>
      </c>
      <c r="E263" s="5">
        <f ca="1">INDIRECT("'Sheet1'!AA42")</f>
        <v>0</v>
      </c>
      <c r="F263" t="b">
        <f t="shared" ca="1" si="13"/>
        <v>0</v>
      </c>
    </row>
    <row r="264" spans="1:6" x14ac:dyDescent="0.25">
      <c r="A264" t="s">
        <v>545</v>
      </c>
      <c r="B264" t="s">
        <v>1757</v>
      </c>
      <c r="C264" t="s">
        <v>147</v>
      </c>
      <c r="E264">
        <f ca="1">INDIRECT("'Sheet1'!AB42")</f>
        <v>0</v>
      </c>
      <c r="F264" t="b">
        <f t="shared" ca="1" si="13"/>
        <v>1</v>
      </c>
    </row>
    <row r="265" spans="1:6" x14ac:dyDescent="0.25">
      <c r="A265" t="s">
        <v>546</v>
      </c>
      <c r="B265" t="s">
        <v>1758</v>
      </c>
      <c r="C265" t="s">
        <v>149</v>
      </c>
      <c r="D265" s="5" t="s">
        <v>1663</v>
      </c>
      <c r="E265" s="5">
        <f ca="1">INDIRECT("'Sheet1'!AD42")</f>
        <v>0</v>
      </c>
      <c r="F265" t="b">
        <f t="shared" ca="1" si="13"/>
        <v>0</v>
      </c>
    </row>
    <row r="267" spans="1:6" x14ac:dyDescent="0.25">
      <c r="A267" t="s">
        <v>547</v>
      </c>
      <c r="B267" t="s">
        <v>1760</v>
      </c>
      <c r="C267" t="s">
        <v>144</v>
      </c>
      <c r="D267">
        <v>100</v>
      </c>
      <c r="E267">
        <f ca="1">INDIRECT("'Sheet1'!Y43")</f>
        <v>0</v>
      </c>
      <c r="F267" t="b">
        <f t="shared" ref="F267:F270" ca="1" si="14">E267=D267</f>
        <v>0</v>
      </c>
    </row>
    <row r="268" spans="1:6" x14ac:dyDescent="0.25">
      <c r="A268" t="s">
        <v>548</v>
      </c>
      <c r="B268" t="s">
        <v>1763</v>
      </c>
      <c r="C268" t="s">
        <v>146</v>
      </c>
      <c r="D268" s="5" t="s">
        <v>1660</v>
      </c>
      <c r="E268" s="5">
        <f ca="1">INDIRECT("'Sheet1'!AA43")</f>
        <v>0</v>
      </c>
      <c r="F268" t="b">
        <f t="shared" ca="1" si="14"/>
        <v>0</v>
      </c>
    </row>
    <row r="269" spans="1:6" x14ac:dyDescent="0.25">
      <c r="A269" t="s">
        <v>549</v>
      </c>
      <c r="B269" t="s">
        <v>1761</v>
      </c>
      <c r="C269" t="s">
        <v>153</v>
      </c>
      <c r="E269">
        <f ca="1">INDIRECT("'Sheet1'!AH43")</f>
        <v>0</v>
      </c>
      <c r="F269" t="b">
        <f t="shared" ca="1" si="14"/>
        <v>1</v>
      </c>
    </row>
    <row r="270" spans="1:6" x14ac:dyDescent="0.25">
      <c r="A270" t="s">
        <v>550</v>
      </c>
      <c r="B270" t="s">
        <v>1762</v>
      </c>
      <c r="C270" t="s">
        <v>155</v>
      </c>
      <c r="D270" s="5" t="s">
        <v>1661</v>
      </c>
      <c r="E270" s="5">
        <f ca="1">INDIRECT("'Sheet1'!AJ43")</f>
        <v>0</v>
      </c>
      <c r="F270" t="b">
        <f t="shared" ca="1" si="14"/>
        <v>0</v>
      </c>
    </row>
    <row r="272" spans="1:6" x14ac:dyDescent="0.25">
      <c r="A272" t="s">
        <v>551</v>
      </c>
      <c r="B272" t="s">
        <v>1764</v>
      </c>
      <c r="C272" t="s">
        <v>147</v>
      </c>
      <c r="D272">
        <v>100</v>
      </c>
      <c r="E272">
        <f ca="1">INDIRECT("'Sheet1'!AB44")</f>
        <v>0</v>
      </c>
      <c r="F272" t="b">
        <f t="shared" ref="F272:F275" ca="1" si="15">E272=D272</f>
        <v>0</v>
      </c>
    </row>
    <row r="273" spans="1:6" x14ac:dyDescent="0.25">
      <c r="A273" t="s">
        <v>552</v>
      </c>
      <c r="B273" t="s">
        <v>1765</v>
      </c>
      <c r="C273" t="s">
        <v>149</v>
      </c>
      <c r="D273" s="5" t="s">
        <v>1660</v>
      </c>
      <c r="E273" s="5">
        <f ca="1">INDIRECT("'Sheet1'!AD44")</f>
        <v>0</v>
      </c>
      <c r="F273" t="b">
        <f t="shared" ca="1" si="15"/>
        <v>0</v>
      </c>
    </row>
    <row r="274" spans="1:6" x14ac:dyDescent="0.25">
      <c r="A274" t="s">
        <v>553</v>
      </c>
      <c r="B274" t="s">
        <v>1766</v>
      </c>
      <c r="C274" t="s">
        <v>150</v>
      </c>
      <c r="E274">
        <f ca="1">INDIRECT("'Sheet1'!AE44")</f>
        <v>0</v>
      </c>
      <c r="F274" t="b">
        <f t="shared" ca="1" si="15"/>
        <v>1</v>
      </c>
    </row>
    <row r="275" spans="1:6" x14ac:dyDescent="0.25">
      <c r="A275" t="s">
        <v>554</v>
      </c>
      <c r="B275" t="s">
        <v>1767</v>
      </c>
      <c r="C275" t="s">
        <v>152</v>
      </c>
      <c r="D275" s="5" t="s">
        <v>1660</v>
      </c>
      <c r="E275" s="5">
        <f ca="1">INDIRECT("'Sheet1'!AG44")</f>
        <v>0</v>
      </c>
      <c r="F275" t="b">
        <f t="shared" ca="1" si="15"/>
        <v>0</v>
      </c>
    </row>
    <row r="277" spans="1:6" x14ac:dyDescent="0.25">
      <c r="A277" t="s">
        <v>555</v>
      </c>
      <c r="B277" t="s">
        <v>1768</v>
      </c>
      <c r="C277" t="s">
        <v>150</v>
      </c>
      <c r="D277">
        <v>100</v>
      </c>
      <c r="E277">
        <f ca="1">INDIRECT("'Sheet1'!AE45")</f>
        <v>0</v>
      </c>
      <c r="F277" t="b">
        <f t="shared" ref="F277:F280" ca="1" si="16">E277=D277</f>
        <v>0</v>
      </c>
    </row>
    <row r="278" spans="1:6" x14ac:dyDescent="0.25">
      <c r="A278" t="s">
        <v>556</v>
      </c>
      <c r="B278" t="s">
        <v>1769</v>
      </c>
      <c r="C278" t="s">
        <v>152</v>
      </c>
      <c r="D278" s="5" t="s">
        <v>1660</v>
      </c>
      <c r="E278" s="5">
        <f ca="1">INDIRECT("'Sheet1'!AG45")</f>
        <v>0</v>
      </c>
      <c r="F278" t="b">
        <f t="shared" ca="1" si="16"/>
        <v>0</v>
      </c>
    </row>
    <row r="279" spans="1:6" x14ac:dyDescent="0.25">
      <c r="A279" t="s">
        <v>557</v>
      </c>
      <c r="B279" t="s">
        <v>1770</v>
      </c>
      <c r="C279" t="s">
        <v>156</v>
      </c>
      <c r="E279">
        <f ca="1">INDIRECT("'Sheet1'!AK45")</f>
        <v>0</v>
      </c>
      <c r="F279" t="b">
        <f t="shared" ca="1" si="16"/>
        <v>1</v>
      </c>
    </row>
    <row r="280" spans="1:6" x14ac:dyDescent="0.25">
      <c r="A280" t="s">
        <v>558</v>
      </c>
      <c r="B280" t="s">
        <v>1771</v>
      </c>
      <c r="C280" t="s">
        <v>158</v>
      </c>
      <c r="D280" s="5" t="s">
        <v>1662</v>
      </c>
      <c r="E280" s="5">
        <f ca="1">INDIRECT("'Sheet1'!AM45")</f>
        <v>0</v>
      </c>
      <c r="F280" t="b">
        <f t="shared" ca="1" si="16"/>
        <v>0</v>
      </c>
    </row>
    <row r="282" spans="1:6" x14ac:dyDescent="0.25">
      <c r="A282" t="s">
        <v>559</v>
      </c>
      <c r="B282" t="s">
        <v>1772</v>
      </c>
      <c r="C282" t="s">
        <v>153</v>
      </c>
      <c r="D282">
        <v>100</v>
      </c>
      <c r="E282">
        <f ca="1">INDIRECT("'Sheet1'!AH46")</f>
        <v>0</v>
      </c>
      <c r="F282" t="b">
        <f t="shared" ref="F282:F285" ca="1" si="17">E282=D282</f>
        <v>0</v>
      </c>
    </row>
    <row r="283" spans="1:6" x14ac:dyDescent="0.25">
      <c r="A283" t="s">
        <v>560</v>
      </c>
      <c r="B283" t="s">
        <v>1773</v>
      </c>
      <c r="C283" t="s">
        <v>155</v>
      </c>
      <c r="D283" s="5" t="s">
        <v>1664</v>
      </c>
      <c r="E283" s="5">
        <f ca="1">INDIRECT("'Sheet1'!AJ46")</f>
        <v>0</v>
      </c>
      <c r="F283" t="b">
        <f t="shared" ca="1" si="17"/>
        <v>0</v>
      </c>
    </row>
    <row r="284" spans="1:6" x14ac:dyDescent="0.25">
      <c r="A284" t="s">
        <v>561</v>
      </c>
      <c r="B284" t="s">
        <v>1787</v>
      </c>
      <c r="C284" t="s">
        <v>141</v>
      </c>
      <c r="D284">
        <v>101</v>
      </c>
      <c r="E284">
        <f ca="1">INDIRECT("'Sheet1'!V46")</f>
        <v>0</v>
      </c>
      <c r="F284" t="b">
        <f t="shared" ca="1" si="17"/>
        <v>0</v>
      </c>
    </row>
    <row r="285" spans="1:6" x14ac:dyDescent="0.25">
      <c r="A285" t="s">
        <v>562</v>
      </c>
      <c r="B285" t="s">
        <v>1774</v>
      </c>
      <c r="C285" t="s">
        <v>143</v>
      </c>
      <c r="D285" s="5" t="s">
        <v>1660</v>
      </c>
      <c r="E285" s="5">
        <f ca="1">INDIRECT("'Sheet1'!X46")</f>
        <v>0</v>
      </c>
      <c r="F285" t="b">
        <f t="shared" ca="1" si="17"/>
        <v>0</v>
      </c>
    </row>
    <row r="287" spans="1:6" x14ac:dyDescent="0.25">
      <c r="A287" t="s">
        <v>563</v>
      </c>
      <c r="B287" t="s">
        <v>1775</v>
      </c>
      <c r="C287" t="s">
        <v>156</v>
      </c>
      <c r="D287">
        <v>100</v>
      </c>
      <c r="E287">
        <f ca="1">INDIRECT("'Sheet1'!AK47")</f>
        <v>0</v>
      </c>
      <c r="F287" t="b">
        <f t="shared" ref="F287:F341" ca="1" si="18">E287=D287</f>
        <v>0</v>
      </c>
    </row>
    <row r="288" spans="1:6" x14ac:dyDescent="0.25">
      <c r="A288" t="s">
        <v>564</v>
      </c>
      <c r="B288" t="s">
        <v>1776</v>
      </c>
      <c r="C288" t="s">
        <v>158</v>
      </c>
      <c r="D288" s="5" t="s">
        <v>1665</v>
      </c>
      <c r="E288" s="5">
        <f ca="1">INDIRECT("'Sheet1'!AM47")</f>
        <v>0</v>
      </c>
      <c r="F288" t="b">
        <f t="shared" ca="1" si="18"/>
        <v>0</v>
      </c>
    </row>
    <row r="290" spans="1:6" x14ac:dyDescent="0.25">
      <c r="A290" t="s">
        <v>599</v>
      </c>
      <c r="B290" t="s">
        <v>1777</v>
      </c>
      <c r="C290" t="s">
        <v>138</v>
      </c>
      <c r="D290">
        <v>100</v>
      </c>
      <c r="E290">
        <f ca="1">INDIRECT("'Sheet1'!S48")</f>
        <v>0</v>
      </c>
      <c r="F290" t="b">
        <f t="shared" ca="1" si="18"/>
        <v>0</v>
      </c>
    </row>
    <row r="291" spans="1:6" x14ac:dyDescent="0.25">
      <c r="A291" t="s">
        <v>600</v>
      </c>
      <c r="B291" t="s">
        <v>1778</v>
      </c>
      <c r="C291" t="s">
        <v>140</v>
      </c>
      <c r="D291" s="5" t="s">
        <v>1666</v>
      </c>
      <c r="E291" s="5">
        <f ca="1">INDIRECT("'Sheet1'!U48")</f>
        <v>0</v>
      </c>
      <c r="F291" t="b">
        <f t="shared" ca="1" si="18"/>
        <v>0</v>
      </c>
    </row>
    <row r="292" spans="1:6" x14ac:dyDescent="0.25">
      <c r="A292" t="s">
        <v>601</v>
      </c>
      <c r="B292" t="s">
        <v>1779</v>
      </c>
      <c r="C292" t="s">
        <v>141</v>
      </c>
      <c r="E292">
        <f ca="1">INDIRECT("'Sheet1'!V48")</f>
        <v>0</v>
      </c>
      <c r="F292" t="b">
        <f t="shared" ca="1" si="18"/>
        <v>1</v>
      </c>
    </row>
    <row r="293" spans="1:6" x14ac:dyDescent="0.25">
      <c r="A293" t="s">
        <v>602</v>
      </c>
      <c r="B293" t="s">
        <v>1780</v>
      </c>
      <c r="C293" t="s">
        <v>143</v>
      </c>
      <c r="D293" s="5" t="s">
        <v>1667</v>
      </c>
      <c r="E293" s="5">
        <f ca="1">INDIRECT("'Sheet1'!X48")</f>
        <v>0</v>
      </c>
      <c r="F293" t="b">
        <f t="shared" ca="1" si="18"/>
        <v>0</v>
      </c>
    </row>
    <row r="295" spans="1:6" x14ac:dyDescent="0.25">
      <c r="A295" t="s">
        <v>603</v>
      </c>
      <c r="B295" t="s">
        <v>1781</v>
      </c>
      <c r="C295" t="s">
        <v>138</v>
      </c>
      <c r="D295">
        <v>100</v>
      </c>
      <c r="E295">
        <f ca="1">INDIRECT("'Sheet1'!S49")</f>
        <v>0</v>
      </c>
      <c r="F295" t="b">
        <f t="shared" ca="1" si="18"/>
        <v>0</v>
      </c>
    </row>
    <row r="296" spans="1:6" x14ac:dyDescent="0.25">
      <c r="A296" t="s">
        <v>604</v>
      </c>
      <c r="B296" t="s">
        <v>1782</v>
      </c>
      <c r="C296" t="s">
        <v>140</v>
      </c>
      <c r="D296" s="5" t="s">
        <v>1660</v>
      </c>
      <c r="E296">
        <f ca="1">INDIRECT("'Sheet1'!U49")</f>
        <v>0</v>
      </c>
      <c r="F296" t="b">
        <f t="shared" ca="1" si="18"/>
        <v>0</v>
      </c>
    </row>
    <row r="298" spans="1:6" x14ac:dyDescent="0.25">
      <c r="A298" t="s">
        <v>611</v>
      </c>
      <c r="B298" t="s">
        <v>1783</v>
      </c>
      <c r="C298" t="s">
        <v>138</v>
      </c>
      <c r="D298">
        <v>100</v>
      </c>
      <c r="E298">
        <f ca="1">INDIRECT("'Sheet1'!S50")</f>
        <v>0</v>
      </c>
      <c r="F298" t="b">
        <f t="shared" ca="1" si="18"/>
        <v>0</v>
      </c>
    </row>
    <row r="299" spans="1:6" x14ac:dyDescent="0.25">
      <c r="A299" t="s">
        <v>612</v>
      </c>
      <c r="B299" t="s">
        <v>1784</v>
      </c>
      <c r="C299" t="s">
        <v>140</v>
      </c>
      <c r="D299" s="5" t="s">
        <v>1666</v>
      </c>
      <c r="E299" s="5">
        <f ca="1">INDIRECT("'Sheet1'!U50")</f>
        <v>0</v>
      </c>
      <c r="F299" t="b">
        <f t="shared" ca="1" si="18"/>
        <v>0</v>
      </c>
    </row>
    <row r="300" spans="1:6" x14ac:dyDescent="0.25">
      <c r="A300" t="s">
        <v>613</v>
      </c>
      <c r="B300" t="s">
        <v>1786</v>
      </c>
      <c r="C300" t="s">
        <v>141</v>
      </c>
      <c r="E300" s="5">
        <f ca="1">INDIRECT("'Sheet1'!V50")</f>
        <v>0</v>
      </c>
      <c r="F300" t="b">
        <f t="shared" ca="1" si="18"/>
        <v>1</v>
      </c>
    </row>
    <row r="301" spans="1:6" x14ac:dyDescent="0.25">
      <c r="A301" t="s">
        <v>614</v>
      </c>
      <c r="B301" t="s">
        <v>1785</v>
      </c>
      <c r="C301" t="s">
        <v>143</v>
      </c>
      <c r="D301" s="5" t="s">
        <v>1667</v>
      </c>
      <c r="E301" s="5">
        <f ca="1">INDIRECT("'Sheet1'!X50")</f>
        <v>0</v>
      </c>
      <c r="F301" t="b">
        <f t="shared" ca="1" si="18"/>
        <v>0</v>
      </c>
    </row>
    <row r="302" spans="1:6" x14ac:dyDescent="0.25">
      <c r="A302" t="s">
        <v>615</v>
      </c>
      <c r="B302" t="s">
        <v>1788</v>
      </c>
      <c r="C302" t="s">
        <v>144</v>
      </c>
      <c r="E302">
        <f ca="1">INDIRECT("'Sheet1'!Y50")</f>
        <v>0</v>
      </c>
      <c r="F302" t="b">
        <f t="shared" ca="1" si="18"/>
        <v>1</v>
      </c>
    </row>
    <row r="303" spans="1:6" x14ac:dyDescent="0.25">
      <c r="A303" t="s">
        <v>616</v>
      </c>
      <c r="B303" t="s">
        <v>1789</v>
      </c>
      <c r="C303" t="s">
        <v>146</v>
      </c>
      <c r="D303" s="5" t="s">
        <v>1667</v>
      </c>
      <c r="E303" s="5">
        <f ca="1">INDIRECT("'Sheet1'!AA50")</f>
        <v>0</v>
      </c>
      <c r="F303" t="b">
        <f t="shared" ca="1" si="18"/>
        <v>0</v>
      </c>
    </row>
    <row r="304" spans="1:6" x14ac:dyDescent="0.25">
      <c r="A304" t="s">
        <v>617</v>
      </c>
      <c r="B304" t="s">
        <v>1790</v>
      </c>
      <c r="C304" t="s">
        <v>147</v>
      </c>
      <c r="D304">
        <v>103</v>
      </c>
      <c r="E304">
        <f ca="1">INDIRECT("'Sheet1'!AB50")</f>
        <v>0</v>
      </c>
      <c r="F304" t="b">
        <f t="shared" ca="1" si="18"/>
        <v>0</v>
      </c>
    </row>
    <row r="305" spans="1:6" x14ac:dyDescent="0.25">
      <c r="A305" t="s">
        <v>618</v>
      </c>
      <c r="B305" t="s">
        <v>1791</v>
      </c>
      <c r="C305" t="s">
        <v>149</v>
      </c>
      <c r="D305" s="5" t="s">
        <v>1666</v>
      </c>
      <c r="E305" s="5">
        <f ca="1">INDIRECT("'Sheet1'!AD50")</f>
        <v>0</v>
      </c>
      <c r="F305" t="b">
        <f t="shared" ca="1" si="18"/>
        <v>0</v>
      </c>
    </row>
    <row r="306" spans="1:6" x14ac:dyDescent="0.25">
      <c r="A306" t="s">
        <v>619</v>
      </c>
      <c r="B306" t="s">
        <v>1792</v>
      </c>
      <c r="C306" t="s">
        <v>150</v>
      </c>
      <c r="E306">
        <f ca="1">INDIRECT("'Sheet1'!AE50")</f>
        <v>0</v>
      </c>
      <c r="F306" t="b">
        <f t="shared" ca="1" si="18"/>
        <v>1</v>
      </c>
    </row>
    <row r="307" spans="1:6" x14ac:dyDescent="0.25">
      <c r="A307" t="s">
        <v>620</v>
      </c>
      <c r="B307" t="s">
        <v>1793</v>
      </c>
      <c r="C307" t="s">
        <v>152</v>
      </c>
      <c r="D307" s="5" t="s">
        <v>1660</v>
      </c>
      <c r="E307" s="5">
        <f ca="1">INDIRECT("'Sheet1'!AG50")</f>
        <v>0</v>
      </c>
      <c r="F307" t="b">
        <f t="shared" ca="1" si="18"/>
        <v>0</v>
      </c>
    </row>
    <row r="308" spans="1:6" x14ac:dyDescent="0.25">
      <c r="A308" t="s">
        <v>621</v>
      </c>
      <c r="B308" t="s">
        <v>1794</v>
      </c>
      <c r="C308" t="s">
        <v>153</v>
      </c>
      <c r="E308">
        <f ca="1">INDIRECT("'Sheet1'!AH50")</f>
        <v>0</v>
      </c>
      <c r="F308" t="b">
        <f t="shared" ca="1" si="18"/>
        <v>1</v>
      </c>
    </row>
    <row r="309" spans="1:6" x14ac:dyDescent="0.25">
      <c r="A309" t="s">
        <v>622</v>
      </c>
      <c r="B309" t="s">
        <v>1795</v>
      </c>
      <c r="C309" t="s">
        <v>155</v>
      </c>
      <c r="D309" s="5" t="s">
        <v>1664</v>
      </c>
      <c r="E309" s="5">
        <f ca="1">INDIRECT("'Sheet1'!AJ50")</f>
        <v>0</v>
      </c>
      <c r="F309" t="b">
        <f t="shared" ca="1" si="18"/>
        <v>0</v>
      </c>
    </row>
    <row r="310" spans="1:6" x14ac:dyDescent="0.25">
      <c r="A310" t="s">
        <v>623</v>
      </c>
      <c r="B310" t="s">
        <v>1797</v>
      </c>
      <c r="C310" t="s">
        <v>156</v>
      </c>
      <c r="E310">
        <f ca="1">INDIRECT("'Sheet1'!AK50")</f>
        <v>0</v>
      </c>
      <c r="F310" t="b">
        <f t="shared" ca="1" si="18"/>
        <v>1</v>
      </c>
    </row>
    <row r="311" spans="1:6" x14ac:dyDescent="0.25">
      <c r="A311" t="s">
        <v>624</v>
      </c>
      <c r="B311" t="s">
        <v>1796</v>
      </c>
      <c r="C311" t="s">
        <v>158</v>
      </c>
      <c r="D311" s="5" t="s">
        <v>1662</v>
      </c>
      <c r="E311" s="5">
        <f ca="1">INDIRECT("'Sheet1'!AM50")</f>
        <v>0</v>
      </c>
      <c r="F311" t="b">
        <f t="shared" ca="1" si="18"/>
        <v>0</v>
      </c>
    </row>
    <row r="313" spans="1:6" x14ac:dyDescent="0.25">
      <c r="A313" t="s">
        <v>645</v>
      </c>
      <c r="B313" t="s">
        <v>659</v>
      </c>
      <c r="C313" t="s">
        <v>138</v>
      </c>
      <c r="E313">
        <f ca="1">INDIRECT("'Sheet1'!S51")</f>
        <v>0</v>
      </c>
      <c r="F313" t="b">
        <f t="shared" ca="1" si="18"/>
        <v>1</v>
      </c>
    </row>
    <row r="314" spans="1:6" x14ac:dyDescent="0.25">
      <c r="A314" t="s">
        <v>646</v>
      </c>
      <c r="B314" t="s">
        <v>660</v>
      </c>
      <c r="C314" t="s">
        <v>140</v>
      </c>
      <c r="E314" s="5">
        <f ca="1">INDIRECT("'Sheet1'!U51")</f>
        <v>0</v>
      </c>
      <c r="F314" t="b">
        <f t="shared" ca="1" si="18"/>
        <v>1</v>
      </c>
    </row>
    <row r="315" spans="1:6" x14ac:dyDescent="0.25">
      <c r="A315" t="s">
        <v>647</v>
      </c>
      <c r="B315" t="s">
        <v>661</v>
      </c>
      <c r="C315" t="s">
        <v>141</v>
      </c>
      <c r="E315">
        <f ca="1">INDIRECT("'Sheet1'!V51")</f>
        <v>0</v>
      </c>
      <c r="F315" t="b">
        <f t="shared" ca="1" si="18"/>
        <v>1</v>
      </c>
    </row>
    <row r="316" spans="1:6" x14ac:dyDescent="0.25">
      <c r="A316" t="s">
        <v>648</v>
      </c>
      <c r="B316" t="s">
        <v>662</v>
      </c>
      <c r="C316" t="s">
        <v>143</v>
      </c>
      <c r="E316" s="5">
        <f ca="1">INDIRECT("'Sheet1'!X51")</f>
        <v>0</v>
      </c>
      <c r="F316" t="b">
        <f t="shared" ca="1" si="18"/>
        <v>1</v>
      </c>
    </row>
    <row r="317" spans="1:6" x14ac:dyDescent="0.25">
      <c r="A317" t="s">
        <v>649</v>
      </c>
      <c r="B317" t="s">
        <v>663</v>
      </c>
      <c r="C317" t="s">
        <v>144</v>
      </c>
      <c r="E317">
        <f ca="1">INDIRECT("'Sheet1'!Y51")</f>
        <v>0</v>
      </c>
      <c r="F317" t="b">
        <f t="shared" ca="1" si="18"/>
        <v>1</v>
      </c>
    </row>
    <row r="318" spans="1:6" x14ac:dyDescent="0.25">
      <c r="A318" t="s">
        <v>650</v>
      </c>
      <c r="B318" t="s">
        <v>664</v>
      </c>
      <c r="C318" t="s">
        <v>146</v>
      </c>
      <c r="E318" s="5">
        <f ca="1">INDIRECT("'Sheet1'!AA51")</f>
        <v>0</v>
      </c>
      <c r="F318" t="b">
        <f t="shared" ca="1" si="18"/>
        <v>1</v>
      </c>
    </row>
    <row r="319" spans="1:6" x14ac:dyDescent="0.25">
      <c r="A319" t="s">
        <v>651</v>
      </c>
      <c r="B319" t="s">
        <v>665</v>
      </c>
      <c r="C319" t="s">
        <v>147</v>
      </c>
      <c r="E319">
        <f ca="1">INDIRECT("'Sheet1'!AB51")</f>
        <v>0</v>
      </c>
      <c r="F319" t="b">
        <f t="shared" ca="1" si="18"/>
        <v>1</v>
      </c>
    </row>
    <row r="320" spans="1:6" x14ac:dyDescent="0.25">
      <c r="A320" t="s">
        <v>652</v>
      </c>
      <c r="B320" t="s">
        <v>666</v>
      </c>
      <c r="C320" t="s">
        <v>149</v>
      </c>
      <c r="E320" s="5">
        <f ca="1">INDIRECT("'Sheet1'!AD51")</f>
        <v>0</v>
      </c>
      <c r="F320" t="b">
        <f t="shared" ca="1" si="18"/>
        <v>1</v>
      </c>
    </row>
    <row r="321" spans="1:6" x14ac:dyDescent="0.25">
      <c r="A321" t="s">
        <v>653</v>
      </c>
      <c r="B321" t="s">
        <v>667</v>
      </c>
      <c r="C321" t="s">
        <v>150</v>
      </c>
      <c r="E321">
        <f ca="1">INDIRECT("'Sheet1'!AE51")</f>
        <v>0</v>
      </c>
      <c r="F321" t="b">
        <f t="shared" ca="1" si="18"/>
        <v>1</v>
      </c>
    </row>
    <row r="322" spans="1:6" x14ac:dyDescent="0.25">
      <c r="A322" t="s">
        <v>654</v>
      </c>
      <c r="B322" t="s">
        <v>668</v>
      </c>
      <c r="C322" t="s">
        <v>152</v>
      </c>
      <c r="E322" s="5">
        <f ca="1">INDIRECT("'Sheet1'!AG51")</f>
        <v>0</v>
      </c>
      <c r="F322" t="b">
        <f t="shared" ca="1" si="18"/>
        <v>1</v>
      </c>
    </row>
    <row r="323" spans="1:6" x14ac:dyDescent="0.25">
      <c r="A323" t="s">
        <v>655</v>
      </c>
      <c r="B323" t="s">
        <v>669</v>
      </c>
      <c r="C323" t="s">
        <v>153</v>
      </c>
      <c r="E323">
        <f ca="1">INDIRECT("'Sheet1'!AH51")</f>
        <v>0</v>
      </c>
      <c r="F323" t="b">
        <f t="shared" ca="1" si="18"/>
        <v>1</v>
      </c>
    </row>
    <row r="324" spans="1:6" x14ac:dyDescent="0.25">
      <c r="A324" t="s">
        <v>656</v>
      </c>
      <c r="B324" t="s">
        <v>670</v>
      </c>
      <c r="C324" t="s">
        <v>155</v>
      </c>
      <c r="E324" s="5">
        <f ca="1">INDIRECT("'Sheet1'!AJ51")</f>
        <v>0</v>
      </c>
      <c r="F324" t="b">
        <f t="shared" ca="1" si="18"/>
        <v>1</v>
      </c>
    </row>
    <row r="325" spans="1:6" x14ac:dyDescent="0.25">
      <c r="A325" t="s">
        <v>657</v>
      </c>
      <c r="B325" t="s">
        <v>706</v>
      </c>
      <c r="C325" t="s">
        <v>156</v>
      </c>
      <c r="E325">
        <f ca="1">INDIRECT("'Sheet1'!AK51")</f>
        <v>0</v>
      </c>
      <c r="F325" t="b">
        <f t="shared" ca="1" si="18"/>
        <v>1</v>
      </c>
    </row>
    <row r="326" spans="1:6" x14ac:dyDescent="0.25">
      <c r="A326" t="s">
        <v>658</v>
      </c>
      <c r="B326" t="s">
        <v>705</v>
      </c>
      <c r="C326" t="s">
        <v>158</v>
      </c>
      <c r="E326" s="5">
        <f ca="1">INDIRECT("'Sheet1'!AM51")</f>
        <v>0</v>
      </c>
      <c r="F326" t="b">
        <f t="shared" ca="1" si="18"/>
        <v>1</v>
      </c>
    </row>
    <row r="328" spans="1:6" x14ac:dyDescent="0.25">
      <c r="A328" t="s">
        <v>671</v>
      </c>
      <c r="B328" t="s">
        <v>1798</v>
      </c>
      <c r="C328" t="s">
        <v>138</v>
      </c>
      <c r="E328">
        <f ca="1">INDIRECT("'Sheet1'!S52")</f>
        <v>0</v>
      </c>
      <c r="F328" t="b">
        <f t="shared" ca="1" si="18"/>
        <v>1</v>
      </c>
    </row>
    <row r="329" spans="1:6" x14ac:dyDescent="0.25">
      <c r="A329" t="s">
        <v>672</v>
      </c>
      <c r="B329" t="s">
        <v>1799</v>
      </c>
      <c r="C329" t="s">
        <v>140</v>
      </c>
      <c r="E329">
        <f ca="1">INDIRECT("'Sheet1'!U52")</f>
        <v>0</v>
      </c>
      <c r="F329" t="b">
        <f t="shared" ca="1" si="18"/>
        <v>1</v>
      </c>
    </row>
    <row r="330" spans="1:6" x14ac:dyDescent="0.25">
      <c r="A330" t="s">
        <v>673</v>
      </c>
      <c r="B330" t="s">
        <v>1800</v>
      </c>
      <c r="C330" t="s">
        <v>141</v>
      </c>
      <c r="E330">
        <f ca="1">INDIRECT("'Sheet1'!V52")</f>
        <v>0</v>
      </c>
      <c r="F330" t="b">
        <f t="shared" ca="1" si="18"/>
        <v>1</v>
      </c>
    </row>
    <row r="331" spans="1:6" x14ac:dyDescent="0.25">
      <c r="A331" t="s">
        <v>674</v>
      </c>
      <c r="B331" t="s">
        <v>1801</v>
      </c>
      <c r="C331" t="s">
        <v>143</v>
      </c>
      <c r="E331">
        <f ca="1">INDIRECT("'Sheet1'!X52")</f>
        <v>0</v>
      </c>
      <c r="F331" t="b">
        <f t="shared" ca="1" si="18"/>
        <v>1</v>
      </c>
    </row>
    <row r="332" spans="1:6" x14ac:dyDescent="0.25">
      <c r="A332" t="s">
        <v>675</v>
      </c>
      <c r="B332" t="s">
        <v>1802</v>
      </c>
      <c r="C332" t="s">
        <v>144</v>
      </c>
      <c r="E332">
        <f ca="1">INDIRECT("'Sheet1'!Y52")</f>
        <v>0</v>
      </c>
      <c r="F332" t="b">
        <f t="shared" ca="1" si="18"/>
        <v>1</v>
      </c>
    </row>
    <row r="333" spans="1:6" x14ac:dyDescent="0.25">
      <c r="A333" t="s">
        <v>676</v>
      </c>
      <c r="B333" t="s">
        <v>1803</v>
      </c>
      <c r="C333" t="s">
        <v>146</v>
      </c>
      <c r="E333">
        <f ca="1">INDIRECT("'Sheet1'!AA52")</f>
        <v>0</v>
      </c>
      <c r="F333" t="b">
        <f t="shared" ca="1" si="18"/>
        <v>1</v>
      </c>
    </row>
    <row r="334" spans="1:6" x14ac:dyDescent="0.25">
      <c r="A334" t="s">
        <v>677</v>
      </c>
      <c r="B334" t="s">
        <v>1804</v>
      </c>
      <c r="C334" t="s">
        <v>147</v>
      </c>
      <c r="E334">
        <f ca="1">INDIRECT("'Sheet1'!AB52")</f>
        <v>0</v>
      </c>
      <c r="F334" t="b">
        <f t="shared" ca="1" si="18"/>
        <v>1</v>
      </c>
    </row>
    <row r="335" spans="1:6" x14ac:dyDescent="0.25">
      <c r="A335" t="s">
        <v>678</v>
      </c>
      <c r="B335" t="s">
        <v>1805</v>
      </c>
      <c r="C335" t="s">
        <v>149</v>
      </c>
      <c r="E335">
        <f ca="1">INDIRECT("'Sheet1'!AD52")</f>
        <v>0</v>
      </c>
      <c r="F335" t="b">
        <f t="shared" ca="1" si="18"/>
        <v>1</v>
      </c>
    </row>
    <row r="336" spans="1:6" x14ac:dyDescent="0.25">
      <c r="A336" t="s">
        <v>679</v>
      </c>
      <c r="B336" t="s">
        <v>1806</v>
      </c>
      <c r="C336" t="s">
        <v>150</v>
      </c>
      <c r="E336">
        <f ca="1">INDIRECT("'Sheet1'!AE52")</f>
        <v>0</v>
      </c>
      <c r="F336" t="b">
        <f t="shared" ca="1" si="18"/>
        <v>1</v>
      </c>
    </row>
    <row r="337" spans="1:6" x14ac:dyDescent="0.25">
      <c r="A337" t="s">
        <v>680</v>
      </c>
      <c r="B337" t="s">
        <v>1807</v>
      </c>
      <c r="C337" t="s">
        <v>152</v>
      </c>
      <c r="E337">
        <f ca="1">INDIRECT("'Sheet1'!AG52")</f>
        <v>0</v>
      </c>
      <c r="F337" t="b">
        <f t="shared" ca="1" si="18"/>
        <v>1</v>
      </c>
    </row>
    <row r="338" spans="1:6" x14ac:dyDescent="0.25">
      <c r="A338" t="s">
        <v>681</v>
      </c>
      <c r="B338" t="s">
        <v>1808</v>
      </c>
      <c r="C338" t="s">
        <v>153</v>
      </c>
      <c r="E338">
        <f ca="1">INDIRECT("'Sheet1'!AH52")</f>
        <v>0</v>
      </c>
      <c r="F338" t="b">
        <f t="shared" ca="1" si="18"/>
        <v>1</v>
      </c>
    </row>
    <row r="339" spans="1:6" x14ac:dyDescent="0.25">
      <c r="A339" t="s">
        <v>682</v>
      </c>
      <c r="B339" t="s">
        <v>1809</v>
      </c>
      <c r="C339" t="s">
        <v>155</v>
      </c>
      <c r="E339">
        <f ca="1">INDIRECT("'Sheet1'!AJ52")</f>
        <v>0</v>
      </c>
      <c r="F339" t="b">
        <f t="shared" ca="1" si="18"/>
        <v>1</v>
      </c>
    </row>
    <row r="340" spans="1:6" x14ac:dyDescent="0.25">
      <c r="A340" t="s">
        <v>683</v>
      </c>
      <c r="B340" t="s">
        <v>1810</v>
      </c>
      <c r="C340" t="s">
        <v>156</v>
      </c>
      <c r="E340">
        <f ca="1">INDIRECT("'Sheet1'!AK52")</f>
        <v>0</v>
      </c>
      <c r="F340" t="b">
        <f t="shared" ca="1" si="18"/>
        <v>1</v>
      </c>
    </row>
    <row r="341" spans="1:6" x14ac:dyDescent="0.25">
      <c r="A341" t="s">
        <v>684</v>
      </c>
      <c r="B341" t="s">
        <v>1811</v>
      </c>
      <c r="C341" t="s">
        <v>158</v>
      </c>
      <c r="E341">
        <f ca="1">INDIRECT("'Sheet1'!AM52")</f>
        <v>0</v>
      </c>
      <c r="F341" t="b">
        <f t="shared" ca="1" si="18"/>
        <v>1</v>
      </c>
    </row>
    <row r="343" spans="1:6" x14ac:dyDescent="0.25">
      <c r="A343" t="s">
        <v>721</v>
      </c>
      <c r="B343" t="s">
        <v>1812</v>
      </c>
      <c r="C343" t="s">
        <v>138</v>
      </c>
      <c r="D343">
        <v>100</v>
      </c>
      <c r="E343">
        <f ca="1">INDIRECT("'Sheet1'!S53")</f>
        <v>0</v>
      </c>
      <c r="F343" t="b">
        <f t="shared" ref="F343:F356" ca="1" si="19">E343=D343</f>
        <v>0</v>
      </c>
    </row>
    <row r="344" spans="1:6" x14ac:dyDescent="0.25">
      <c r="A344" t="s">
        <v>722</v>
      </c>
      <c r="B344" t="s">
        <v>1813</v>
      </c>
      <c r="C344" t="s">
        <v>140</v>
      </c>
      <c r="D344" s="5" t="s">
        <v>1666</v>
      </c>
      <c r="E344" s="5">
        <f ca="1">INDIRECT("'Sheet1'!U53")</f>
        <v>0</v>
      </c>
      <c r="F344" t="b">
        <f t="shared" ca="1" si="19"/>
        <v>0</v>
      </c>
    </row>
    <row r="345" spans="1:6" x14ac:dyDescent="0.25">
      <c r="A345" t="s">
        <v>723</v>
      </c>
      <c r="B345" t="s">
        <v>1814</v>
      </c>
      <c r="C345" t="s">
        <v>141</v>
      </c>
      <c r="E345">
        <f ca="1">INDIRECT("'Sheet1'!V53")</f>
        <v>0</v>
      </c>
      <c r="F345" t="b">
        <f t="shared" ca="1" si="19"/>
        <v>1</v>
      </c>
    </row>
    <row r="346" spans="1:6" x14ac:dyDescent="0.25">
      <c r="A346" t="s">
        <v>724</v>
      </c>
      <c r="B346" t="s">
        <v>1816</v>
      </c>
      <c r="C346" t="s">
        <v>143</v>
      </c>
      <c r="D346" s="5" t="s">
        <v>1667</v>
      </c>
      <c r="E346" s="5">
        <f ca="1">INDIRECT("'Sheet1'!X53")</f>
        <v>0</v>
      </c>
      <c r="F346" t="b">
        <f t="shared" ca="1" si="19"/>
        <v>0</v>
      </c>
    </row>
    <row r="347" spans="1:6" x14ac:dyDescent="0.25">
      <c r="A347" t="s">
        <v>725</v>
      </c>
      <c r="B347" t="s">
        <v>1817</v>
      </c>
      <c r="C347" t="s">
        <v>144</v>
      </c>
      <c r="E347">
        <f ca="1">INDIRECT("'Sheet1'!Y53")</f>
        <v>0</v>
      </c>
      <c r="F347" t="b">
        <f t="shared" ca="1" si="19"/>
        <v>1</v>
      </c>
    </row>
    <row r="348" spans="1:6" x14ac:dyDescent="0.25">
      <c r="A348" t="s">
        <v>726</v>
      </c>
      <c r="B348" t="s">
        <v>1818</v>
      </c>
      <c r="C348" t="s">
        <v>146</v>
      </c>
      <c r="D348" s="5" t="s">
        <v>1667</v>
      </c>
      <c r="E348" s="5">
        <f ca="1">INDIRECT("'Sheet1'!AA53")</f>
        <v>0</v>
      </c>
      <c r="F348" t="b">
        <f t="shared" ca="1" si="19"/>
        <v>0</v>
      </c>
    </row>
    <row r="349" spans="1:6" x14ac:dyDescent="0.25">
      <c r="A349" t="s">
        <v>727</v>
      </c>
      <c r="B349" t="s">
        <v>1819</v>
      </c>
      <c r="C349" t="s">
        <v>147</v>
      </c>
      <c r="D349">
        <v>103</v>
      </c>
      <c r="E349">
        <f ca="1">INDIRECT("'Sheet1'!AB53")</f>
        <v>0</v>
      </c>
      <c r="F349" t="b">
        <f t="shared" ca="1" si="19"/>
        <v>0</v>
      </c>
    </row>
    <row r="350" spans="1:6" x14ac:dyDescent="0.25">
      <c r="A350" t="s">
        <v>728</v>
      </c>
      <c r="B350" t="s">
        <v>1820</v>
      </c>
      <c r="C350" t="s">
        <v>149</v>
      </c>
      <c r="D350" s="5" t="s">
        <v>1666</v>
      </c>
      <c r="E350" s="5">
        <f ca="1">INDIRECT("'Sheet1'!AD53")</f>
        <v>0</v>
      </c>
      <c r="F350" t="b">
        <f t="shared" ca="1" si="19"/>
        <v>0</v>
      </c>
    </row>
    <row r="351" spans="1:6" x14ac:dyDescent="0.25">
      <c r="A351" t="s">
        <v>729</v>
      </c>
      <c r="B351" t="s">
        <v>1815</v>
      </c>
      <c r="C351" t="s">
        <v>150</v>
      </c>
      <c r="E351">
        <f ca="1">INDIRECT("'Sheet1'!AE53")</f>
        <v>0</v>
      </c>
      <c r="F351" t="b">
        <f t="shared" ca="1" si="19"/>
        <v>1</v>
      </c>
    </row>
    <row r="352" spans="1:6" x14ac:dyDescent="0.25">
      <c r="A352" t="s">
        <v>730</v>
      </c>
      <c r="B352" t="s">
        <v>1823</v>
      </c>
      <c r="C352" t="s">
        <v>152</v>
      </c>
      <c r="D352" s="5" t="s">
        <v>1660</v>
      </c>
      <c r="E352" s="5">
        <f ca="1">INDIRECT("'Sheet1'!AG53")</f>
        <v>0</v>
      </c>
      <c r="F352" t="b">
        <f t="shared" ca="1" si="19"/>
        <v>0</v>
      </c>
    </row>
    <row r="353" spans="1:6" x14ac:dyDescent="0.25">
      <c r="A353" t="s">
        <v>731</v>
      </c>
      <c r="B353" t="s">
        <v>1822</v>
      </c>
      <c r="C353" t="s">
        <v>153</v>
      </c>
      <c r="E353">
        <f ca="1">INDIRECT("'Sheet1'!AH53")</f>
        <v>0</v>
      </c>
      <c r="F353" t="b">
        <f t="shared" ca="1" si="19"/>
        <v>1</v>
      </c>
    </row>
    <row r="354" spans="1:6" x14ac:dyDescent="0.25">
      <c r="A354" t="s">
        <v>732</v>
      </c>
      <c r="B354" t="s">
        <v>1824</v>
      </c>
      <c r="C354" t="s">
        <v>155</v>
      </c>
      <c r="D354" s="5" t="s">
        <v>1664</v>
      </c>
      <c r="E354" s="5">
        <f ca="1">INDIRECT("'Sheet1'!AJ53")</f>
        <v>0</v>
      </c>
      <c r="F354" t="b">
        <f t="shared" ca="1" si="19"/>
        <v>0</v>
      </c>
    </row>
    <row r="355" spans="1:6" x14ac:dyDescent="0.25">
      <c r="A355" t="s">
        <v>733</v>
      </c>
      <c r="B355" t="s">
        <v>1821</v>
      </c>
      <c r="C355" t="s">
        <v>156</v>
      </c>
      <c r="E355">
        <f ca="1">INDIRECT("'Sheet1'!AK53")</f>
        <v>0</v>
      </c>
      <c r="F355" t="b">
        <f t="shared" ca="1" si="19"/>
        <v>1</v>
      </c>
    </row>
    <row r="356" spans="1:6" x14ac:dyDescent="0.25">
      <c r="A356" t="s">
        <v>734</v>
      </c>
      <c r="B356" t="s">
        <v>1825</v>
      </c>
      <c r="C356" t="s">
        <v>158</v>
      </c>
      <c r="D356" s="5" t="s">
        <v>1662</v>
      </c>
      <c r="E356" s="5">
        <f ca="1">INDIRECT("'Sheet1'!AM53")</f>
        <v>0</v>
      </c>
      <c r="F356" t="b">
        <f t="shared" ca="1" si="19"/>
        <v>0</v>
      </c>
    </row>
    <row r="358" spans="1:6" x14ac:dyDescent="0.25">
      <c r="A358" t="s">
        <v>735</v>
      </c>
      <c r="B358" t="s">
        <v>1812</v>
      </c>
      <c r="C358" t="s">
        <v>138</v>
      </c>
      <c r="D358">
        <v>100</v>
      </c>
      <c r="E358">
        <f ca="1">INDIRECT("'Sheet1'!S54")</f>
        <v>0</v>
      </c>
      <c r="F358" t="b">
        <f t="shared" ref="F358:F371" ca="1" si="20">E358=D358</f>
        <v>0</v>
      </c>
    </row>
    <row r="359" spans="1:6" x14ac:dyDescent="0.25">
      <c r="A359" t="s">
        <v>736</v>
      </c>
      <c r="B359" t="s">
        <v>1813</v>
      </c>
      <c r="C359" t="s">
        <v>140</v>
      </c>
      <c r="D359" s="5" t="s">
        <v>1666</v>
      </c>
      <c r="E359" s="5">
        <f ca="1">INDIRECT("'Sheet1'!U54")</f>
        <v>0</v>
      </c>
      <c r="F359" t="b">
        <f t="shared" ca="1" si="20"/>
        <v>0</v>
      </c>
    </row>
    <row r="360" spans="1:6" x14ac:dyDescent="0.25">
      <c r="A360" t="s">
        <v>737</v>
      </c>
      <c r="B360" t="s">
        <v>1814</v>
      </c>
      <c r="C360" t="s">
        <v>141</v>
      </c>
      <c r="E360">
        <f ca="1">INDIRECT("'Sheet1'!V54")</f>
        <v>0</v>
      </c>
      <c r="F360" t="b">
        <f t="shared" ca="1" si="20"/>
        <v>1</v>
      </c>
    </row>
    <row r="361" spans="1:6" x14ac:dyDescent="0.25">
      <c r="A361" t="s">
        <v>738</v>
      </c>
      <c r="B361" t="s">
        <v>1816</v>
      </c>
      <c r="C361" t="s">
        <v>143</v>
      </c>
      <c r="D361" s="5" t="s">
        <v>1667</v>
      </c>
      <c r="E361" s="5">
        <f ca="1">INDIRECT("'Sheet1'!X54")</f>
        <v>0</v>
      </c>
      <c r="F361" t="b">
        <f t="shared" ca="1" si="20"/>
        <v>0</v>
      </c>
    </row>
    <row r="362" spans="1:6" x14ac:dyDescent="0.25">
      <c r="A362" t="s">
        <v>739</v>
      </c>
      <c r="B362" t="s">
        <v>1817</v>
      </c>
      <c r="C362" t="s">
        <v>144</v>
      </c>
      <c r="E362">
        <f ca="1">INDIRECT("'Sheet1'!Y54")</f>
        <v>0</v>
      </c>
      <c r="F362" t="b">
        <f t="shared" ca="1" si="20"/>
        <v>1</v>
      </c>
    </row>
    <row r="363" spans="1:6" x14ac:dyDescent="0.25">
      <c r="A363" t="s">
        <v>740</v>
      </c>
      <c r="B363" t="s">
        <v>1818</v>
      </c>
      <c r="C363" t="s">
        <v>146</v>
      </c>
      <c r="D363" s="5" t="s">
        <v>1667</v>
      </c>
      <c r="E363" s="5">
        <f ca="1">INDIRECT("'Sheet1'!AA54")</f>
        <v>0</v>
      </c>
      <c r="F363" t="b">
        <f t="shared" ca="1" si="20"/>
        <v>0</v>
      </c>
    </row>
    <row r="364" spans="1:6" x14ac:dyDescent="0.25">
      <c r="A364" t="s">
        <v>741</v>
      </c>
      <c r="B364" t="s">
        <v>1819</v>
      </c>
      <c r="C364" t="s">
        <v>147</v>
      </c>
      <c r="D364">
        <v>103</v>
      </c>
      <c r="E364">
        <f ca="1">INDIRECT("'Sheet1'!AB54")</f>
        <v>0</v>
      </c>
      <c r="F364" t="b">
        <f t="shared" ca="1" si="20"/>
        <v>0</v>
      </c>
    </row>
    <row r="365" spans="1:6" x14ac:dyDescent="0.25">
      <c r="A365" t="s">
        <v>742</v>
      </c>
      <c r="B365" t="s">
        <v>1820</v>
      </c>
      <c r="C365" t="s">
        <v>149</v>
      </c>
      <c r="D365" s="5" t="s">
        <v>1666</v>
      </c>
      <c r="E365" s="5">
        <f ca="1">INDIRECT("'Sheet1'!AD54")</f>
        <v>0</v>
      </c>
      <c r="F365" t="b">
        <f t="shared" ca="1" si="20"/>
        <v>0</v>
      </c>
    </row>
    <row r="366" spans="1:6" x14ac:dyDescent="0.25">
      <c r="A366" t="s">
        <v>743</v>
      </c>
      <c r="B366" t="s">
        <v>1826</v>
      </c>
      <c r="C366" t="s">
        <v>150</v>
      </c>
      <c r="E366">
        <f ca="1">INDIRECT("'Sheet1'!AE54")</f>
        <v>0</v>
      </c>
      <c r="F366" t="b">
        <f t="shared" ca="1" si="20"/>
        <v>1</v>
      </c>
    </row>
    <row r="367" spans="1:6" x14ac:dyDescent="0.25">
      <c r="A367" t="s">
        <v>744</v>
      </c>
      <c r="B367" t="s">
        <v>1823</v>
      </c>
      <c r="C367" t="s">
        <v>152</v>
      </c>
      <c r="D367" s="5" t="s">
        <v>1660</v>
      </c>
      <c r="E367" s="5">
        <f ca="1">INDIRECT("'Sheet1'!AG54")</f>
        <v>0</v>
      </c>
      <c r="F367" t="b">
        <f t="shared" ca="1" si="20"/>
        <v>0</v>
      </c>
    </row>
    <row r="368" spans="1:6" x14ac:dyDescent="0.25">
      <c r="A368" t="s">
        <v>745</v>
      </c>
      <c r="B368" t="s">
        <v>1822</v>
      </c>
      <c r="C368" t="s">
        <v>153</v>
      </c>
      <c r="E368">
        <f ca="1">INDIRECT("'Sheet1'!AH54")</f>
        <v>0</v>
      </c>
      <c r="F368" t="b">
        <f t="shared" ca="1" si="20"/>
        <v>1</v>
      </c>
    </row>
    <row r="369" spans="1:6" x14ac:dyDescent="0.25">
      <c r="A369" t="s">
        <v>746</v>
      </c>
      <c r="B369" t="s">
        <v>1824</v>
      </c>
      <c r="C369" t="s">
        <v>155</v>
      </c>
      <c r="D369" s="5" t="s">
        <v>1664</v>
      </c>
      <c r="E369" s="5">
        <f ca="1">INDIRECT("'Sheet1'!AJ54")</f>
        <v>0</v>
      </c>
      <c r="F369" t="b">
        <f t="shared" ca="1" si="20"/>
        <v>0</v>
      </c>
    </row>
    <row r="370" spans="1:6" x14ac:dyDescent="0.25">
      <c r="A370" t="s">
        <v>747</v>
      </c>
      <c r="B370" t="s">
        <v>1821</v>
      </c>
      <c r="C370" t="s">
        <v>156</v>
      </c>
      <c r="E370">
        <f ca="1">INDIRECT("'Sheet1'!AK54")</f>
        <v>0</v>
      </c>
      <c r="F370" t="b">
        <f t="shared" ca="1" si="20"/>
        <v>1</v>
      </c>
    </row>
    <row r="371" spans="1:6" x14ac:dyDescent="0.25">
      <c r="A371" t="s">
        <v>748</v>
      </c>
      <c r="B371" t="s">
        <v>1825</v>
      </c>
      <c r="C371" t="s">
        <v>158</v>
      </c>
      <c r="D371" s="5" t="s">
        <v>1662</v>
      </c>
      <c r="E371" s="5">
        <f ca="1">INDIRECT("'Sheet1'!AM54")</f>
        <v>0</v>
      </c>
      <c r="F371" t="b">
        <f t="shared" ca="1" si="20"/>
        <v>0</v>
      </c>
    </row>
    <row r="373" spans="1:6" x14ac:dyDescent="0.25">
      <c r="A373" t="s">
        <v>749</v>
      </c>
      <c r="B373" t="s">
        <v>1812</v>
      </c>
      <c r="C373" t="s">
        <v>138</v>
      </c>
      <c r="D373">
        <v>100</v>
      </c>
      <c r="E373">
        <f ca="1">INDIRECT("'Sheet1'!S55")</f>
        <v>0</v>
      </c>
      <c r="F373" t="b">
        <f t="shared" ref="F373:F386" ca="1" si="21">E373=D373</f>
        <v>0</v>
      </c>
    </row>
    <row r="374" spans="1:6" x14ac:dyDescent="0.25">
      <c r="A374" t="s">
        <v>750</v>
      </c>
      <c r="B374" t="s">
        <v>1813</v>
      </c>
      <c r="C374" t="s">
        <v>140</v>
      </c>
      <c r="D374" s="5" t="s">
        <v>1666</v>
      </c>
      <c r="E374" s="5">
        <f ca="1">INDIRECT("'Sheet1'!U55")</f>
        <v>0</v>
      </c>
      <c r="F374" t="b">
        <f t="shared" ca="1" si="21"/>
        <v>0</v>
      </c>
    </row>
    <row r="375" spans="1:6" x14ac:dyDescent="0.25">
      <c r="A375" t="s">
        <v>751</v>
      </c>
      <c r="B375" t="s">
        <v>1814</v>
      </c>
      <c r="C375" t="s">
        <v>141</v>
      </c>
      <c r="E375">
        <f ca="1">INDIRECT("'Sheet1'!V55")</f>
        <v>0</v>
      </c>
      <c r="F375" t="b">
        <f t="shared" ca="1" si="21"/>
        <v>1</v>
      </c>
    </row>
    <row r="376" spans="1:6" x14ac:dyDescent="0.25">
      <c r="A376" t="s">
        <v>752</v>
      </c>
      <c r="B376" t="s">
        <v>1816</v>
      </c>
      <c r="C376" t="s">
        <v>143</v>
      </c>
      <c r="D376" s="5" t="s">
        <v>1667</v>
      </c>
      <c r="E376" s="5">
        <f ca="1">INDIRECT("'Sheet1'!X55")</f>
        <v>0</v>
      </c>
      <c r="F376" t="b">
        <f t="shared" ca="1" si="21"/>
        <v>0</v>
      </c>
    </row>
    <row r="377" spans="1:6" x14ac:dyDescent="0.25">
      <c r="A377" t="s">
        <v>753</v>
      </c>
      <c r="B377" t="s">
        <v>1817</v>
      </c>
      <c r="C377" t="s">
        <v>144</v>
      </c>
      <c r="E377">
        <f ca="1">INDIRECT("'Sheet1'!Y55")</f>
        <v>0</v>
      </c>
      <c r="F377" t="b">
        <f t="shared" ca="1" si="21"/>
        <v>1</v>
      </c>
    </row>
    <row r="378" spans="1:6" x14ac:dyDescent="0.25">
      <c r="A378" t="s">
        <v>754</v>
      </c>
      <c r="B378" t="s">
        <v>1818</v>
      </c>
      <c r="C378" t="s">
        <v>146</v>
      </c>
      <c r="D378" s="5" t="s">
        <v>1667</v>
      </c>
      <c r="E378" s="5">
        <f ca="1">INDIRECT("'Sheet1'!AA55")</f>
        <v>0</v>
      </c>
      <c r="F378" t="b">
        <f t="shared" ca="1" si="21"/>
        <v>0</v>
      </c>
    </row>
    <row r="379" spans="1:6" x14ac:dyDescent="0.25">
      <c r="A379" t="s">
        <v>755</v>
      </c>
      <c r="B379" t="s">
        <v>1819</v>
      </c>
      <c r="C379" t="s">
        <v>147</v>
      </c>
      <c r="D379">
        <v>103</v>
      </c>
      <c r="E379">
        <f ca="1">INDIRECT("'Sheet1'!AB55")</f>
        <v>0</v>
      </c>
      <c r="F379" t="b">
        <f t="shared" ca="1" si="21"/>
        <v>0</v>
      </c>
    </row>
    <row r="380" spans="1:6" x14ac:dyDescent="0.25">
      <c r="A380" t="s">
        <v>756</v>
      </c>
      <c r="B380" t="s">
        <v>1820</v>
      </c>
      <c r="C380" t="s">
        <v>149</v>
      </c>
      <c r="D380" s="5" t="s">
        <v>1666</v>
      </c>
      <c r="E380" s="5">
        <f ca="1">INDIRECT("'Sheet1'!AD55")</f>
        <v>0</v>
      </c>
      <c r="F380" t="b">
        <f t="shared" ca="1" si="21"/>
        <v>0</v>
      </c>
    </row>
    <row r="381" spans="1:6" x14ac:dyDescent="0.25">
      <c r="A381" t="s">
        <v>757</v>
      </c>
      <c r="B381" t="s">
        <v>1826</v>
      </c>
      <c r="C381" t="s">
        <v>150</v>
      </c>
      <c r="E381">
        <f ca="1">INDIRECT("'Sheet1'!AE55")</f>
        <v>0</v>
      </c>
      <c r="F381" t="b">
        <f t="shared" ca="1" si="21"/>
        <v>1</v>
      </c>
    </row>
    <row r="382" spans="1:6" x14ac:dyDescent="0.25">
      <c r="A382" t="s">
        <v>758</v>
      </c>
      <c r="B382" t="s">
        <v>1823</v>
      </c>
      <c r="C382" t="s">
        <v>152</v>
      </c>
      <c r="D382" s="5" t="s">
        <v>1660</v>
      </c>
      <c r="E382" s="5">
        <f ca="1">INDIRECT("'Sheet1'!AG55")</f>
        <v>0</v>
      </c>
      <c r="F382" t="b">
        <f t="shared" ca="1" si="21"/>
        <v>0</v>
      </c>
    </row>
    <row r="383" spans="1:6" x14ac:dyDescent="0.25">
      <c r="A383" t="s">
        <v>759</v>
      </c>
      <c r="B383" t="s">
        <v>1822</v>
      </c>
      <c r="C383" t="s">
        <v>153</v>
      </c>
      <c r="E383">
        <f ca="1">INDIRECT("'Sheet1'!AH55")</f>
        <v>0</v>
      </c>
      <c r="F383" t="b">
        <f t="shared" ca="1" si="21"/>
        <v>1</v>
      </c>
    </row>
    <row r="384" spans="1:6" x14ac:dyDescent="0.25">
      <c r="A384" t="s">
        <v>760</v>
      </c>
      <c r="B384" t="s">
        <v>1824</v>
      </c>
      <c r="C384" t="s">
        <v>155</v>
      </c>
      <c r="D384" s="5" t="s">
        <v>1664</v>
      </c>
      <c r="E384" s="5">
        <f ca="1">INDIRECT("'Sheet1'!AJ55")</f>
        <v>0</v>
      </c>
      <c r="F384" t="b">
        <f t="shared" ca="1" si="21"/>
        <v>0</v>
      </c>
    </row>
    <row r="385" spans="1:6" x14ac:dyDescent="0.25">
      <c r="A385" t="s">
        <v>761</v>
      </c>
      <c r="B385" t="s">
        <v>1821</v>
      </c>
      <c r="C385" t="s">
        <v>156</v>
      </c>
      <c r="E385">
        <f ca="1">INDIRECT("'Sheet1'!AK55")</f>
        <v>0</v>
      </c>
      <c r="F385" t="b">
        <f t="shared" ca="1" si="21"/>
        <v>1</v>
      </c>
    </row>
    <row r="386" spans="1:6" x14ac:dyDescent="0.25">
      <c r="A386" t="s">
        <v>762</v>
      </c>
      <c r="B386" t="s">
        <v>1825</v>
      </c>
      <c r="C386" t="s">
        <v>158</v>
      </c>
      <c r="D386" s="5" t="s">
        <v>1662</v>
      </c>
      <c r="E386" s="5">
        <f ca="1">INDIRECT("'Sheet1'!AM55")</f>
        <v>0</v>
      </c>
      <c r="F386" t="b">
        <f t="shared" ca="1" si="21"/>
        <v>0</v>
      </c>
    </row>
    <row r="388" spans="1:6" x14ac:dyDescent="0.25">
      <c r="A388" t="s">
        <v>763</v>
      </c>
      <c r="B388" t="s">
        <v>1812</v>
      </c>
      <c r="C388" t="s">
        <v>138</v>
      </c>
      <c r="D388">
        <v>100</v>
      </c>
      <c r="E388">
        <f ca="1">INDIRECT("'Sheet1'!S56")</f>
        <v>0</v>
      </c>
      <c r="F388" t="b">
        <f t="shared" ref="F388:F401" ca="1" si="22">E388=D388</f>
        <v>0</v>
      </c>
    </row>
    <row r="389" spans="1:6" x14ac:dyDescent="0.25">
      <c r="A389" t="s">
        <v>764</v>
      </c>
      <c r="B389" t="s">
        <v>1813</v>
      </c>
      <c r="C389" t="s">
        <v>140</v>
      </c>
      <c r="D389" s="5" t="s">
        <v>1666</v>
      </c>
      <c r="E389" s="5">
        <f ca="1">INDIRECT("'Sheet1'!U56")</f>
        <v>0</v>
      </c>
      <c r="F389" t="b">
        <f t="shared" ca="1" si="22"/>
        <v>0</v>
      </c>
    </row>
    <row r="390" spans="1:6" x14ac:dyDescent="0.25">
      <c r="A390" t="s">
        <v>765</v>
      </c>
      <c r="B390" t="s">
        <v>1814</v>
      </c>
      <c r="C390" t="s">
        <v>141</v>
      </c>
      <c r="E390">
        <f ca="1">INDIRECT("'Sheet1'!V56")</f>
        <v>0</v>
      </c>
      <c r="F390" t="b">
        <f t="shared" ca="1" si="22"/>
        <v>1</v>
      </c>
    </row>
    <row r="391" spans="1:6" x14ac:dyDescent="0.25">
      <c r="A391" t="s">
        <v>766</v>
      </c>
      <c r="B391" t="s">
        <v>1816</v>
      </c>
      <c r="C391" t="s">
        <v>143</v>
      </c>
      <c r="D391" s="5" t="s">
        <v>1667</v>
      </c>
      <c r="E391" s="5">
        <f ca="1">INDIRECT("'Sheet1'!X56")</f>
        <v>0</v>
      </c>
      <c r="F391" t="b">
        <f t="shared" ca="1" si="22"/>
        <v>0</v>
      </c>
    </row>
    <row r="392" spans="1:6" x14ac:dyDescent="0.25">
      <c r="A392" t="s">
        <v>767</v>
      </c>
      <c r="B392" t="s">
        <v>1817</v>
      </c>
      <c r="C392" t="s">
        <v>144</v>
      </c>
      <c r="E392">
        <f ca="1">INDIRECT("'Sheet1'!Y56")</f>
        <v>0</v>
      </c>
      <c r="F392" t="b">
        <f t="shared" ca="1" si="22"/>
        <v>1</v>
      </c>
    </row>
    <row r="393" spans="1:6" x14ac:dyDescent="0.25">
      <c r="A393" t="s">
        <v>768</v>
      </c>
      <c r="B393" t="s">
        <v>1818</v>
      </c>
      <c r="C393" t="s">
        <v>146</v>
      </c>
      <c r="D393" s="5" t="s">
        <v>1667</v>
      </c>
      <c r="E393" s="5">
        <f ca="1">INDIRECT("'Sheet1'!AA56")</f>
        <v>0</v>
      </c>
      <c r="F393" t="b">
        <f t="shared" ca="1" si="22"/>
        <v>0</v>
      </c>
    </row>
    <row r="394" spans="1:6" x14ac:dyDescent="0.25">
      <c r="A394" t="s">
        <v>769</v>
      </c>
      <c r="B394" t="s">
        <v>1819</v>
      </c>
      <c r="C394" t="s">
        <v>147</v>
      </c>
      <c r="D394">
        <v>103</v>
      </c>
      <c r="E394">
        <f ca="1">INDIRECT("'Sheet1'!AB56")</f>
        <v>0</v>
      </c>
      <c r="F394" t="b">
        <f t="shared" ca="1" si="22"/>
        <v>0</v>
      </c>
    </row>
    <row r="395" spans="1:6" x14ac:dyDescent="0.25">
      <c r="A395" t="s">
        <v>770</v>
      </c>
      <c r="B395" t="s">
        <v>1820</v>
      </c>
      <c r="C395" t="s">
        <v>149</v>
      </c>
      <c r="D395" s="5" t="s">
        <v>1666</v>
      </c>
      <c r="E395" s="5">
        <f ca="1">INDIRECT("'Sheet1'!AD56")</f>
        <v>0</v>
      </c>
      <c r="F395" t="b">
        <f t="shared" ca="1" si="22"/>
        <v>0</v>
      </c>
    </row>
    <row r="396" spans="1:6" x14ac:dyDescent="0.25">
      <c r="A396" t="s">
        <v>771</v>
      </c>
      <c r="B396" t="s">
        <v>1826</v>
      </c>
      <c r="C396" t="s">
        <v>150</v>
      </c>
      <c r="E396">
        <f ca="1">INDIRECT("'Sheet1'!AE56")</f>
        <v>0</v>
      </c>
      <c r="F396" t="b">
        <f t="shared" ca="1" si="22"/>
        <v>1</v>
      </c>
    </row>
    <row r="397" spans="1:6" x14ac:dyDescent="0.25">
      <c r="A397" t="s">
        <v>772</v>
      </c>
      <c r="B397" t="s">
        <v>1823</v>
      </c>
      <c r="C397" t="s">
        <v>152</v>
      </c>
      <c r="D397" s="5" t="s">
        <v>1660</v>
      </c>
      <c r="E397" s="5">
        <f ca="1">INDIRECT("'Sheet1'!AG56")</f>
        <v>0</v>
      </c>
      <c r="F397" t="b">
        <f t="shared" ca="1" si="22"/>
        <v>0</v>
      </c>
    </row>
    <row r="398" spans="1:6" x14ac:dyDescent="0.25">
      <c r="A398" t="s">
        <v>773</v>
      </c>
      <c r="B398" t="s">
        <v>1822</v>
      </c>
      <c r="C398" t="s">
        <v>153</v>
      </c>
      <c r="E398">
        <f ca="1">INDIRECT("'Sheet1'!AH56")</f>
        <v>0</v>
      </c>
      <c r="F398" t="b">
        <f t="shared" ca="1" si="22"/>
        <v>1</v>
      </c>
    </row>
    <row r="399" spans="1:6" x14ac:dyDescent="0.25">
      <c r="A399" t="s">
        <v>774</v>
      </c>
      <c r="B399" t="s">
        <v>1824</v>
      </c>
      <c r="C399" t="s">
        <v>155</v>
      </c>
      <c r="D399" s="5" t="s">
        <v>1664</v>
      </c>
      <c r="E399" s="5">
        <f ca="1">INDIRECT("'Sheet1'!AJ56")</f>
        <v>0</v>
      </c>
      <c r="F399" t="b">
        <f t="shared" ca="1" si="22"/>
        <v>0</v>
      </c>
    </row>
    <row r="400" spans="1:6" x14ac:dyDescent="0.25">
      <c r="A400" t="s">
        <v>775</v>
      </c>
      <c r="B400" t="s">
        <v>1821</v>
      </c>
      <c r="C400" t="s">
        <v>156</v>
      </c>
      <c r="E400">
        <f ca="1">INDIRECT("'Sheet1'!AK56")</f>
        <v>0</v>
      </c>
      <c r="F400" t="b">
        <f t="shared" ca="1" si="22"/>
        <v>1</v>
      </c>
    </row>
    <row r="401" spans="1:6" x14ac:dyDescent="0.25">
      <c r="A401" t="s">
        <v>776</v>
      </c>
      <c r="B401" t="s">
        <v>1825</v>
      </c>
      <c r="C401" t="s">
        <v>158</v>
      </c>
      <c r="D401" s="5" t="s">
        <v>1662</v>
      </c>
      <c r="E401" s="5">
        <f ca="1">INDIRECT("'Sheet1'!AM56")</f>
        <v>0</v>
      </c>
      <c r="F401" t="b">
        <f t="shared" ca="1" si="22"/>
        <v>0</v>
      </c>
    </row>
    <row r="403" spans="1:6" x14ac:dyDescent="0.25">
      <c r="A403" t="s">
        <v>777</v>
      </c>
      <c r="B403" t="s">
        <v>1812</v>
      </c>
      <c r="C403" t="s">
        <v>138</v>
      </c>
      <c r="D403">
        <v>100</v>
      </c>
      <c r="E403">
        <f ca="1">INDIRECT("'Sheet1'!S57")</f>
        <v>0</v>
      </c>
      <c r="F403" t="b">
        <f t="shared" ref="F403:F416" ca="1" si="23">E403=D403</f>
        <v>0</v>
      </c>
    </row>
    <row r="404" spans="1:6" x14ac:dyDescent="0.25">
      <c r="A404" t="s">
        <v>778</v>
      </c>
      <c r="B404" t="s">
        <v>1813</v>
      </c>
      <c r="C404" t="s">
        <v>140</v>
      </c>
      <c r="D404" s="5" t="s">
        <v>1666</v>
      </c>
      <c r="E404" s="5">
        <f ca="1">INDIRECT("'Sheet1'!U57")</f>
        <v>0</v>
      </c>
      <c r="F404" t="b">
        <f t="shared" ca="1" si="23"/>
        <v>0</v>
      </c>
    </row>
    <row r="405" spans="1:6" x14ac:dyDescent="0.25">
      <c r="A405" t="s">
        <v>779</v>
      </c>
      <c r="B405" t="s">
        <v>1814</v>
      </c>
      <c r="C405" t="s">
        <v>141</v>
      </c>
      <c r="E405">
        <f ca="1">INDIRECT("'Sheet1'!V57")</f>
        <v>0</v>
      </c>
      <c r="F405" t="b">
        <f t="shared" ca="1" si="23"/>
        <v>1</v>
      </c>
    </row>
    <row r="406" spans="1:6" x14ac:dyDescent="0.25">
      <c r="A406" t="s">
        <v>780</v>
      </c>
      <c r="B406" t="s">
        <v>1816</v>
      </c>
      <c r="C406" t="s">
        <v>143</v>
      </c>
      <c r="D406" s="5" t="s">
        <v>1667</v>
      </c>
      <c r="E406" s="5">
        <f ca="1">INDIRECT("'Sheet1'!X57")</f>
        <v>0</v>
      </c>
      <c r="F406" t="b">
        <f t="shared" ca="1" si="23"/>
        <v>0</v>
      </c>
    </row>
    <row r="407" spans="1:6" x14ac:dyDescent="0.25">
      <c r="A407" t="s">
        <v>781</v>
      </c>
      <c r="B407" t="s">
        <v>1817</v>
      </c>
      <c r="C407" t="s">
        <v>144</v>
      </c>
      <c r="E407">
        <f ca="1">INDIRECT("'Sheet1'!Y57")</f>
        <v>0</v>
      </c>
      <c r="F407" t="b">
        <f t="shared" ca="1" si="23"/>
        <v>1</v>
      </c>
    </row>
    <row r="408" spans="1:6" x14ac:dyDescent="0.25">
      <c r="A408" t="s">
        <v>782</v>
      </c>
      <c r="B408" t="s">
        <v>1818</v>
      </c>
      <c r="C408" t="s">
        <v>146</v>
      </c>
      <c r="D408" s="5" t="s">
        <v>1667</v>
      </c>
      <c r="E408" s="5">
        <f ca="1">INDIRECT("'Sheet1'!AA57")</f>
        <v>0</v>
      </c>
      <c r="F408" t="b">
        <f t="shared" ca="1" si="23"/>
        <v>0</v>
      </c>
    </row>
    <row r="409" spans="1:6" x14ac:dyDescent="0.25">
      <c r="A409" t="s">
        <v>783</v>
      </c>
      <c r="B409" t="s">
        <v>1819</v>
      </c>
      <c r="C409" t="s">
        <v>147</v>
      </c>
      <c r="D409">
        <v>103</v>
      </c>
      <c r="E409">
        <f ca="1">INDIRECT("'Sheet1'!AB57")</f>
        <v>0</v>
      </c>
      <c r="F409" t="b">
        <f t="shared" ca="1" si="23"/>
        <v>0</v>
      </c>
    </row>
    <row r="410" spans="1:6" x14ac:dyDescent="0.25">
      <c r="A410" t="s">
        <v>784</v>
      </c>
      <c r="B410" t="s">
        <v>1820</v>
      </c>
      <c r="C410" t="s">
        <v>149</v>
      </c>
      <c r="D410" s="5" t="s">
        <v>1666</v>
      </c>
      <c r="E410" s="5">
        <f ca="1">INDIRECT("'Sheet1'!AD57")</f>
        <v>0</v>
      </c>
      <c r="F410" t="b">
        <f t="shared" ca="1" si="23"/>
        <v>0</v>
      </c>
    </row>
    <row r="411" spans="1:6" x14ac:dyDescent="0.25">
      <c r="A411" t="s">
        <v>785</v>
      </c>
      <c r="B411" t="s">
        <v>1826</v>
      </c>
      <c r="C411" t="s">
        <v>150</v>
      </c>
      <c r="E411">
        <f ca="1">INDIRECT("'Sheet1'!AE57")</f>
        <v>0</v>
      </c>
      <c r="F411" t="b">
        <f t="shared" ca="1" si="23"/>
        <v>1</v>
      </c>
    </row>
    <row r="412" spans="1:6" x14ac:dyDescent="0.25">
      <c r="A412" t="s">
        <v>786</v>
      </c>
      <c r="B412" t="s">
        <v>1823</v>
      </c>
      <c r="C412" t="s">
        <v>152</v>
      </c>
      <c r="D412" s="5" t="s">
        <v>1660</v>
      </c>
      <c r="E412" s="5">
        <f ca="1">INDIRECT("'Sheet1'!AG57")</f>
        <v>0</v>
      </c>
      <c r="F412" t="b">
        <f t="shared" ca="1" si="23"/>
        <v>0</v>
      </c>
    </row>
    <row r="413" spans="1:6" x14ac:dyDescent="0.25">
      <c r="A413" t="s">
        <v>787</v>
      </c>
      <c r="B413" t="s">
        <v>1822</v>
      </c>
      <c r="C413" t="s">
        <v>153</v>
      </c>
      <c r="E413">
        <f ca="1">INDIRECT("'Sheet1'!AH57")</f>
        <v>0</v>
      </c>
      <c r="F413" t="b">
        <f t="shared" ca="1" si="23"/>
        <v>1</v>
      </c>
    </row>
    <row r="414" spans="1:6" x14ac:dyDescent="0.25">
      <c r="A414" t="s">
        <v>788</v>
      </c>
      <c r="B414" t="s">
        <v>1824</v>
      </c>
      <c r="C414" t="s">
        <v>155</v>
      </c>
      <c r="D414" s="5" t="s">
        <v>1664</v>
      </c>
      <c r="E414" s="5">
        <f ca="1">INDIRECT("'Sheet1'!AJ57")</f>
        <v>0</v>
      </c>
      <c r="F414" t="b">
        <f t="shared" ca="1" si="23"/>
        <v>0</v>
      </c>
    </row>
    <row r="415" spans="1:6" x14ac:dyDescent="0.25">
      <c r="A415" t="s">
        <v>789</v>
      </c>
      <c r="B415" t="s">
        <v>1821</v>
      </c>
      <c r="C415" t="s">
        <v>156</v>
      </c>
      <c r="E415">
        <f ca="1">INDIRECT("'Sheet1'!AK57")</f>
        <v>0</v>
      </c>
      <c r="F415" t="b">
        <f t="shared" ca="1" si="23"/>
        <v>1</v>
      </c>
    </row>
    <row r="416" spans="1:6" x14ac:dyDescent="0.25">
      <c r="A416" t="s">
        <v>790</v>
      </c>
      <c r="B416" t="s">
        <v>1825</v>
      </c>
      <c r="C416" t="s">
        <v>158</v>
      </c>
      <c r="D416" s="5" t="s">
        <v>1662</v>
      </c>
      <c r="E416" s="5">
        <f ca="1">INDIRECT("'Sheet1'!AM57")</f>
        <v>0</v>
      </c>
      <c r="F416" t="b">
        <f t="shared" ca="1" si="23"/>
        <v>0</v>
      </c>
    </row>
    <row r="418" spans="1:6" x14ac:dyDescent="0.25">
      <c r="A418" t="s">
        <v>791</v>
      </c>
      <c r="B418" t="s">
        <v>1812</v>
      </c>
      <c r="C418" t="s">
        <v>138</v>
      </c>
      <c r="D418">
        <v>100</v>
      </c>
      <c r="E418">
        <f ca="1">INDIRECT("'Sheet1'!S58")</f>
        <v>0</v>
      </c>
      <c r="F418" t="b">
        <f t="shared" ref="F418:F431" ca="1" si="24">E418=D418</f>
        <v>0</v>
      </c>
    </row>
    <row r="419" spans="1:6" x14ac:dyDescent="0.25">
      <c r="A419" t="s">
        <v>792</v>
      </c>
      <c r="B419" t="s">
        <v>1813</v>
      </c>
      <c r="C419" t="s">
        <v>140</v>
      </c>
      <c r="D419" s="5" t="s">
        <v>1666</v>
      </c>
      <c r="E419" s="5">
        <f ca="1">INDIRECT("'Sheet1'!U58")</f>
        <v>0</v>
      </c>
      <c r="F419" t="b">
        <f t="shared" ca="1" si="24"/>
        <v>0</v>
      </c>
    </row>
    <row r="420" spans="1:6" x14ac:dyDescent="0.25">
      <c r="A420" t="s">
        <v>793</v>
      </c>
      <c r="B420" t="s">
        <v>1814</v>
      </c>
      <c r="C420" t="s">
        <v>141</v>
      </c>
      <c r="E420">
        <f ca="1">INDIRECT("'Sheet1'!V58")</f>
        <v>0</v>
      </c>
      <c r="F420" t="b">
        <f t="shared" ca="1" si="24"/>
        <v>1</v>
      </c>
    </row>
    <row r="421" spans="1:6" x14ac:dyDescent="0.25">
      <c r="A421" t="s">
        <v>794</v>
      </c>
      <c r="B421" t="s">
        <v>1816</v>
      </c>
      <c r="C421" t="s">
        <v>143</v>
      </c>
      <c r="D421" s="5" t="s">
        <v>1667</v>
      </c>
      <c r="E421" s="5">
        <f ca="1">INDIRECT("'Sheet1'!X58")</f>
        <v>0</v>
      </c>
      <c r="F421" t="b">
        <f t="shared" ca="1" si="24"/>
        <v>0</v>
      </c>
    </row>
    <row r="422" spans="1:6" x14ac:dyDescent="0.25">
      <c r="A422" t="s">
        <v>795</v>
      </c>
      <c r="B422" t="s">
        <v>1817</v>
      </c>
      <c r="C422" t="s">
        <v>144</v>
      </c>
      <c r="E422">
        <f ca="1">INDIRECT("'Sheet1'!Y58")</f>
        <v>0</v>
      </c>
      <c r="F422" t="b">
        <f t="shared" ca="1" si="24"/>
        <v>1</v>
      </c>
    </row>
    <row r="423" spans="1:6" x14ac:dyDescent="0.25">
      <c r="A423" t="s">
        <v>796</v>
      </c>
      <c r="B423" t="s">
        <v>1818</v>
      </c>
      <c r="C423" t="s">
        <v>146</v>
      </c>
      <c r="D423" s="5" t="s">
        <v>1667</v>
      </c>
      <c r="E423" s="5">
        <f ca="1">INDIRECT("'Sheet1'!AA58")</f>
        <v>0</v>
      </c>
      <c r="F423" t="b">
        <f t="shared" ca="1" si="24"/>
        <v>0</v>
      </c>
    </row>
    <row r="424" spans="1:6" x14ac:dyDescent="0.25">
      <c r="A424" t="s">
        <v>797</v>
      </c>
      <c r="B424" t="s">
        <v>1819</v>
      </c>
      <c r="C424" t="s">
        <v>147</v>
      </c>
      <c r="D424">
        <v>103</v>
      </c>
      <c r="E424">
        <f ca="1">INDIRECT("'Sheet1'!AB58")</f>
        <v>0</v>
      </c>
      <c r="F424" t="b">
        <f t="shared" ca="1" si="24"/>
        <v>0</v>
      </c>
    </row>
    <row r="425" spans="1:6" x14ac:dyDescent="0.25">
      <c r="A425" t="s">
        <v>798</v>
      </c>
      <c r="B425" t="s">
        <v>1820</v>
      </c>
      <c r="C425" t="s">
        <v>149</v>
      </c>
      <c r="D425" s="5" t="s">
        <v>1666</v>
      </c>
      <c r="E425" s="5">
        <f ca="1">INDIRECT("'Sheet1'!AD58")</f>
        <v>0</v>
      </c>
      <c r="F425" t="b">
        <f t="shared" ca="1" si="24"/>
        <v>0</v>
      </c>
    </row>
    <row r="426" spans="1:6" x14ac:dyDescent="0.25">
      <c r="A426" t="s">
        <v>799</v>
      </c>
      <c r="B426" t="s">
        <v>1826</v>
      </c>
      <c r="C426" t="s">
        <v>150</v>
      </c>
      <c r="E426">
        <f ca="1">INDIRECT("'Sheet1'!AE58")</f>
        <v>0</v>
      </c>
      <c r="F426" t="b">
        <f t="shared" ca="1" si="24"/>
        <v>1</v>
      </c>
    </row>
    <row r="427" spans="1:6" x14ac:dyDescent="0.25">
      <c r="A427" t="s">
        <v>800</v>
      </c>
      <c r="B427" t="s">
        <v>1823</v>
      </c>
      <c r="C427" t="s">
        <v>152</v>
      </c>
      <c r="D427" s="5" t="s">
        <v>1660</v>
      </c>
      <c r="E427" s="5">
        <f ca="1">INDIRECT("'Sheet1'!AG58")</f>
        <v>0</v>
      </c>
      <c r="F427" t="b">
        <f t="shared" ca="1" si="24"/>
        <v>0</v>
      </c>
    </row>
    <row r="428" spans="1:6" x14ac:dyDescent="0.25">
      <c r="A428" t="s">
        <v>801</v>
      </c>
      <c r="B428" t="s">
        <v>1822</v>
      </c>
      <c r="C428" t="s">
        <v>153</v>
      </c>
      <c r="E428">
        <f ca="1">INDIRECT("'Sheet1'!AH58")</f>
        <v>0</v>
      </c>
      <c r="F428" t="b">
        <f t="shared" ca="1" si="24"/>
        <v>1</v>
      </c>
    </row>
    <row r="429" spans="1:6" x14ac:dyDescent="0.25">
      <c r="A429" t="s">
        <v>802</v>
      </c>
      <c r="B429" t="s">
        <v>1824</v>
      </c>
      <c r="C429" t="s">
        <v>155</v>
      </c>
      <c r="D429" s="5" t="s">
        <v>1664</v>
      </c>
      <c r="E429" s="5">
        <f ca="1">INDIRECT("'Sheet1'!AJ58")</f>
        <v>0</v>
      </c>
      <c r="F429" t="b">
        <f t="shared" ca="1" si="24"/>
        <v>0</v>
      </c>
    </row>
    <row r="430" spans="1:6" x14ac:dyDescent="0.25">
      <c r="A430" t="s">
        <v>803</v>
      </c>
      <c r="B430" t="s">
        <v>1821</v>
      </c>
      <c r="C430" t="s">
        <v>156</v>
      </c>
      <c r="E430">
        <f ca="1">INDIRECT("'Sheet1'!AK58")</f>
        <v>0</v>
      </c>
      <c r="F430" t="b">
        <f t="shared" ca="1" si="24"/>
        <v>1</v>
      </c>
    </row>
    <row r="431" spans="1:6" x14ac:dyDescent="0.25">
      <c r="A431" t="s">
        <v>804</v>
      </c>
      <c r="B431" t="s">
        <v>1825</v>
      </c>
      <c r="C431" t="s">
        <v>158</v>
      </c>
      <c r="D431" s="5" t="s">
        <v>1662</v>
      </c>
      <c r="E431" s="5">
        <f ca="1">INDIRECT("'Sheet1'!AM58")</f>
        <v>0</v>
      </c>
      <c r="F431" t="b">
        <f t="shared" ca="1" si="24"/>
        <v>0</v>
      </c>
    </row>
    <row r="433" spans="1:6" x14ac:dyDescent="0.25">
      <c r="A433" t="s">
        <v>805</v>
      </c>
      <c r="B433" t="s">
        <v>1812</v>
      </c>
      <c r="C433" t="s">
        <v>138</v>
      </c>
      <c r="D433">
        <v>100</v>
      </c>
      <c r="E433">
        <f ca="1">INDIRECT("'Sheet1'!S59")</f>
        <v>0</v>
      </c>
      <c r="F433" t="b">
        <f t="shared" ref="F433:F446" ca="1" si="25">E433=D433</f>
        <v>0</v>
      </c>
    </row>
    <row r="434" spans="1:6" x14ac:dyDescent="0.25">
      <c r="A434" t="s">
        <v>806</v>
      </c>
      <c r="B434" t="s">
        <v>1813</v>
      </c>
      <c r="C434" t="s">
        <v>140</v>
      </c>
      <c r="D434" s="5" t="s">
        <v>1666</v>
      </c>
      <c r="E434" s="5">
        <f ca="1">INDIRECT("'Sheet1'!U59")</f>
        <v>0</v>
      </c>
      <c r="F434" t="b">
        <f t="shared" ca="1" si="25"/>
        <v>0</v>
      </c>
    </row>
    <row r="435" spans="1:6" x14ac:dyDescent="0.25">
      <c r="A435" t="s">
        <v>807</v>
      </c>
      <c r="B435" t="s">
        <v>1814</v>
      </c>
      <c r="C435" t="s">
        <v>141</v>
      </c>
      <c r="E435">
        <f ca="1">INDIRECT("'Sheet1'!V59")</f>
        <v>0</v>
      </c>
      <c r="F435" t="b">
        <f t="shared" ca="1" si="25"/>
        <v>1</v>
      </c>
    </row>
    <row r="436" spans="1:6" x14ac:dyDescent="0.25">
      <c r="A436" t="s">
        <v>808</v>
      </c>
      <c r="B436" t="s">
        <v>1816</v>
      </c>
      <c r="C436" t="s">
        <v>143</v>
      </c>
      <c r="D436" s="5" t="s">
        <v>1667</v>
      </c>
      <c r="E436" s="5">
        <f ca="1">INDIRECT("'Sheet1'!X59")</f>
        <v>0</v>
      </c>
      <c r="F436" t="b">
        <f t="shared" ca="1" si="25"/>
        <v>0</v>
      </c>
    </row>
    <row r="437" spans="1:6" x14ac:dyDescent="0.25">
      <c r="A437" t="s">
        <v>809</v>
      </c>
      <c r="B437" t="s">
        <v>1817</v>
      </c>
      <c r="C437" t="s">
        <v>144</v>
      </c>
      <c r="E437">
        <f ca="1">INDIRECT("'Sheet1'!Y59")</f>
        <v>0</v>
      </c>
      <c r="F437" t="b">
        <f t="shared" ca="1" si="25"/>
        <v>1</v>
      </c>
    </row>
    <row r="438" spans="1:6" x14ac:dyDescent="0.25">
      <c r="A438" t="s">
        <v>810</v>
      </c>
      <c r="B438" t="s">
        <v>1818</v>
      </c>
      <c r="C438" t="s">
        <v>146</v>
      </c>
      <c r="D438" s="5" t="s">
        <v>1667</v>
      </c>
      <c r="E438" s="5">
        <f ca="1">INDIRECT("'Sheet1'!AA59")</f>
        <v>0</v>
      </c>
      <c r="F438" t="b">
        <f t="shared" ca="1" si="25"/>
        <v>0</v>
      </c>
    </row>
    <row r="439" spans="1:6" x14ac:dyDescent="0.25">
      <c r="A439" t="s">
        <v>811</v>
      </c>
      <c r="B439" t="s">
        <v>1819</v>
      </c>
      <c r="C439" t="s">
        <v>147</v>
      </c>
      <c r="D439">
        <v>103</v>
      </c>
      <c r="E439">
        <f ca="1">INDIRECT("'Sheet1'!AB59")</f>
        <v>0</v>
      </c>
      <c r="F439" t="b">
        <f t="shared" ca="1" si="25"/>
        <v>0</v>
      </c>
    </row>
    <row r="440" spans="1:6" x14ac:dyDescent="0.25">
      <c r="A440" t="s">
        <v>812</v>
      </c>
      <c r="B440" t="s">
        <v>1820</v>
      </c>
      <c r="C440" t="s">
        <v>149</v>
      </c>
      <c r="D440" s="5" t="s">
        <v>1666</v>
      </c>
      <c r="E440" s="5">
        <f ca="1">INDIRECT("'Sheet1'!AD59")</f>
        <v>0</v>
      </c>
      <c r="F440" t="b">
        <f t="shared" ca="1" si="25"/>
        <v>0</v>
      </c>
    </row>
    <row r="441" spans="1:6" x14ac:dyDescent="0.25">
      <c r="A441" t="s">
        <v>813</v>
      </c>
      <c r="B441" t="s">
        <v>1826</v>
      </c>
      <c r="C441" t="s">
        <v>150</v>
      </c>
      <c r="E441">
        <f ca="1">INDIRECT("'Sheet1'!AE59")</f>
        <v>0</v>
      </c>
      <c r="F441" t="b">
        <f t="shared" ca="1" si="25"/>
        <v>1</v>
      </c>
    </row>
    <row r="442" spans="1:6" x14ac:dyDescent="0.25">
      <c r="A442" t="s">
        <v>814</v>
      </c>
      <c r="B442" t="s">
        <v>1823</v>
      </c>
      <c r="C442" t="s">
        <v>152</v>
      </c>
      <c r="D442" s="5" t="s">
        <v>1660</v>
      </c>
      <c r="E442" s="5">
        <f ca="1">INDIRECT("'Sheet1'!AG59")</f>
        <v>0</v>
      </c>
      <c r="F442" t="b">
        <f t="shared" ca="1" si="25"/>
        <v>0</v>
      </c>
    </row>
    <row r="443" spans="1:6" x14ac:dyDescent="0.25">
      <c r="A443" t="s">
        <v>815</v>
      </c>
      <c r="B443" t="s">
        <v>1822</v>
      </c>
      <c r="C443" t="s">
        <v>153</v>
      </c>
      <c r="E443">
        <f ca="1">INDIRECT("'Sheet1'!AH59")</f>
        <v>0</v>
      </c>
      <c r="F443" t="b">
        <f t="shared" ca="1" si="25"/>
        <v>1</v>
      </c>
    </row>
    <row r="444" spans="1:6" x14ac:dyDescent="0.25">
      <c r="A444" t="s">
        <v>816</v>
      </c>
      <c r="B444" t="s">
        <v>1824</v>
      </c>
      <c r="C444" t="s">
        <v>155</v>
      </c>
      <c r="D444" s="5" t="s">
        <v>1664</v>
      </c>
      <c r="E444" s="5">
        <f ca="1">INDIRECT("'Sheet1'!AJ59")</f>
        <v>0</v>
      </c>
      <c r="F444" t="b">
        <f t="shared" ca="1" si="25"/>
        <v>0</v>
      </c>
    </row>
    <row r="445" spans="1:6" x14ac:dyDescent="0.25">
      <c r="A445" t="s">
        <v>817</v>
      </c>
      <c r="B445" t="s">
        <v>1821</v>
      </c>
      <c r="C445" t="s">
        <v>156</v>
      </c>
      <c r="E445">
        <f ca="1">INDIRECT("'Sheet1'!AK59")</f>
        <v>0</v>
      </c>
      <c r="F445" t="b">
        <f t="shared" ca="1" si="25"/>
        <v>1</v>
      </c>
    </row>
    <row r="446" spans="1:6" x14ac:dyDescent="0.25">
      <c r="A446" t="s">
        <v>818</v>
      </c>
      <c r="B446" t="s">
        <v>1825</v>
      </c>
      <c r="C446" t="s">
        <v>158</v>
      </c>
      <c r="D446" s="5" t="s">
        <v>1662</v>
      </c>
      <c r="E446" s="5">
        <f ca="1">INDIRECT("'Sheet1'!AM59")</f>
        <v>0</v>
      </c>
      <c r="F446" t="b">
        <f t="shared" ca="1" si="25"/>
        <v>0</v>
      </c>
    </row>
    <row r="448" spans="1:6" x14ac:dyDescent="0.25">
      <c r="A448" t="s">
        <v>828</v>
      </c>
      <c r="B448" t="s">
        <v>1827</v>
      </c>
      <c r="C448" t="s">
        <v>159</v>
      </c>
      <c r="D448">
        <v>20.5</v>
      </c>
      <c r="E448">
        <f ca="1">INDIRECT("'Sheet1'!AN60")</f>
        <v>0</v>
      </c>
      <c r="F448" t="b">
        <f t="shared" ref="F448:F449" ca="1" si="26">E448=D448</f>
        <v>0</v>
      </c>
    </row>
    <row r="449" spans="1:6" x14ac:dyDescent="0.25">
      <c r="A449" t="s">
        <v>829</v>
      </c>
      <c r="B449" t="s">
        <v>1828</v>
      </c>
      <c r="C449" t="s">
        <v>160</v>
      </c>
      <c r="D449" s="5" t="s">
        <v>1660</v>
      </c>
      <c r="E449" s="5">
        <f ca="1">INDIRECT("'Sheet1'!AO60")</f>
        <v>0</v>
      </c>
      <c r="F449" t="b">
        <f t="shared" ca="1" si="26"/>
        <v>0</v>
      </c>
    </row>
    <row r="451" spans="1:6" x14ac:dyDescent="0.25">
      <c r="A451" t="s">
        <v>943</v>
      </c>
      <c r="B451" t="s">
        <v>1848</v>
      </c>
      <c r="C451" t="s">
        <v>159</v>
      </c>
      <c r="D451" t="s">
        <v>1641</v>
      </c>
      <c r="E451">
        <f ca="1">INDIRECT("'Sheet1'!AN61")</f>
        <v>0</v>
      </c>
      <c r="F451" t="b">
        <f t="shared" ref="F451:F452" ca="1" si="27">E451=D451</f>
        <v>0</v>
      </c>
    </row>
    <row r="452" spans="1:6" x14ac:dyDescent="0.25">
      <c r="A452" t="s">
        <v>944</v>
      </c>
      <c r="B452" t="s">
        <v>1828</v>
      </c>
      <c r="C452" t="s">
        <v>160</v>
      </c>
      <c r="D452" s="5" t="s">
        <v>1660</v>
      </c>
      <c r="E452" s="5">
        <f ca="1">INDIRECT("'Sheet1'!AO61")</f>
        <v>0</v>
      </c>
      <c r="F452" t="b">
        <f t="shared" ca="1" si="27"/>
        <v>0</v>
      </c>
    </row>
    <row r="454" spans="1:6" x14ac:dyDescent="0.25">
      <c r="A454" t="s">
        <v>945</v>
      </c>
      <c r="B454" t="s">
        <v>1831</v>
      </c>
      <c r="C454" t="s">
        <v>161</v>
      </c>
      <c r="D454">
        <v>20.5</v>
      </c>
      <c r="E454">
        <f ca="1">INDIRECT("'Sheet1'!AP62")</f>
        <v>0</v>
      </c>
      <c r="F454" t="b">
        <f t="shared" ref="F454:F455" ca="1" si="28">E454=D454</f>
        <v>0</v>
      </c>
    </row>
    <row r="455" spans="1:6" x14ac:dyDescent="0.25">
      <c r="A455" t="s">
        <v>946</v>
      </c>
      <c r="B455" t="s">
        <v>1832</v>
      </c>
      <c r="C455" t="s">
        <v>162</v>
      </c>
      <c r="D455" s="5" t="s">
        <v>1660</v>
      </c>
      <c r="E455" s="5">
        <f ca="1">INDIRECT("'Sheet1'!AQ62")</f>
        <v>0</v>
      </c>
      <c r="F455" t="b">
        <f t="shared" ca="1" si="28"/>
        <v>0</v>
      </c>
    </row>
    <row r="457" spans="1:6" x14ac:dyDescent="0.25">
      <c r="A457" t="s">
        <v>947</v>
      </c>
      <c r="B457" t="s">
        <v>1833</v>
      </c>
      <c r="C457" t="s">
        <v>161</v>
      </c>
      <c r="D457">
        <v>20.5</v>
      </c>
      <c r="E457">
        <f ca="1">INDIRECT("'Sheet1'!AP63")</f>
        <v>0</v>
      </c>
      <c r="F457" t="b">
        <f t="shared" ref="F457:F458" ca="1" si="29">E457=D457</f>
        <v>0</v>
      </c>
    </row>
    <row r="458" spans="1:6" x14ac:dyDescent="0.25">
      <c r="A458" t="s">
        <v>948</v>
      </c>
      <c r="B458" t="s">
        <v>1829</v>
      </c>
      <c r="C458" t="s">
        <v>162</v>
      </c>
      <c r="D458" s="5" t="s">
        <v>1660</v>
      </c>
      <c r="E458" s="5">
        <f ca="1">INDIRECT("'Sheet1'!AQ63")</f>
        <v>0</v>
      </c>
      <c r="F458" t="b">
        <f t="shared" ca="1" si="29"/>
        <v>0</v>
      </c>
    </row>
    <row r="460" spans="1:6" x14ac:dyDescent="0.25">
      <c r="A460" t="s">
        <v>949</v>
      </c>
      <c r="B460" t="s">
        <v>1835</v>
      </c>
      <c r="C460" t="s">
        <v>163</v>
      </c>
      <c r="D460">
        <v>20.5</v>
      </c>
      <c r="E460">
        <f ca="1">INDIRECT("'Sheet1'!AR64")</f>
        <v>0</v>
      </c>
      <c r="F460" t="b">
        <f t="shared" ref="F460:F461" ca="1" si="30">E460=D460</f>
        <v>0</v>
      </c>
    </row>
    <row r="461" spans="1:6" x14ac:dyDescent="0.25">
      <c r="A461" t="s">
        <v>950</v>
      </c>
      <c r="B461" t="s">
        <v>1836</v>
      </c>
      <c r="C461" t="s">
        <v>164</v>
      </c>
      <c r="D461" s="5" t="s">
        <v>1660</v>
      </c>
      <c r="E461" s="5">
        <f ca="1">INDIRECT("'Sheet1'!AS64")</f>
        <v>0</v>
      </c>
      <c r="F461" t="b">
        <f t="shared" ca="1" si="30"/>
        <v>0</v>
      </c>
    </row>
    <row r="463" spans="1:6" x14ac:dyDescent="0.25">
      <c r="A463" t="s">
        <v>951</v>
      </c>
      <c r="B463" s="6" t="s">
        <v>1837</v>
      </c>
      <c r="C463" t="s">
        <v>165</v>
      </c>
      <c r="D463">
        <v>20</v>
      </c>
      <c r="E463">
        <f ca="1">INDIRECT("'Sheet1'!AT65")</f>
        <v>0</v>
      </c>
      <c r="F463" t="b">
        <f t="shared" ref="F463:F464" ca="1" si="31">E463=D463</f>
        <v>0</v>
      </c>
    </row>
    <row r="464" spans="1:6" x14ac:dyDescent="0.25">
      <c r="A464" t="s">
        <v>953</v>
      </c>
      <c r="B464" s="6" t="s">
        <v>1838</v>
      </c>
      <c r="C464" t="s">
        <v>166</v>
      </c>
      <c r="D464" s="5" t="s">
        <v>1660</v>
      </c>
      <c r="E464" s="5">
        <f ca="1">INDIRECT("'Sheet1'!AU65")</f>
        <v>0</v>
      </c>
      <c r="F464" t="b">
        <f t="shared" ca="1" si="31"/>
        <v>0</v>
      </c>
    </row>
    <row r="466" spans="1:6" x14ac:dyDescent="0.25">
      <c r="A466" t="s">
        <v>954</v>
      </c>
      <c r="B466" t="s">
        <v>1839</v>
      </c>
      <c r="C466" t="s">
        <v>167</v>
      </c>
      <c r="D466">
        <v>20</v>
      </c>
      <c r="E466">
        <f ca="1">INDIRECT("'Sheet1'!AV66")</f>
        <v>0</v>
      </c>
      <c r="F466" t="b">
        <f t="shared" ref="F466:F467" ca="1" si="32">E466=D466</f>
        <v>0</v>
      </c>
    </row>
    <row r="467" spans="1:6" x14ac:dyDescent="0.25">
      <c r="A467" t="s">
        <v>952</v>
      </c>
      <c r="B467" t="s">
        <v>1840</v>
      </c>
      <c r="C467" t="s">
        <v>168</v>
      </c>
      <c r="D467" s="5" t="s">
        <v>1660</v>
      </c>
      <c r="E467" s="5">
        <f ca="1">INDIRECT("'Sheet1'!AW66")</f>
        <v>0</v>
      </c>
      <c r="F467" t="b">
        <f t="shared" ca="1" si="32"/>
        <v>0</v>
      </c>
    </row>
    <row r="469" spans="1:6" x14ac:dyDescent="0.25">
      <c r="A469" t="s">
        <v>955</v>
      </c>
      <c r="B469" s="6" t="s">
        <v>1841</v>
      </c>
      <c r="C469" t="s">
        <v>169</v>
      </c>
      <c r="D469">
        <v>20</v>
      </c>
      <c r="E469">
        <f ca="1">INDIRECT("'Sheet1'!AX67")</f>
        <v>0</v>
      </c>
      <c r="F469" t="b">
        <f t="shared" ref="F469:F470" ca="1" si="33">E469=D469</f>
        <v>0</v>
      </c>
    </row>
    <row r="470" spans="1:6" x14ac:dyDescent="0.25">
      <c r="A470" t="s">
        <v>956</v>
      </c>
      <c r="B470" s="6" t="s">
        <v>1842</v>
      </c>
      <c r="C470" t="s">
        <v>170</v>
      </c>
      <c r="D470" s="5" t="s">
        <v>1661</v>
      </c>
      <c r="E470" s="5">
        <f ca="1">INDIRECT("'Sheet1'!AY67")</f>
        <v>0</v>
      </c>
      <c r="F470" t="b">
        <f t="shared" ca="1" si="33"/>
        <v>0</v>
      </c>
    </row>
    <row r="472" spans="1:6" x14ac:dyDescent="0.25">
      <c r="A472" t="s">
        <v>957</v>
      </c>
      <c r="B472" t="s">
        <v>1843</v>
      </c>
      <c r="C472" t="s">
        <v>171</v>
      </c>
      <c r="D472">
        <v>20</v>
      </c>
      <c r="E472">
        <f ca="1">INDIRECT("'Sheet1'!AZ68")</f>
        <v>0</v>
      </c>
      <c r="F472" t="b">
        <f t="shared" ref="F472:F473" ca="1" si="34">E472=D472</f>
        <v>0</v>
      </c>
    </row>
    <row r="473" spans="1:6" x14ac:dyDescent="0.25">
      <c r="A473" t="s">
        <v>958</v>
      </c>
      <c r="B473" t="s">
        <v>1844</v>
      </c>
      <c r="C473" t="s">
        <v>172</v>
      </c>
      <c r="D473" s="5" t="s">
        <v>1662</v>
      </c>
      <c r="E473" s="5">
        <f ca="1">INDIRECT("'Sheet1'!BA68")</f>
        <v>0</v>
      </c>
      <c r="F473" t="b">
        <f t="shared" ca="1" si="34"/>
        <v>0</v>
      </c>
    </row>
    <row r="475" spans="1:6" x14ac:dyDescent="0.25">
      <c r="A475" t="s">
        <v>959</v>
      </c>
      <c r="B475" t="s">
        <v>1845</v>
      </c>
      <c r="C475" t="s">
        <v>163</v>
      </c>
      <c r="D475">
        <v>20</v>
      </c>
      <c r="E475">
        <f ca="1">INDIRECT("'Sheet1'!AR69")</f>
        <v>0</v>
      </c>
      <c r="F475" t="b">
        <f t="shared" ref="F475:F476" ca="1" si="35">E475=D475</f>
        <v>0</v>
      </c>
    </row>
    <row r="476" spans="1:6" x14ac:dyDescent="0.25">
      <c r="A476" t="s">
        <v>960</v>
      </c>
      <c r="B476" t="s">
        <v>1846</v>
      </c>
      <c r="C476" t="s">
        <v>164</v>
      </c>
      <c r="D476" s="5" t="s">
        <v>1660</v>
      </c>
      <c r="E476" s="5">
        <f ca="1">INDIRECT("'Sheet1'!AS69")</f>
        <v>0</v>
      </c>
      <c r="F476" t="b">
        <f t="shared" ca="1" si="35"/>
        <v>0</v>
      </c>
    </row>
    <row r="478" spans="1:6" x14ac:dyDescent="0.25">
      <c r="A478" t="s">
        <v>961</v>
      </c>
      <c r="B478" t="s">
        <v>1830</v>
      </c>
      <c r="C478" t="s">
        <v>165</v>
      </c>
      <c r="E478">
        <f ca="1">INDIRECT("'Sheet1'!AT70")</f>
        <v>0</v>
      </c>
      <c r="F478" t="b">
        <f t="shared" ref="F478:F479" ca="1" si="36">E478=D478</f>
        <v>1</v>
      </c>
    </row>
    <row r="479" spans="1:6" x14ac:dyDescent="0.25">
      <c r="A479" t="s">
        <v>962</v>
      </c>
      <c r="B479" t="s">
        <v>1847</v>
      </c>
      <c r="C479" t="s">
        <v>166</v>
      </c>
      <c r="D479" s="5" t="s">
        <v>1663</v>
      </c>
      <c r="E479" s="5">
        <f ca="1">INDIRECT("'Sheet1'!AU70")</f>
        <v>0</v>
      </c>
      <c r="F479" t="b">
        <f t="shared" ca="1" si="36"/>
        <v>0</v>
      </c>
    </row>
    <row r="481" spans="1:6" x14ac:dyDescent="0.25">
      <c r="A481" t="s">
        <v>963</v>
      </c>
      <c r="B481" t="s">
        <v>1855</v>
      </c>
      <c r="C481" t="s">
        <v>167</v>
      </c>
      <c r="D481">
        <v>20</v>
      </c>
      <c r="E481">
        <f ca="1">INDIRECT("'Sheet1'!AV71")</f>
        <v>0</v>
      </c>
      <c r="F481" t="b">
        <f t="shared" ref="F481:F482" ca="1" si="37">E481=D481</f>
        <v>0</v>
      </c>
    </row>
    <row r="482" spans="1:6" x14ac:dyDescent="0.25">
      <c r="A482" t="s">
        <v>964</v>
      </c>
      <c r="B482" t="s">
        <v>1854</v>
      </c>
      <c r="C482" t="s">
        <v>168</v>
      </c>
      <c r="D482" s="5" t="s">
        <v>1660</v>
      </c>
      <c r="E482" s="5">
        <f ca="1">INDIRECT("'Sheet1'!AW71")</f>
        <v>0</v>
      </c>
      <c r="F482" t="b">
        <f t="shared" ca="1" si="37"/>
        <v>0</v>
      </c>
    </row>
    <row r="484" spans="1:6" x14ac:dyDescent="0.25">
      <c r="A484" t="s">
        <v>965</v>
      </c>
      <c r="B484" t="s">
        <v>1852</v>
      </c>
      <c r="C484" t="s">
        <v>169</v>
      </c>
      <c r="D484">
        <v>20</v>
      </c>
      <c r="E484">
        <f ca="1">INDIRECT("'Sheet1'!AX72")</f>
        <v>0</v>
      </c>
      <c r="F484" t="b">
        <f t="shared" ref="F484:F485" ca="1" si="38">E484=D484</f>
        <v>0</v>
      </c>
    </row>
    <row r="485" spans="1:6" x14ac:dyDescent="0.25">
      <c r="A485" t="s">
        <v>966</v>
      </c>
      <c r="B485" t="s">
        <v>1853</v>
      </c>
      <c r="C485" t="s">
        <v>170</v>
      </c>
      <c r="D485" s="5" t="s">
        <v>1661</v>
      </c>
      <c r="E485" s="5">
        <f ca="1">INDIRECT("'Sheet1'!AY72")</f>
        <v>0</v>
      </c>
      <c r="F485" t="b">
        <f t="shared" ca="1" si="38"/>
        <v>0</v>
      </c>
    </row>
    <row r="487" spans="1:6" x14ac:dyDescent="0.25">
      <c r="A487" t="s">
        <v>967</v>
      </c>
      <c r="B487" t="s">
        <v>1851</v>
      </c>
      <c r="C487" t="s">
        <v>171</v>
      </c>
      <c r="D487">
        <v>20</v>
      </c>
      <c r="E487">
        <f ca="1">INDIRECT("'Sheet1'!AZ73")</f>
        <v>0</v>
      </c>
      <c r="F487" t="b">
        <f t="shared" ref="F487:F488" ca="1" si="39">E487=D487</f>
        <v>0</v>
      </c>
    </row>
    <row r="488" spans="1:6" x14ac:dyDescent="0.25">
      <c r="A488" t="s">
        <v>968</v>
      </c>
      <c r="B488" t="s">
        <v>1850</v>
      </c>
      <c r="C488" t="s">
        <v>172</v>
      </c>
      <c r="D488" s="5" t="s">
        <v>1662</v>
      </c>
      <c r="E488" s="5">
        <f ca="1">INDIRECT("'Sheet1'!BA73")</f>
        <v>0</v>
      </c>
      <c r="F488" t="b">
        <f t="shared" ca="1" si="39"/>
        <v>0</v>
      </c>
    </row>
    <row r="490" spans="1:6" x14ac:dyDescent="0.25">
      <c r="A490" t="s">
        <v>969</v>
      </c>
      <c r="B490" t="s">
        <v>1856</v>
      </c>
      <c r="C490" t="s">
        <v>163</v>
      </c>
      <c r="D490">
        <v>20</v>
      </c>
      <c r="E490">
        <f ca="1">INDIRECT("'Sheet1'!AR74")</f>
        <v>0</v>
      </c>
      <c r="F490" t="b">
        <f t="shared" ref="F490:F493" ca="1" si="40">E490=D490</f>
        <v>0</v>
      </c>
    </row>
    <row r="491" spans="1:6" x14ac:dyDescent="0.25">
      <c r="A491" t="s">
        <v>970</v>
      </c>
      <c r="B491" t="s">
        <v>1876</v>
      </c>
      <c r="C491" t="s">
        <v>164</v>
      </c>
      <c r="D491" s="5" t="s">
        <v>1663</v>
      </c>
      <c r="E491" s="5">
        <f ca="1">INDIRECT("'Sheet1'!AS74")</f>
        <v>0</v>
      </c>
      <c r="F491" t="b">
        <f t="shared" ca="1" si="40"/>
        <v>0</v>
      </c>
    </row>
    <row r="492" spans="1:6" x14ac:dyDescent="0.25">
      <c r="A492" t="s">
        <v>971</v>
      </c>
      <c r="B492" t="s">
        <v>1866</v>
      </c>
      <c r="C492" t="s">
        <v>165</v>
      </c>
      <c r="E492">
        <f ca="1">INDIRECT("'Sheet1'!AT74")</f>
        <v>0</v>
      </c>
      <c r="F492" t="b">
        <f t="shared" ca="1" si="40"/>
        <v>1</v>
      </c>
    </row>
    <row r="493" spans="1:6" x14ac:dyDescent="0.25">
      <c r="A493" t="s">
        <v>972</v>
      </c>
      <c r="B493" t="s">
        <v>1877</v>
      </c>
      <c r="C493" t="s">
        <v>166</v>
      </c>
      <c r="D493" s="5" t="s">
        <v>1663</v>
      </c>
      <c r="E493" s="5">
        <f ca="1">INDIRECT("'Sheet1'!AU74")</f>
        <v>0</v>
      </c>
      <c r="F493" t="b">
        <f t="shared" ca="1" si="40"/>
        <v>0</v>
      </c>
    </row>
    <row r="495" spans="1:6" x14ac:dyDescent="0.25">
      <c r="A495" t="s">
        <v>973</v>
      </c>
      <c r="B495" t="s">
        <v>1857</v>
      </c>
      <c r="C495" t="s">
        <v>163</v>
      </c>
      <c r="D495">
        <v>20</v>
      </c>
      <c r="E495">
        <f ca="1">INDIRECT("'Sheet1'!AR75")</f>
        <v>0</v>
      </c>
      <c r="F495" t="b">
        <f t="shared" ref="F495:F498" ca="1" si="41">E495=D495</f>
        <v>0</v>
      </c>
    </row>
    <row r="496" spans="1:6" x14ac:dyDescent="0.25">
      <c r="A496" t="s">
        <v>974</v>
      </c>
      <c r="B496" t="s">
        <v>1878</v>
      </c>
      <c r="C496" t="s">
        <v>164</v>
      </c>
      <c r="D496" s="5" t="s">
        <v>1660</v>
      </c>
      <c r="E496" s="5">
        <f ca="1">INDIRECT("'Sheet1'!AS75")</f>
        <v>0</v>
      </c>
      <c r="F496" t="b">
        <f t="shared" ca="1" si="41"/>
        <v>0</v>
      </c>
    </row>
    <row r="497" spans="1:6" x14ac:dyDescent="0.25">
      <c r="A497" t="s">
        <v>975</v>
      </c>
      <c r="B497" t="s">
        <v>1867</v>
      </c>
      <c r="C497" t="s">
        <v>169</v>
      </c>
      <c r="E497">
        <f ca="1">INDIRECT("'Sheet1'!AX75")</f>
        <v>0</v>
      </c>
      <c r="F497" t="b">
        <f t="shared" ca="1" si="41"/>
        <v>1</v>
      </c>
    </row>
    <row r="498" spans="1:6" x14ac:dyDescent="0.25">
      <c r="A498" t="s">
        <v>976</v>
      </c>
      <c r="B498" t="s">
        <v>1884</v>
      </c>
      <c r="C498" t="s">
        <v>170</v>
      </c>
      <c r="D498" s="5" t="s">
        <v>1661</v>
      </c>
      <c r="E498" s="5">
        <f ca="1">INDIRECT("'Sheet1'!AY75")</f>
        <v>0</v>
      </c>
      <c r="F498" t="b">
        <f t="shared" ca="1" si="41"/>
        <v>0</v>
      </c>
    </row>
    <row r="500" spans="1:6" x14ac:dyDescent="0.25">
      <c r="A500" t="s">
        <v>977</v>
      </c>
      <c r="B500" t="s">
        <v>1858</v>
      </c>
      <c r="C500" t="s">
        <v>165</v>
      </c>
      <c r="D500">
        <v>20</v>
      </c>
      <c r="E500">
        <f ca="1">INDIRECT("'Sheet1'!AT76")</f>
        <v>0</v>
      </c>
      <c r="F500" t="b">
        <f t="shared" ref="F500:F503" ca="1" si="42">E500=D500</f>
        <v>0</v>
      </c>
    </row>
    <row r="501" spans="1:6" x14ac:dyDescent="0.25">
      <c r="A501" t="s">
        <v>978</v>
      </c>
      <c r="B501" t="s">
        <v>1879</v>
      </c>
      <c r="C501" t="s">
        <v>166</v>
      </c>
      <c r="D501" s="5" t="s">
        <v>1660</v>
      </c>
      <c r="E501" s="5">
        <f ca="1">INDIRECT("'Sheet1'!AU76")</f>
        <v>0</v>
      </c>
      <c r="F501" t="b">
        <f t="shared" ca="1" si="42"/>
        <v>0</v>
      </c>
    </row>
    <row r="502" spans="1:6" x14ac:dyDescent="0.25">
      <c r="A502" t="s">
        <v>979</v>
      </c>
      <c r="B502" t="s">
        <v>1868</v>
      </c>
      <c r="C502" t="s">
        <v>167</v>
      </c>
      <c r="E502">
        <f ca="1">INDIRECT("'Sheet1'!AV76")</f>
        <v>0</v>
      </c>
      <c r="F502" t="b">
        <f t="shared" ca="1" si="42"/>
        <v>1</v>
      </c>
    </row>
    <row r="503" spans="1:6" x14ac:dyDescent="0.25">
      <c r="A503" t="s">
        <v>980</v>
      </c>
      <c r="B503" t="s">
        <v>1880</v>
      </c>
      <c r="C503" t="s">
        <v>168</v>
      </c>
      <c r="D503" s="5" t="s">
        <v>1660</v>
      </c>
      <c r="E503" s="5">
        <f ca="1">INDIRECT("'Sheet1'!AW76")</f>
        <v>0</v>
      </c>
      <c r="F503" t="b">
        <f t="shared" ca="1" si="42"/>
        <v>0</v>
      </c>
    </row>
    <row r="505" spans="1:6" x14ac:dyDescent="0.25">
      <c r="A505" t="s">
        <v>981</v>
      </c>
      <c r="B505" t="s">
        <v>1859</v>
      </c>
      <c r="C505" t="s">
        <v>167</v>
      </c>
      <c r="D505">
        <v>20</v>
      </c>
      <c r="E505">
        <f ca="1">INDIRECT("'Sheet1'!AV77")</f>
        <v>0</v>
      </c>
      <c r="F505" t="b">
        <f t="shared" ref="F505:F508" ca="1" si="43">E505=D505</f>
        <v>0</v>
      </c>
    </row>
    <row r="506" spans="1:6" x14ac:dyDescent="0.25">
      <c r="A506" t="s">
        <v>982</v>
      </c>
      <c r="B506" t="s">
        <v>1881</v>
      </c>
      <c r="C506" t="s">
        <v>168</v>
      </c>
      <c r="D506" s="5" t="s">
        <v>1660</v>
      </c>
      <c r="E506" s="5">
        <f ca="1">INDIRECT("'Sheet1'!AW77")</f>
        <v>0</v>
      </c>
      <c r="F506" t="b">
        <f t="shared" ca="1" si="43"/>
        <v>0</v>
      </c>
    </row>
    <row r="507" spans="1:6" x14ac:dyDescent="0.25">
      <c r="A507" t="s">
        <v>983</v>
      </c>
      <c r="B507" t="s">
        <v>1869</v>
      </c>
      <c r="C507" t="s">
        <v>171</v>
      </c>
      <c r="E507">
        <f ca="1">INDIRECT("'Sheet1'!AZ77")</f>
        <v>0</v>
      </c>
      <c r="F507" t="b">
        <f t="shared" ca="1" si="43"/>
        <v>1</v>
      </c>
    </row>
    <row r="508" spans="1:6" x14ac:dyDescent="0.25">
      <c r="A508" t="s">
        <v>984</v>
      </c>
      <c r="B508" t="s">
        <v>1886</v>
      </c>
      <c r="C508" t="s">
        <v>172</v>
      </c>
      <c r="D508" s="5" t="s">
        <v>1662</v>
      </c>
      <c r="E508" s="5">
        <f ca="1">INDIRECT("'Sheet1'!BA77")</f>
        <v>0</v>
      </c>
      <c r="F508" t="b">
        <f t="shared" ca="1" si="43"/>
        <v>0</v>
      </c>
    </row>
    <row r="510" spans="1:6" x14ac:dyDescent="0.25">
      <c r="A510" t="s">
        <v>985</v>
      </c>
      <c r="B510" t="s">
        <v>1860</v>
      </c>
      <c r="C510" t="s">
        <v>169</v>
      </c>
      <c r="D510">
        <v>20</v>
      </c>
      <c r="E510">
        <f ca="1">INDIRECT("'Sheet1'!AX78")</f>
        <v>0</v>
      </c>
      <c r="F510" t="b">
        <f t="shared" ref="F510:F513" ca="1" si="44">E510=D510</f>
        <v>0</v>
      </c>
    </row>
    <row r="511" spans="1:6" x14ac:dyDescent="0.25">
      <c r="A511" t="s">
        <v>986</v>
      </c>
      <c r="B511" t="s">
        <v>1887</v>
      </c>
      <c r="C511" t="s">
        <v>170</v>
      </c>
      <c r="D511" s="5" t="s">
        <v>1664</v>
      </c>
      <c r="E511" s="5">
        <f ca="1">INDIRECT("'Sheet1'!AY78")</f>
        <v>0</v>
      </c>
      <c r="F511" t="b">
        <f t="shared" ca="1" si="44"/>
        <v>0</v>
      </c>
    </row>
    <row r="512" spans="1:6" x14ac:dyDescent="0.25">
      <c r="A512" t="s">
        <v>987</v>
      </c>
      <c r="B512" t="s">
        <v>1885</v>
      </c>
      <c r="C512" t="s">
        <v>161</v>
      </c>
      <c r="D512">
        <v>21</v>
      </c>
      <c r="E512">
        <f ca="1">INDIRECT("'Sheet1'!AP78")</f>
        <v>0</v>
      </c>
      <c r="F512" t="b">
        <f t="shared" ca="1" si="44"/>
        <v>0</v>
      </c>
    </row>
    <row r="513" spans="1:6" x14ac:dyDescent="0.25">
      <c r="A513" t="s">
        <v>988</v>
      </c>
      <c r="B513" t="s">
        <v>1882</v>
      </c>
      <c r="C513" t="s">
        <v>162</v>
      </c>
      <c r="D513" s="5" t="s">
        <v>1660</v>
      </c>
      <c r="E513" s="5">
        <f ca="1">INDIRECT("'Sheet1'!AQ78")</f>
        <v>0</v>
      </c>
      <c r="F513" t="b">
        <f t="shared" ca="1" si="44"/>
        <v>0</v>
      </c>
    </row>
    <row r="515" spans="1:6" x14ac:dyDescent="0.25">
      <c r="A515" t="s">
        <v>989</v>
      </c>
      <c r="B515" t="s">
        <v>1861</v>
      </c>
      <c r="C515" t="s">
        <v>171</v>
      </c>
      <c r="D515">
        <v>20</v>
      </c>
      <c r="E515">
        <f ca="1">INDIRECT("'Sheet1'!AZ79")</f>
        <v>0</v>
      </c>
      <c r="F515" t="b">
        <f t="shared" ref="F515:F516" ca="1" si="45">E515=D515</f>
        <v>0</v>
      </c>
    </row>
    <row r="516" spans="1:6" x14ac:dyDescent="0.25">
      <c r="A516" t="s">
        <v>990</v>
      </c>
      <c r="B516" t="s">
        <v>1883</v>
      </c>
      <c r="C516" t="s">
        <v>172</v>
      </c>
      <c r="D516" s="5" t="s">
        <v>1665</v>
      </c>
      <c r="E516" s="5">
        <f ca="1">INDIRECT("'Sheet1'!BA79")</f>
        <v>0</v>
      </c>
      <c r="F516" t="b">
        <f t="shared" ca="1" si="45"/>
        <v>0</v>
      </c>
    </row>
    <row r="518" spans="1:6" x14ac:dyDescent="0.25">
      <c r="A518" t="s">
        <v>993</v>
      </c>
      <c r="B518" t="s">
        <v>1862</v>
      </c>
      <c r="C518" t="s">
        <v>159</v>
      </c>
      <c r="D518">
        <v>20</v>
      </c>
      <c r="E518">
        <f ca="1">INDIRECT("'Sheet1'!AN80")</f>
        <v>0</v>
      </c>
      <c r="F518" t="b">
        <f t="shared" ref="F518:F521" ca="1" si="46">E518=D518</f>
        <v>0</v>
      </c>
    </row>
    <row r="519" spans="1:6" x14ac:dyDescent="0.25">
      <c r="A519" t="s">
        <v>994</v>
      </c>
      <c r="B519" t="s">
        <v>1888</v>
      </c>
      <c r="C519" t="s">
        <v>160</v>
      </c>
      <c r="D519" s="5" t="s">
        <v>1666</v>
      </c>
      <c r="E519" s="5">
        <f ca="1">INDIRECT("'Sheet1'!AO80")</f>
        <v>0</v>
      </c>
      <c r="F519" t="b">
        <f t="shared" ca="1" si="46"/>
        <v>0</v>
      </c>
    </row>
    <row r="520" spans="1:6" x14ac:dyDescent="0.25">
      <c r="A520" t="s">
        <v>995</v>
      </c>
      <c r="B520" t="s">
        <v>1870</v>
      </c>
      <c r="C520" t="s">
        <v>161</v>
      </c>
      <c r="E520">
        <f ca="1">INDIRECT("'Sheet1'!AP80")</f>
        <v>0</v>
      </c>
      <c r="F520" t="b">
        <f t="shared" ca="1" si="46"/>
        <v>1</v>
      </c>
    </row>
    <row r="521" spans="1:6" x14ac:dyDescent="0.25">
      <c r="A521" t="s">
        <v>996</v>
      </c>
      <c r="B521" t="s">
        <v>1889</v>
      </c>
      <c r="C521" t="s">
        <v>162</v>
      </c>
      <c r="D521" s="5" t="s">
        <v>1667</v>
      </c>
      <c r="E521" s="5">
        <f ca="1">INDIRECT("'Sheet1'!AQ80")</f>
        <v>0</v>
      </c>
      <c r="F521" t="b">
        <f t="shared" ca="1" si="46"/>
        <v>0</v>
      </c>
    </row>
    <row r="523" spans="1:6" x14ac:dyDescent="0.25">
      <c r="A523" t="s">
        <v>997</v>
      </c>
      <c r="B523" t="s">
        <v>1863</v>
      </c>
      <c r="C523" t="s">
        <v>159</v>
      </c>
      <c r="D523">
        <v>20</v>
      </c>
      <c r="E523">
        <f ca="1">INDIRECT("'Sheet1'!AN81")</f>
        <v>0</v>
      </c>
      <c r="F523" t="b">
        <f t="shared" ref="F523:F524" ca="1" si="47">E523=D523</f>
        <v>0</v>
      </c>
    </row>
    <row r="524" spans="1:6" x14ac:dyDescent="0.25">
      <c r="A524" t="s">
        <v>998</v>
      </c>
      <c r="B524" t="s">
        <v>1890</v>
      </c>
      <c r="C524" t="s">
        <v>160</v>
      </c>
      <c r="D524" s="5" t="s">
        <v>1660</v>
      </c>
      <c r="E524">
        <f ca="1">INDIRECT("'Sheet1'!AO81")</f>
        <v>0</v>
      </c>
      <c r="F524" t="b">
        <f t="shared" ca="1" si="47"/>
        <v>0</v>
      </c>
    </row>
    <row r="526" spans="1:6" x14ac:dyDescent="0.25">
      <c r="A526" t="s">
        <v>1001</v>
      </c>
      <c r="B526" t="s">
        <v>1864</v>
      </c>
      <c r="C526" t="s">
        <v>159</v>
      </c>
      <c r="D526">
        <v>20</v>
      </c>
      <c r="E526">
        <f ca="1">INDIRECT("'Sheet1'!AN82")</f>
        <v>0</v>
      </c>
      <c r="F526" t="b">
        <f t="shared" ref="F526:F539" ca="1" si="48">E526=D526</f>
        <v>0</v>
      </c>
    </row>
    <row r="527" spans="1:6" x14ac:dyDescent="0.25">
      <c r="A527" t="s">
        <v>1002</v>
      </c>
      <c r="B527" t="s">
        <v>1891</v>
      </c>
      <c r="C527" t="s">
        <v>160</v>
      </c>
      <c r="D527" s="5" t="s">
        <v>1666</v>
      </c>
      <c r="E527" s="5">
        <f ca="1">INDIRECT("'Sheet1'!AO82")</f>
        <v>0</v>
      </c>
      <c r="F527" t="b">
        <f t="shared" ca="1" si="48"/>
        <v>0</v>
      </c>
    </row>
    <row r="528" spans="1:6" x14ac:dyDescent="0.25">
      <c r="A528" t="s">
        <v>1003</v>
      </c>
      <c r="B528" t="s">
        <v>1871</v>
      </c>
      <c r="C528" t="s">
        <v>161</v>
      </c>
      <c r="E528">
        <f ca="1">INDIRECT("'Sheet1'!AP82")</f>
        <v>0</v>
      </c>
      <c r="F528" t="b">
        <f t="shared" ca="1" si="48"/>
        <v>1</v>
      </c>
    </row>
    <row r="529" spans="1:6" x14ac:dyDescent="0.25">
      <c r="A529" t="s">
        <v>1004</v>
      </c>
      <c r="B529" t="s">
        <v>1892</v>
      </c>
      <c r="C529" t="s">
        <v>162</v>
      </c>
      <c r="D529" s="5" t="s">
        <v>1667</v>
      </c>
      <c r="E529" s="5">
        <f ca="1">INDIRECT("'Sheet1'!AQ82")</f>
        <v>0</v>
      </c>
      <c r="F529" t="b">
        <f t="shared" ca="1" si="48"/>
        <v>0</v>
      </c>
    </row>
    <row r="530" spans="1:6" x14ac:dyDescent="0.25">
      <c r="A530" t="s">
        <v>1005</v>
      </c>
      <c r="B530" t="s">
        <v>1872</v>
      </c>
      <c r="C530" t="s">
        <v>163</v>
      </c>
      <c r="E530">
        <f ca="1">INDIRECT("'Sheet1'!AR82")</f>
        <v>0</v>
      </c>
      <c r="F530" t="b">
        <f t="shared" ca="1" si="48"/>
        <v>1</v>
      </c>
    </row>
    <row r="531" spans="1:6" x14ac:dyDescent="0.25">
      <c r="A531" t="s">
        <v>1006</v>
      </c>
      <c r="B531" t="s">
        <v>1893</v>
      </c>
      <c r="C531" t="s">
        <v>164</v>
      </c>
      <c r="D531" s="5" t="s">
        <v>1667</v>
      </c>
      <c r="E531" s="5">
        <f ca="1">INDIRECT("'Sheet1'!AS82")</f>
        <v>0</v>
      </c>
      <c r="F531" t="b">
        <f t="shared" ca="1" si="48"/>
        <v>0</v>
      </c>
    </row>
    <row r="532" spans="1:6" x14ac:dyDescent="0.25">
      <c r="A532" t="s">
        <v>1007</v>
      </c>
      <c r="B532" t="s">
        <v>1865</v>
      </c>
      <c r="C532" t="s">
        <v>165</v>
      </c>
      <c r="D532">
        <v>23</v>
      </c>
      <c r="E532">
        <f ca="1">INDIRECT("'Sheet1'!AT82")</f>
        <v>0</v>
      </c>
      <c r="F532" t="b">
        <f t="shared" ca="1" si="48"/>
        <v>0</v>
      </c>
    </row>
    <row r="533" spans="1:6" x14ac:dyDescent="0.25">
      <c r="A533" t="s">
        <v>1008</v>
      </c>
      <c r="B533" t="s">
        <v>1895</v>
      </c>
      <c r="C533" t="s">
        <v>166</v>
      </c>
      <c r="D533" s="5" t="s">
        <v>1666</v>
      </c>
      <c r="E533" s="5">
        <f ca="1">INDIRECT("'Sheet1'!AU82")</f>
        <v>0</v>
      </c>
      <c r="F533" t="b">
        <f t="shared" ca="1" si="48"/>
        <v>0</v>
      </c>
    </row>
    <row r="534" spans="1:6" x14ac:dyDescent="0.25">
      <c r="A534" t="s">
        <v>1009</v>
      </c>
      <c r="B534" t="s">
        <v>1873</v>
      </c>
      <c r="C534" t="s">
        <v>167</v>
      </c>
      <c r="E534">
        <f ca="1">INDIRECT("'Sheet1'!AV82")</f>
        <v>0</v>
      </c>
      <c r="F534" t="b">
        <f t="shared" ca="1" si="48"/>
        <v>1</v>
      </c>
    </row>
    <row r="535" spans="1:6" x14ac:dyDescent="0.25">
      <c r="A535" t="s">
        <v>1010</v>
      </c>
      <c r="B535" t="s">
        <v>1894</v>
      </c>
      <c r="C535" t="s">
        <v>168</v>
      </c>
      <c r="D535" s="5" t="s">
        <v>1660</v>
      </c>
      <c r="E535" s="5">
        <f ca="1">INDIRECT("'Sheet1'!AW82")</f>
        <v>0</v>
      </c>
      <c r="F535" t="b">
        <f t="shared" ca="1" si="48"/>
        <v>0</v>
      </c>
    </row>
    <row r="536" spans="1:6" x14ac:dyDescent="0.25">
      <c r="A536" t="s">
        <v>1011</v>
      </c>
      <c r="B536" t="s">
        <v>1874</v>
      </c>
      <c r="C536" t="s">
        <v>169</v>
      </c>
      <c r="E536">
        <f ca="1">INDIRECT("'Sheet1'!AX82")</f>
        <v>0</v>
      </c>
      <c r="F536" t="b">
        <f t="shared" ca="1" si="48"/>
        <v>1</v>
      </c>
    </row>
    <row r="537" spans="1:6" x14ac:dyDescent="0.25">
      <c r="A537" t="s">
        <v>1012</v>
      </c>
      <c r="B537" t="s">
        <v>1896</v>
      </c>
      <c r="C537" t="s">
        <v>170</v>
      </c>
      <c r="D537" s="5" t="s">
        <v>1664</v>
      </c>
      <c r="E537" s="5">
        <f ca="1">INDIRECT("'Sheet1'!AY82")</f>
        <v>0</v>
      </c>
      <c r="F537" t="b">
        <f t="shared" ca="1" si="48"/>
        <v>0</v>
      </c>
    </row>
    <row r="538" spans="1:6" x14ac:dyDescent="0.25">
      <c r="A538" t="s">
        <v>1013</v>
      </c>
      <c r="B538" t="s">
        <v>1875</v>
      </c>
      <c r="C538" t="s">
        <v>171</v>
      </c>
      <c r="E538">
        <f ca="1">INDIRECT("'Sheet1'!AZ82")</f>
        <v>0</v>
      </c>
      <c r="F538" t="b">
        <f t="shared" ca="1" si="48"/>
        <v>1</v>
      </c>
    </row>
    <row r="539" spans="1:6" x14ac:dyDescent="0.25">
      <c r="A539" t="s">
        <v>1014</v>
      </c>
      <c r="B539" t="s">
        <v>1897</v>
      </c>
      <c r="C539" t="s">
        <v>172</v>
      </c>
      <c r="D539" s="5" t="s">
        <v>1662</v>
      </c>
      <c r="E539" s="5">
        <f ca="1">INDIRECT("'Sheet1'!BA82")</f>
        <v>0</v>
      </c>
      <c r="F539" t="b">
        <f t="shared" ca="1" si="48"/>
        <v>0</v>
      </c>
    </row>
    <row r="541" spans="1:6" x14ac:dyDescent="0.25">
      <c r="A541" t="s">
        <v>1015</v>
      </c>
      <c r="B541" t="s">
        <v>1898</v>
      </c>
      <c r="C541" t="s">
        <v>159</v>
      </c>
      <c r="E541">
        <f ca="1">INDIRECT("'Sheet1'!AN83")</f>
        <v>0</v>
      </c>
      <c r="F541" t="b">
        <f t="shared" ref="F541:F554" ca="1" si="49">E541=D541</f>
        <v>1</v>
      </c>
    </row>
    <row r="542" spans="1:6" x14ac:dyDescent="0.25">
      <c r="A542" t="s">
        <v>1016</v>
      </c>
      <c r="B542" t="s">
        <v>1899</v>
      </c>
      <c r="C542" t="s">
        <v>160</v>
      </c>
      <c r="E542">
        <f ca="1">INDIRECT("'Sheet1'!AO83")</f>
        <v>0</v>
      </c>
      <c r="F542" t="b">
        <f t="shared" ca="1" si="49"/>
        <v>1</v>
      </c>
    </row>
    <row r="543" spans="1:6" x14ac:dyDescent="0.25">
      <c r="A543" t="s">
        <v>1017</v>
      </c>
      <c r="B543" t="s">
        <v>1900</v>
      </c>
      <c r="C543" t="s">
        <v>161</v>
      </c>
      <c r="E543">
        <f ca="1">INDIRECT("'Sheet1'!AP83")</f>
        <v>0</v>
      </c>
      <c r="F543" t="b">
        <f t="shared" ca="1" si="49"/>
        <v>1</v>
      </c>
    </row>
    <row r="544" spans="1:6" x14ac:dyDescent="0.25">
      <c r="A544" t="s">
        <v>1018</v>
      </c>
      <c r="B544" t="s">
        <v>1901</v>
      </c>
      <c r="C544" t="s">
        <v>162</v>
      </c>
      <c r="E544">
        <f ca="1">INDIRECT("'Sheet1'!AQ83")</f>
        <v>0</v>
      </c>
      <c r="F544" t="b">
        <f t="shared" ca="1" si="49"/>
        <v>1</v>
      </c>
    </row>
    <row r="545" spans="1:6" x14ac:dyDescent="0.25">
      <c r="A545" t="s">
        <v>1019</v>
      </c>
      <c r="B545" t="s">
        <v>1902</v>
      </c>
      <c r="C545" t="s">
        <v>163</v>
      </c>
      <c r="E545">
        <f ca="1">INDIRECT("'Sheet1'!AR83")</f>
        <v>0</v>
      </c>
      <c r="F545" t="b">
        <f t="shared" ca="1" si="49"/>
        <v>1</v>
      </c>
    </row>
    <row r="546" spans="1:6" x14ac:dyDescent="0.25">
      <c r="A546" t="s">
        <v>1020</v>
      </c>
      <c r="B546" t="s">
        <v>1903</v>
      </c>
      <c r="C546" t="s">
        <v>164</v>
      </c>
      <c r="E546">
        <f ca="1">INDIRECT("'Sheet1'!AS83")</f>
        <v>0</v>
      </c>
      <c r="F546" t="b">
        <f t="shared" ca="1" si="49"/>
        <v>1</v>
      </c>
    </row>
    <row r="547" spans="1:6" x14ac:dyDescent="0.25">
      <c r="A547" t="s">
        <v>1021</v>
      </c>
      <c r="B547" t="s">
        <v>1904</v>
      </c>
      <c r="C547" t="s">
        <v>165</v>
      </c>
      <c r="E547">
        <f ca="1">INDIRECT("'Sheet1'!AT83")</f>
        <v>0</v>
      </c>
      <c r="F547" t="b">
        <f t="shared" ca="1" si="49"/>
        <v>1</v>
      </c>
    </row>
    <row r="548" spans="1:6" x14ac:dyDescent="0.25">
      <c r="A548" t="s">
        <v>1022</v>
      </c>
      <c r="B548" t="s">
        <v>1905</v>
      </c>
      <c r="C548" t="s">
        <v>166</v>
      </c>
      <c r="E548">
        <f ca="1">INDIRECT("'Sheet1'!AU83")</f>
        <v>0</v>
      </c>
      <c r="F548" t="b">
        <f t="shared" ca="1" si="49"/>
        <v>1</v>
      </c>
    </row>
    <row r="549" spans="1:6" x14ac:dyDescent="0.25">
      <c r="A549" t="s">
        <v>1023</v>
      </c>
      <c r="B549" t="s">
        <v>1906</v>
      </c>
      <c r="C549" t="s">
        <v>167</v>
      </c>
      <c r="E549">
        <f ca="1">INDIRECT("'Sheet1'!AV83")</f>
        <v>0</v>
      </c>
      <c r="F549" t="b">
        <f t="shared" ca="1" si="49"/>
        <v>1</v>
      </c>
    </row>
    <row r="550" spans="1:6" x14ac:dyDescent="0.25">
      <c r="A550" t="s">
        <v>1024</v>
      </c>
      <c r="B550" t="s">
        <v>1907</v>
      </c>
      <c r="C550" t="s">
        <v>168</v>
      </c>
      <c r="E550">
        <f ca="1">INDIRECT("'Sheet1'!AW83")</f>
        <v>0</v>
      </c>
      <c r="F550" t="b">
        <f t="shared" ca="1" si="49"/>
        <v>1</v>
      </c>
    </row>
    <row r="551" spans="1:6" x14ac:dyDescent="0.25">
      <c r="A551" t="s">
        <v>1025</v>
      </c>
      <c r="B551" t="s">
        <v>1908</v>
      </c>
      <c r="C551" t="s">
        <v>169</v>
      </c>
      <c r="E551">
        <f ca="1">INDIRECT("'Sheet1'!AX83")</f>
        <v>0</v>
      </c>
      <c r="F551" t="b">
        <f t="shared" ca="1" si="49"/>
        <v>1</v>
      </c>
    </row>
    <row r="552" spans="1:6" x14ac:dyDescent="0.25">
      <c r="A552" t="s">
        <v>1026</v>
      </c>
      <c r="B552" t="s">
        <v>1909</v>
      </c>
      <c r="C552" t="s">
        <v>170</v>
      </c>
      <c r="E552">
        <f ca="1">INDIRECT("'Sheet1'!AY83")</f>
        <v>0</v>
      </c>
      <c r="F552" t="b">
        <f t="shared" ca="1" si="49"/>
        <v>1</v>
      </c>
    </row>
    <row r="553" spans="1:6" x14ac:dyDescent="0.25">
      <c r="A553" t="s">
        <v>1027</v>
      </c>
      <c r="B553" t="s">
        <v>1910</v>
      </c>
      <c r="C553" t="s">
        <v>171</v>
      </c>
      <c r="E553">
        <f ca="1">INDIRECT("'Sheet1'!AZ83")</f>
        <v>0</v>
      </c>
      <c r="F553" t="b">
        <f t="shared" ca="1" si="49"/>
        <v>1</v>
      </c>
    </row>
    <row r="554" spans="1:6" x14ac:dyDescent="0.25">
      <c r="A554" t="s">
        <v>1028</v>
      </c>
      <c r="B554" t="s">
        <v>1911</v>
      </c>
      <c r="C554" t="s">
        <v>172</v>
      </c>
      <c r="E554">
        <f ca="1">INDIRECT("'Sheet1'!BA83")</f>
        <v>0</v>
      </c>
      <c r="F554" t="b">
        <f t="shared" ca="1" si="49"/>
        <v>1</v>
      </c>
    </row>
    <row r="556" spans="1:6" x14ac:dyDescent="0.25">
      <c r="A556" t="s">
        <v>1029</v>
      </c>
      <c r="B556" t="s">
        <v>1898</v>
      </c>
      <c r="C556" t="s">
        <v>159</v>
      </c>
      <c r="E556">
        <f ca="1">INDIRECT("'Sheet1'!AN84")</f>
        <v>0</v>
      </c>
      <c r="F556" t="b">
        <f t="shared" ref="F556:F569" ca="1" si="50">E556=D556</f>
        <v>1</v>
      </c>
    </row>
    <row r="557" spans="1:6" x14ac:dyDescent="0.25">
      <c r="A557" t="s">
        <v>1030</v>
      </c>
      <c r="B557" t="s">
        <v>1899</v>
      </c>
      <c r="C557" t="s">
        <v>160</v>
      </c>
      <c r="E557">
        <f ca="1">INDIRECT("'Sheet1'!AO84")</f>
        <v>0</v>
      </c>
      <c r="F557" t="b">
        <f t="shared" ca="1" si="50"/>
        <v>1</v>
      </c>
    </row>
    <row r="558" spans="1:6" x14ac:dyDescent="0.25">
      <c r="A558" t="s">
        <v>1031</v>
      </c>
      <c r="B558" t="s">
        <v>1900</v>
      </c>
      <c r="C558" t="s">
        <v>161</v>
      </c>
      <c r="E558">
        <f ca="1">INDIRECT("'Sheet1'!AP84")</f>
        <v>0</v>
      </c>
      <c r="F558" t="b">
        <f t="shared" ca="1" si="50"/>
        <v>1</v>
      </c>
    </row>
    <row r="559" spans="1:6" x14ac:dyDescent="0.25">
      <c r="A559" t="s">
        <v>1032</v>
      </c>
      <c r="B559" t="s">
        <v>1901</v>
      </c>
      <c r="C559" t="s">
        <v>162</v>
      </c>
      <c r="E559">
        <f ca="1">INDIRECT("'Sheet1'!AQ84")</f>
        <v>0</v>
      </c>
      <c r="F559" t="b">
        <f t="shared" ca="1" si="50"/>
        <v>1</v>
      </c>
    </row>
    <row r="560" spans="1:6" x14ac:dyDescent="0.25">
      <c r="A560" t="s">
        <v>1033</v>
      </c>
      <c r="B560" t="s">
        <v>1902</v>
      </c>
      <c r="C560" t="s">
        <v>163</v>
      </c>
      <c r="E560">
        <f ca="1">INDIRECT("'Sheet1'!AR84")</f>
        <v>0</v>
      </c>
      <c r="F560" t="b">
        <f t="shared" ca="1" si="50"/>
        <v>1</v>
      </c>
    </row>
    <row r="561" spans="1:6" x14ac:dyDescent="0.25">
      <c r="A561" t="s">
        <v>1034</v>
      </c>
      <c r="B561" t="s">
        <v>1903</v>
      </c>
      <c r="C561" t="s">
        <v>164</v>
      </c>
      <c r="E561">
        <f ca="1">INDIRECT("'Sheet1'!AS84")</f>
        <v>0</v>
      </c>
      <c r="F561" t="b">
        <f t="shared" ca="1" si="50"/>
        <v>1</v>
      </c>
    </row>
    <row r="562" spans="1:6" x14ac:dyDescent="0.25">
      <c r="A562" t="s">
        <v>1035</v>
      </c>
      <c r="B562" t="s">
        <v>1904</v>
      </c>
      <c r="C562" t="s">
        <v>165</v>
      </c>
      <c r="E562">
        <f ca="1">INDIRECT("'Sheet1'!AT84")</f>
        <v>0</v>
      </c>
      <c r="F562" t="b">
        <f t="shared" ca="1" si="50"/>
        <v>1</v>
      </c>
    </row>
    <row r="563" spans="1:6" x14ac:dyDescent="0.25">
      <c r="A563" t="s">
        <v>1036</v>
      </c>
      <c r="B563" t="s">
        <v>1905</v>
      </c>
      <c r="C563" t="s">
        <v>166</v>
      </c>
      <c r="E563">
        <f ca="1">INDIRECT("'Sheet1'!AU84")</f>
        <v>0</v>
      </c>
      <c r="F563" t="b">
        <f t="shared" ca="1" si="50"/>
        <v>1</v>
      </c>
    </row>
    <row r="564" spans="1:6" x14ac:dyDescent="0.25">
      <c r="A564" t="s">
        <v>1037</v>
      </c>
      <c r="B564" t="s">
        <v>1906</v>
      </c>
      <c r="C564" t="s">
        <v>167</v>
      </c>
      <c r="E564">
        <f ca="1">INDIRECT("'Sheet1'!AV84")</f>
        <v>0</v>
      </c>
      <c r="F564" t="b">
        <f t="shared" ca="1" si="50"/>
        <v>1</v>
      </c>
    </row>
    <row r="565" spans="1:6" x14ac:dyDescent="0.25">
      <c r="A565" t="s">
        <v>1038</v>
      </c>
      <c r="B565" t="s">
        <v>1907</v>
      </c>
      <c r="C565" t="s">
        <v>168</v>
      </c>
      <c r="E565">
        <f ca="1">INDIRECT("'Sheet1'!AW84")</f>
        <v>0</v>
      </c>
      <c r="F565" t="b">
        <f t="shared" ca="1" si="50"/>
        <v>1</v>
      </c>
    </row>
    <row r="566" spans="1:6" x14ac:dyDescent="0.25">
      <c r="A566" t="s">
        <v>1039</v>
      </c>
      <c r="B566" t="s">
        <v>1908</v>
      </c>
      <c r="C566" t="s">
        <v>169</v>
      </c>
      <c r="E566">
        <f ca="1">INDIRECT("'Sheet1'!AX84")</f>
        <v>0</v>
      </c>
      <c r="F566" t="b">
        <f t="shared" ca="1" si="50"/>
        <v>1</v>
      </c>
    </row>
    <row r="567" spans="1:6" x14ac:dyDescent="0.25">
      <c r="A567" t="s">
        <v>1040</v>
      </c>
      <c r="B567" t="s">
        <v>1909</v>
      </c>
      <c r="C567" t="s">
        <v>170</v>
      </c>
      <c r="E567">
        <f ca="1">INDIRECT("'Sheet1'!AY84")</f>
        <v>0</v>
      </c>
      <c r="F567" t="b">
        <f t="shared" ca="1" si="50"/>
        <v>1</v>
      </c>
    </row>
    <row r="568" spans="1:6" x14ac:dyDescent="0.25">
      <c r="A568" t="s">
        <v>1041</v>
      </c>
      <c r="B568" t="s">
        <v>1912</v>
      </c>
      <c r="C568" t="s">
        <v>171</v>
      </c>
      <c r="E568">
        <f ca="1">INDIRECT("'Sheet1'!AZ84")</f>
        <v>0</v>
      </c>
      <c r="F568" t="b">
        <f t="shared" ca="1" si="50"/>
        <v>1</v>
      </c>
    </row>
    <row r="569" spans="1:6" x14ac:dyDescent="0.25">
      <c r="A569" t="s">
        <v>1042</v>
      </c>
      <c r="B569" t="s">
        <v>1913</v>
      </c>
      <c r="C569" t="s">
        <v>172</v>
      </c>
      <c r="E569">
        <f ca="1">INDIRECT("'Sheet1'!BA84")</f>
        <v>0</v>
      </c>
      <c r="F569" t="b">
        <f t="shared" ca="1" si="50"/>
        <v>1</v>
      </c>
    </row>
    <row r="571" spans="1:6" x14ac:dyDescent="0.25">
      <c r="A571" t="s">
        <v>1043</v>
      </c>
      <c r="B571" t="s">
        <v>1953</v>
      </c>
      <c r="C571" t="s">
        <v>159</v>
      </c>
      <c r="D571">
        <v>20</v>
      </c>
      <c r="E571">
        <f ca="1">INDIRECT("'Sheet1'!AN85")</f>
        <v>0</v>
      </c>
      <c r="F571" t="b">
        <f t="shared" ref="F571:F584" ca="1" si="51">E571=D571</f>
        <v>0</v>
      </c>
    </row>
    <row r="572" spans="1:6" x14ac:dyDescent="0.25">
      <c r="A572" t="s">
        <v>1044</v>
      </c>
      <c r="B572" t="s">
        <v>1954</v>
      </c>
      <c r="C572" t="s">
        <v>160</v>
      </c>
      <c r="D572" s="5" t="s">
        <v>1666</v>
      </c>
      <c r="E572" s="5">
        <f ca="1">INDIRECT("'Sheet1'!AO85")</f>
        <v>0</v>
      </c>
      <c r="F572" t="b">
        <f t="shared" ca="1" si="51"/>
        <v>0</v>
      </c>
    </row>
    <row r="573" spans="1:6" x14ac:dyDescent="0.25">
      <c r="A573" t="s">
        <v>1045</v>
      </c>
      <c r="B573" t="s">
        <v>1955</v>
      </c>
      <c r="C573" t="s">
        <v>161</v>
      </c>
      <c r="E573">
        <f ca="1">INDIRECT("'Sheet1'!AP85")</f>
        <v>0</v>
      </c>
      <c r="F573" t="b">
        <f t="shared" ca="1" si="51"/>
        <v>1</v>
      </c>
    </row>
    <row r="574" spans="1:6" x14ac:dyDescent="0.25">
      <c r="A574" t="s">
        <v>1046</v>
      </c>
      <c r="B574" t="s">
        <v>1956</v>
      </c>
      <c r="C574" t="s">
        <v>162</v>
      </c>
      <c r="D574" s="5" t="s">
        <v>1667</v>
      </c>
      <c r="E574" s="5">
        <f ca="1">INDIRECT("'Sheet1'!AQ85")</f>
        <v>0</v>
      </c>
      <c r="F574" t="b">
        <f t="shared" ca="1" si="51"/>
        <v>0</v>
      </c>
    </row>
    <row r="575" spans="1:6" x14ac:dyDescent="0.25">
      <c r="A575" t="s">
        <v>1047</v>
      </c>
      <c r="B575" t="s">
        <v>1957</v>
      </c>
      <c r="C575" t="s">
        <v>163</v>
      </c>
      <c r="E575">
        <f ca="1">INDIRECT("'Sheet1'!AR85")</f>
        <v>0</v>
      </c>
      <c r="F575" t="b">
        <f t="shared" ca="1" si="51"/>
        <v>1</v>
      </c>
    </row>
    <row r="576" spans="1:6" x14ac:dyDescent="0.25">
      <c r="A576" t="s">
        <v>1048</v>
      </c>
      <c r="B576" t="s">
        <v>1958</v>
      </c>
      <c r="C576" t="s">
        <v>164</v>
      </c>
      <c r="D576" s="5" t="s">
        <v>1667</v>
      </c>
      <c r="E576" s="5">
        <f ca="1">INDIRECT("'Sheet1'!AS85")</f>
        <v>0</v>
      </c>
      <c r="F576" t="b">
        <f t="shared" ca="1" si="51"/>
        <v>0</v>
      </c>
    </row>
    <row r="577" spans="1:6" x14ac:dyDescent="0.25">
      <c r="A577" t="s">
        <v>1049</v>
      </c>
      <c r="B577" t="s">
        <v>1959</v>
      </c>
      <c r="C577" t="s">
        <v>165</v>
      </c>
      <c r="D577">
        <v>23</v>
      </c>
      <c r="E577">
        <f ca="1">INDIRECT("'Sheet1'!AT85")</f>
        <v>0</v>
      </c>
      <c r="F577" t="b">
        <f t="shared" ca="1" si="51"/>
        <v>0</v>
      </c>
    </row>
    <row r="578" spans="1:6" x14ac:dyDescent="0.25">
      <c r="A578" t="s">
        <v>1050</v>
      </c>
      <c r="B578" t="s">
        <v>1960</v>
      </c>
      <c r="C578" t="s">
        <v>166</v>
      </c>
      <c r="D578" s="5" t="s">
        <v>1666</v>
      </c>
      <c r="E578" s="5">
        <f ca="1">INDIRECT("'Sheet1'!AU85")</f>
        <v>0</v>
      </c>
      <c r="F578" t="b">
        <f t="shared" ca="1" si="51"/>
        <v>0</v>
      </c>
    </row>
    <row r="579" spans="1:6" x14ac:dyDescent="0.25">
      <c r="A579" t="s">
        <v>1051</v>
      </c>
      <c r="B579" t="s">
        <v>1961</v>
      </c>
      <c r="C579" t="s">
        <v>167</v>
      </c>
      <c r="E579">
        <f ca="1">INDIRECT("'Sheet1'!AV85")</f>
        <v>0</v>
      </c>
      <c r="F579" t="b">
        <f t="shared" ca="1" si="51"/>
        <v>1</v>
      </c>
    </row>
    <row r="580" spans="1:6" x14ac:dyDescent="0.25">
      <c r="A580" t="s">
        <v>1052</v>
      </c>
      <c r="B580" t="s">
        <v>1962</v>
      </c>
      <c r="C580" t="s">
        <v>168</v>
      </c>
      <c r="D580" s="5" t="s">
        <v>1660</v>
      </c>
      <c r="E580" s="5">
        <f ca="1">INDIRECT("'Sheet1'!AW85")</f>
        <v>0</v>
      </c>
      <c r="F580" t="b">
        <f t="shared" ca="1" si="51"/>
        <v>0</v>
      </c>
    </row>
    <row r="581" spans="1:6" x14ac:dyDescent="0.25">
      <c r="A581" t="s">
        <v>1053</v>
      </c>
      <c r="B581" t="s">
        <v>1963</v>
      </c>
      <c r="C581" t="s">
        <v>169</v>
      </c>
      <c r="E581">
        <f ca="1">INDIRECT("'Sheet1'!AX85")</f>
        <v>0</v>
      </c>
      <c r="F581" t="b">
        <f t="shared" ca="1" si="51"/>
        <v>1</v>
      </c>
    </row>
    <row r="582" spans="1:6" x14ac:dyDescent="0.25">
      <c r="A582" t="s">
        <v>1054</v>
      </c>
      <c r="B582" t="s">
        <v>1964</v>
      </c>
      <c r="C582" t="s">
        <v>170</v>
      </c>
      <c r="D582" s="5" t="s">
        <v>1664</v>
      </c>
      <c r="E582" s="5">
        <f ca="1">INDIRECT("'Sheet1'!AY85")</f>
        <v>0</v>
      </c>
      <c r="F582" t="b">
        <f t="shared" ca="1" si="51"/>
        <v>0</v>
      </c>
    </row>
    <row r="583" spans="1:6" x14ac:dyDescent="0.25">
      <c r="A583" t="s">
        <v>1055</v>
      </c>
      <c r="B583" t="s">
        <v>1965</v>
      </c>
      <c r="C583" t="s">
        <v>171</v>
      </c>
      <c r="E583">
        <f ca="1">INDIRECT("'Sheet1'!AZ85")</f>
        <v>0</v>
      </c>
      <c r="F583" t="b">
        <f t="shared" ca="1" si="51"/>
        <v>1</v>
      </c>
    </row>
    <row r="584" spans="1:6" x14ac:dyDescent="0.25">
      <c r="A584" t="s">
        <v>1056</v>
      </c>
      <c r="B584" t="s">
        <v>1966</v>
      </c>
      <c r="C584" t="s">
        <v>172</v>
      </c>
      <c r="D584" s="5" t="s">
        <v>1662</v>
      </c>
      <c r="E584" s="5">
        <f ca="1">INDIRECT("'Sheet1'!BA85")</f>
        <v>0</v>
      </c>
      <c r="F584" t="b">
        <f t="shared" ca="1" si="51"/>
        <v>0</v>
      </c>
    </row>
    <row r="586" spans="1:6" x14ac:dyDescent="0.25">
      <c r="A586" t="s">
        <v>1057</v>
      </c>
      <c r="B586" t="s">
        <v>1953</v>
      </c>
      <c r="C586" t="s">
        <v>159</v>
      </c>
      <c r="D586">
        <v>20</v>
      </c>
      <c r="E586">
        <f ca="1">INDIRECT("'Sheet1'!AN86")</f>
        <v>0</v>
      </c>
      <c r="F586" t="b">
        <f t="shared" ref="F586:F599" ca="1" si="52">E586=D586</f>
        <v>0</v>
      </c>
    </row>
    <row r="587" spans="1:6" x14ac:dyDescent="0.25">
      <c r="A587" t="s">
        <v>1058</v>
      </c>
      <c r="B587" t="s">
        <v>1954</v>
      </c>
      <c r="C587" t="s">
        <v>160</v>
      </c>
      <c r="D587" s="5" t="s">
        <v>1666</v>
      </c>
      <c r="E587" s="5">
        <f ca="1">INDIRECT("'Sheet1'!AO86")</f>
        <v>0</v>
      </c>
      <c r="F587" t="b">
        <f t="shared" ca="1" si="52"/>
        <v>0</v>
      </c>
    </row>
    <row r="588" spans="1:6" x14ac:dyDescent="0.25">
      <c r="A588" t="s">
        <v>1059</v>
      </c>
      <c r="B588" t="s">
        <v>1955</v>
      </c>
      <c r="C588" t="s">
        <v>161</v>
      </c>
      <c r="E588">
        <f ca="1">INDIRECT("'Sheet1'!AP86")</f>
        <v>0</v>
      </c>
      <c r="F588" t="b">
        <f t="shared" ca="1" si="52"/>
        <v>1</v>
      </c>
    </row>
    <row r="589" spans="1:6" x14ac:dyDescent="0.25">
      <c r="A589" t="s">
        <v>1060</v>
      </c>
      <c r="B589" t="s">
        <v>1956</v>
      </c>
      <c r="C589" t="s">
        <v>162</v>
      </c>
      <c r="D589" s="5" t="s">
        <v>1667</v>
      </c>
      <c r="E589" s="5">
        <f ca="1">INDIRECT("'Sheet1'!AQ86")</f>
        <v>0</v>
      </c>
      <c r="F589" t="b">
        <f t="shared" ca="1" si="52"/>
        <v>0</v>
      </c>
    </row>
    <row r="590" spans="1:6" x14ac:dyDescent="0.25">
      <c r="A590" t="s">
        <v>1061</v>
      </c>
      <c r="B590" t="s">
        <v>1957</v>
      </c>
      <c r="C590" t="s">
        <v>163</v>
      </c>
      <c r="E590">
        <f ca="1">INDIRECT("'Sheet1'!AR86")</f>
        <v>0</v>
      </c>
      <c r="F590" t="b">
        <f t="shared" ca="1" si="52"/>
        <v>1</v>
      </c>
    </row>
    <row r="591" spans="1:6" x14ac:dyDescent="0.25">
      <c r="A591" t="s">
        <v>1062</v>
      </c>
      <c r="B591" t="s">
        <v>1958</v>
      </c>
      <c r="C591" t="s">
        <v>164</v>
      </c>
      <c r="D591" s="5" t="s">
        <v>1667</v>
      </c>
      <c r="E591" s="5">
        <f ca="1">INDIRECT("'Sheet1'!AS86")</f>
        <v>0</v>
      </c>
      <c r="F591" t="b">
        <f t="shared" ca="1" si="52"/>
        <v>0</v>
      </c>
    </row>
    <row r="592" spans="1:6" x14ac:dyDescent="0.25">
      <c r="A592" t="s">
        <v>1063</v>
      </c>
      <c r="B592" t="s">
        <v>1959</v>
      </c>
      <c r="C592" t="s">
        <v>165</v>
      </c>
      <c r="D592">
        <v>23</v>
      </c>
      <c r="E592">
        <f ca="1">INDIRECT("'Sheet1'!AT86")</f>
        <v>0</v>
      </c>
      <c r="F592" t="b">
        <f t="shared" ca="1" si="52"/>
        <v>0</v>
      </c>
    </row>
    <row r="593" spans="1:6" x14ac:dyDescent="0.25">
      <c r="A593" t="s">
        <v>1064</v>
      </c>
      <c r="B593" t="s">
        <v>1960</v>
      </c>
      <c r="C593" t="s">
        <v>166</v>
      </c>
      <c r="D593" s="5" t="s">
        <v>1666</v>
      </c>
      <c r="E593" s="5">
        <f ca="1">INDIRECT("'Sheet1'!AU86")</f>
        <v>0</v>
      </c>
      <c r="F593" t="b">
        <f t="shared" ca="1" si="52"/>
        <v>0</v>
      </c>
    </row>
    <row r="594" spans="1:6" x14ac:dyDescent="0.25">
      <c r="A594" t="s">
        <v>1065</v>
      </c>
      <c r="B594" t="s">
        <v>1961</v>
      </c>
      <c r="C594" t="s">
        <v>167</v>
      </c>
      <c r="E594">
        <f ca="1">INDIRECT("'Sheet1'!AV86")</f>
        <v>0</v>
      </c>
      <c r="F594" t="b">
        <f t="shared" ca="1" si="52"/>
        <v>1</v>
      </c>
    </row>
    <row r="595" spans="1:6" x14ac:dyDescent="0.25">
      <c r="A595" t="s">
        <v>1066</v>
      </c>
      <c r="B595" t="s">
        <v>1962</v>
      </c>
      <c r="C595" t="s">
        <v>168</v>
      </c>
      <c r="D595" s="5" t="s">
        <v>1660</v>
      </c>
      <c r="E595" s="5">
        <f ca="1">INDIRECT("'Sheet1'!AW86")</f>
        <v>0</v>
      </c>
      <c r="F595" t="b">
        <f t="shared" ca="1" si="52"/>
        <v>0</v>
      </c>
    </row>
    <row r="596" spans="1:6" x14ac:dyDescent="0.25">
      <c r="A596" t="s">
        <v>1067</v>
      </c>
      <c r="B596" t="s">
        <v>1963</v>
      </c>
      <c r="C596" t="s">
        <v>169</v>
      </c>
      <c r="E596">
        <f ca="1">INDIRECT("'Sheet1'!AX86")</f>
        <v>0</v>
      </c>
      <c r="F596" t="b">
        <f t="shared" ca="1" si="52"/>
        <v>1</v>
      </c>
    </row>
    <row r="597" spans="1:6" x14ac:dyDescent="0.25">
      <c r="A597" t="s">
        <v>1068</v>
      </c>
      <c r="B597" t="s">
        <v>1964</v>
      </c>
      <c r="C597" t="s">
        <v>170</v>
      </c>
      <c r="D597" s="5" t="s">
        <v>1664</v>
      </c>
      <c r="E597" s="5">
        <f ca="1">INDIRECT("'Sheet1'!AY86")</f>
        <v>0</v>
      </c>
      <c r="F597" t="b">
        <f t="shared" ca="1" si="52"/>
        <v>0</v>
      </c>
    </row>
    <row r="598" spans="1:6" x14ac:dyDescent="0.25">
      <c r="A598" t="s">
        <v>1069</v>
      </c>
      <c r="B598" t="s">
        <v>1965</v>
      </c>
      <c r="C598" t="s">
        <v>171</v>
      </c>
      <c r="E598">
        <f ca="1">INDIRECT("'Sheet1'!AZ86")</f>
        <v>0</v>
      </c>
      <c r="F598" t="b">
        <f t="shared" ca="1" si="52"/>
        <v>1</v>
      </c>
    </row>
    <row r="599" spans="1:6" x14ac:dyDescent="0.25">
      <c r="A599" t="s">
        <v>1070</v>
      </c>
      <c r="B599" t="s">
        <v>1966</v>
      </c>
      <c r="C599" t="s">
        <v>172</v>
      </c>
      <c r="D599" s="5" t="s">
        <v>1662</v>
      </c>
      <c r="E599" s="5">
        <f ca="1">INDIRECT("'Sheet1'!BA86")</f>
        <v>0</v>
      </c>
      <c r="F599" t="b">
        <f t="shared" ca="1" si="52"/>
        <v>0</v>
      </c>
    </row>
    <row r="601" spans="1:6" x14ac:dyDescent="0.25">
      <c r="A601" t="s">
        <v>1071</v>
      </c>
      <c r="B601" t="s">
        <v>1953</v>
      </c>
      <c r="C601" t="s">
        <v>159</v>
      </c>
      <c r="D601">
        <v>20</v>
      </c>
      <c r="E601">
        <f ca="1">INDIRECT("'Sheet1'!AN87")</f>
        <v>0</v>
      </c>
      <c r="F601" t="b">
        <f t="shared" ref="F601:F614" ca="1" si="53">E601=D601</f>
        <v>0</v>
      </c>
    </row>
    <row r="602" spans="1:6" x14ac:dyDescent="0.25">
      <c r="A602" t="s">
        <v>1072</v>
      </c>
      <c r="B602" t="s">
        <v>1954</v>
      </c>
      <c r="C602" t="s">
        <v>160</v>
      </c>
      <c r="D602" s="5" t="s">
        <v>1666</v>
      </c>
      <c r="E602" s="5">
        <f ca="1">INDIRECT("'Sheet1'!AO87")</f>
        <v>0</v>
      </c>
      <c r="F602" t="b">
        <f t="shared" ca="1" si="53"/>
        <v>0</v>
      </c>
    </row>
    <row r="603" spans="1:6" x14ac:dyDescent="0.25">
      <c r="A603" t="s">
        <v>1073</v>
      </c>
      <c r="B603" t="s">
        <v>1955</v>
      </c>
      <c r="C603" t="s">
        <v>161</v>
      </c>
      <c r="E603">
        <f ca="1">INDIRECT("'Sheet1'!AP87")</f>
        <v>0</v>
      </c>
      <c r="F603" t="b">
        <f t="shared" ca="1" si="53"/>
        <v>1</v>
      </c>
    </row>
    <row r="604" spans="1:6" x14ac:dyDescent="0.25">
      <c r="A604" t="s">
        <v>1074</v>
      </c>
      <c r="B604" t="s">
        <v>1956</v>
      </c>
      <c r="C604" t="s">
        <v>162</v>
      </c>
      <c r="D604" s="5" t="s">
        <v>1667</v>
      </c>
      <c r="E604" s="5">
        <f ca="1">INDIRECT("'Sheet1'!AQ87")</f>
        <v>0</v>
      </c>
      <c r="F604" t="b">
        <f t="shared" ca="1" si="53"/>
        <v>0</v>
      </c>
    </row>
    <row r="605" spans="1:6" x14ac:dyDescent="0.25">
      <c r="A605" t="s">
        <v>1075</v>
      </c>
      <c r="B605" t="s">
        <v>1957</v>
      </c>
      <c r="C605" t="s">
        <v>163</v>
      </c>
      <c r="E605">
        <f ca="1">INDIRECT("'Sheet1'!AR87")</f>
        <v>0</v>
      </c>
      <c r="F605" t="b">
        <f t="shared" ca="1" si="53"/>
        <v>1</v>
      </c>
    </row>
    <row r="606" spans="1:6" x14ac:dyDescent="0.25">
      <c r="A606" t="s">
        <v>1076</v>
      </c>
      <c r="B606" t="s">
        <v>1958</v>
      </c>
      <c r="C606" t="s">
        <v>164</v>
      </c>
      <c r="D606" s="5" t="s">
        <v>1667</v>
      </c>
      <c r="E606" s="5">
        <f ca="1">INDIRECT("'Sheet1'!AS87")</f>
        <v>0</v>
      </c>
      <c r="F606" t="b">
        <f t="shared" ca="1" si="53"/>
        <v>0</v>
      </c>
    </row>
    <row r="607" spans="1:6" x14ac:dyDescent="0.25">
      <c r="A607" t="s">
        <v>1077</v>
      </c>
      <c r="B607" t="s">
        <v>1959</v>
      </c>
      <c r="C607" t="s">
        <v>165</v>
      </c>
      <c r="D607">
        <v>23</v>
      </c>
      <c r="E607">
        <f ca="1">INDIRECT("'Sheet1'!AT87")</f>
        <v>0</v>
      </c>
      <c r="F607" t="b">
        <f t="shared" ca="1" si="53"/>
        <v>0</v>
      </c>
    </row>
    <row r="608" spans="1:6" x14ac:dyDescent="0.25">
      <c r="A608" t="s">
        <v>1078</v>
      </c>
      <c r="B608" t="s">
        <v>1960</v>
      </c>
      <c r="C608" t="s">
        <v>166</v>
      </c>
      <c r="D608" s="5" t="s">
        <v>1666</v>
      </c>
      <c r="E608" s="5">
        <f ca="1">INDIRECT("'Sheet1'!AU87")</f>
        <v>0</v>
      </c>
      <c r="F608" t="b">
        <f t="shared" ca="1" si="53"/>
        <v>0</v>
      </c>
    </row>
    <row r="609" spans="1:6" x14ac:dyDescent="0.25">
      <c r="A609" t="s">
        <v>1079</v>
      </c>
      <c r="B609" t="s">
        <v>1961</v>
      </c>
      <c r="C609" t="s">
        <v>167</v>
      </c>
      <c r="E609">
        <f ca="1">INDIRECT("'Sheet1'!AV87")</f>
        <v>0</v>
      </c>
      <c r="F609" t="b">
        <f t="shared" ca="1" si="53"/>
        <v>1</v>
      </c>
    </row>
    <row r="610" spans="1:6" x14ac:dyDescent="0.25">
      <c r="A610" t="s">
        <v>1080</v>
      </c>
      <c r="B610" t="s">
        <v>1962</v>
      </c>
      <c r="C610" t="s">
        <v>168</v>
      </c>
      <c r="D610" s="5" t="s">
        <v>1660</v>
      </c>
      <c r="E610" s="5">
        <f ca="1">INDIRECT("'Sheet1'!AW87")</f>
        <v>0</v>
      </c>
      <c r="F610" t="b">
        <f t="shared" ca="1" si="53"/>
        <v>0</v>
      </c>
    </row>
    <row r="611" spans="1:6" x14ac:dyDescent="0.25">
      <c r="A611" t="s">
        <v>1081</v>
      </c>
      <c r="B611" t="s">
        <v>1963</v>
      </c>
      <c r="C611" t="s">
        <v>169</v>
      </c>
      <c r="E611">
        <f ca="1">INDIRECT("'Sheet1'!AX87")</f>
        <v>0</v>
      </c>
      <c r="F611" t="b">
        <f t="shared" ca="1" si="53"/>
        <v>1</v>
      </c>
    </row>
    <row r="612" spans="1:6" x14ac:dyDescent="0.25">
      <c r="A612" t="s">
        <v>1082</v>
      </c>
      <c r="B612" t="s">
        <v>1964</v>
      </c>
      <c r="C612" t="s">
        <v>170</v>
      </c>
      <c r="D612" s="5" t="s">
        <v>1664</v>
      </c>
      <c r="E612" s="5">
        <f ca="1">INDIRECT("'Sheet1'!AY87")</f>
        <v>0</v>
      </c>
      <c r="F612" t="b">
        <f t="shared" ca="1" si="53"/>
        <v>0</v>
      </c>
    </row>
    <row r="613" spans="1:6" x14ac:dyDescent="0.25">
      <c r="A613" t="s">
        <v>1083</v>
      </c>
      <c r="B613" t="s">
        <v>1965</v>
      </c>
      <c r="C613" t="s">
        <v>171</v>
      </c>
      <c r="E613">
        <f ca="1">INDIRECT("'Sheet1'!AZ87")</f>
        <v>0</v>
      </c>
      <c r="F613" t="b">
        <f t="shared" ca="1" si="53"/>
        <v>1</v>
      </c>
    </row>
    <row r="614" spans="1:6" x14ac:dyDescent="0.25">
      <c r="A614" t="s">
        <v>1084</v>
      </c>
      <c r="B614" t="s">
        <v>1966</v>
      </c>
      <c r="C614" t="s">
        <v>172</v>
      </c>
      <c r="D614" s="5" t="s">
        <v>1662</v>
      </c>
      <c r="E614" s="5">
        <f ca="1">INDIRECT("'Sheet1'!BA87")</f>
        <v>0</v>
      </c>
      <c r="F614" t="b">
        <f t="shared" ca="1" si="53"/>
        <v>0</v>
      </c>
    </row>
    <row r="616" spans="1:6" x14ac:dyDescent="0.25">
      <c r="A616" t="s">
        <v>1085</v>
      </c>
      <c r="B616" t="s">
        <v>1953</v>
      </c>
      <c r="C616" t="s">
        <v>159</v>
      </c>
      <c r="D616">
        <v>20</v>
      </c>
      <c r="E616">
        <f ca="1">INDIRECT("'Sheet1'!AN88")</f>
        <v>0</v>
      </c>
      <c r="F616" t="b">
        <f t="shared" ref="F616:F629" ca="1" si="54">E616=D616</f>
        <v>0</v>
      </c>
    </row>
    <row r="617" spans="1:6" x14ac:dyDescent="0.25">
      <c r="A617" t="s">
        <v>1086</v>
      </c>
      <c r="B617" t="s">
        <v>1954</v>
      </c>
      <c r="C617" t="s">
        <v>160</v>
      </c>
      <c r="D617" s="5" t="s">
        <v>1666</v>
      </c>
      <c r="E617" s="5">
        <f ca="1">INDIRECT("'Sheet1'!AO88")</f>
        <v>0</v>
      </c>
      <c r="F617" t="b">
        <f t="shared" ca="1" si="54"/>
        <v>0</v>
      </c>
    </row>
    <row r="618" spans="1:6" x14ac:dyDescent="0.25">
      <c r="A618" t="s">
        <v>1087</v>
      </c>
      <c r="B618" t="s">
        <v>1955</v>
      </c>
      <c r="C618" t="s">
        <v>161</v>
      </c>
      <c r="E618">
        <f ca="1">INDIRECT("'Sheet1'!AP88")</f>
        <v>0</v>
      </c>
      <c r="F618" t="b">
        <f t="shared" ca="1" si="54"/>
        <v>1</v>
      </c>
    </row>
    <row r="619" spans="1:6" x14ac:dyDescent="0.25">
      <c r="A619" t="s">
        <v>1088</v>
      </c>
      <c r="B619" t="s">
        <v>1956</v>
      </c>
      <c r="C619" t="s">
        <v>162</v>
      </c>
      <c r="D619" s="5" t="s">
        <v>1667</v>
      </c>
      <c r="E619" s="5">
        <f ca="1">INDIRECT("'Sheet1'!AQ88")</f>
        <v>0</v>
      </c>
      <c r="F619" t="b">
        <f t="shared" ca="1" si="54"/>
        <v>0</v>
      </c>
    </row>
    <row r="620" spans="1:6" x14ac:dyDescent="0.25">
      <c r="A620" t="s">
        <v>1089</v>
      </c>
      <c r="B620" t="s">
        <v>1957</v>
      </c>
      <c r="C620" t="s">
        <v>163</v>
      </c>
      <c r="E620">
        <f ca="1">INDIRECT("'Sheet1'!AR88")</f>
        <v>0</v>
      </c>
      <c r="F620" t="b">
        <f t="shared" ca="1" si="54"/>
        <v>1</v>
      </c>
    </row>
    <row r="621" spans="1:6" x14ac:dyDescent="0.25">
      <c r="A621" t="s">
        <v>1090</v>
      </c>
      <c r="B621" t="s">
        <v>1958</v>
      </c>
      <c r="C621" t="s">
        <v>164</v>
      </c>
      <c r="D621" s="5" t="s">
        <v>1667</v>
      </c>
      <c r="E621" s="5">
        <f ca="1">INDIRECT("'Sheet1'!AS88")</f>
        <v>0</v>
      </c>
      <c r="F621" t="b">
        <f t="shared" ca="1" si="54"/>
        <v>0</v>
      </c>
    </row>
    <row r="622" spans="1:6" x14ac:dyDescent="0.25">
      <c r="A622" t="s">
        <v>1091</v>
      </c>
      <c r="B622" t="s">
        <v>1959</v>
      </c>
      <c r="C622" t="s">
        <v>165</v>
      </c>
      <c r="D622">
        <v>23</v>
      </c>
      <c r="E622">
        <f ca="1">INDIRECT("'Sheet1'!AT88")</f>
        <v>0</v>
      </c>
      <c r="F622" t="b">
        <f t="shared" ca="1" si="54"/>
        <v>0</v>
      </c>
    </row>
    <row r="623" spans="1:6" x14ac:dyDescent="0.25">
      <c r="A623" t="s">
        <v>1092</v>
      </c>
      <c r="B623" t="s">
        <v>1960</v>
      </c>
      <c r="C623" t="s">
        <v>166</v>
      </c>
      <c r="D623" s="5" t="s">
        <v>1666</v>
      </c>
      <c r="E623" s="5">
        <f ca="1">INDIRECT("'Sheet1'!AU88")</f>
        <v>0</v>
      </c>
      <c r="F623" t="b">
        <f t="shared" ca="1" si="54"/>
        <v>0</v>
      </c>
    </row>
    <row r="624" spans="1:6" x14ac:dyDescent="0.25">
      <c r="A624" t="s">
        <v>1093</v>
      </c>
      <c r="B624" t="s">
        <v>1961</v>
      </c>
      <c r="C624" t="s">
        <v>167</v>
      </c>
      <c r="E624">
        <f ca="1">INDIRECT("'Sheet1'!AV88")</f>
        <v>0</v>
      </c>
      <c r="F624" t="b">
        <f t="shared" ca="1" si="54"/>
        <v>1</v>
      </c>
    </row>
    <row r="625" spans="1:6" x14ac:dyDescent="0.25">
      <c r="A625" t="s">
        <v>1094</v>
      </c>
      <c r="B625" t="s">
        <v>1962</v>
      </c>
      <c r="C625" t="s">
        <v>168</v>
      </c>
      <c r="D625" s="5" t="s">
        <v>1660</v>
      </c>
      <c r="E625" s="5">
        <f ca="1">INDIRECT("'Sheet1'!AW88")</f>
        <v>0</v>
      </c>
      <c r="F625" t="b">
        <f t="shared" ca="1" si="54"/>
        <v>0</v>
      </c>
    </row>
    <row r="626" spans="1:6" x14ac:dyDescent="0.25">
      <c r="A626" t="s">
        <v>1095</v>
      </c>
      <c r="B626" t="s">
        <v>1963</v>
      </c>
      <c r="C626" t="s">
        <v>169</v>
      </c>
      <c r="E626">
        <f ca="1">INDIRECT("'Sheet1'!AX88")</f>
        <v>0</v>
      </c>
      <c r="F626" t="b">
        <f t="shared" ca="1" si="54"/>
        <v>1</v>
      </c>
    </row>
    <row r="627" spans="1:6" x14ac:dyDescent="0.25">
      <c r="A627" t="s">
        <v>1096</v>
      </c>
      <c r="B627" t="s">
        <v>1964</v>
      </c>
      <c r="C627" t="s">
        <v>170</v>
      </c>
      <c r="D627" s="5" t="s">
        <v>1664</v>
      </c>
      <c r="E627" s="5">
        <f ca="1">INDIRECT("'Sheet1'!AY88")</f>
        <v>0</v>
      </c>
      <c r="F627" t="b">
        <f t="shared" ca="1" si="54"/>
        <v>0</v>
      </c>
    </row>
    <row r="628" spans="1:6" x14ac:dyDescent="0.25">
      <c r="A628" t="s">
        <v>1097</v>
      </c>
      <c r="B628" t="s">
        <v>1965</v>
      </c>
      <c r="C628" t="s">
        <v>171</v>
      </c>
      <c r="E628">
        <f ca="1">INDIRECT("'Sheet1'!AZ88")</f>
        <v>0</v>
      </c>
      <c r="F628" t="b">
        <f t="shared" ca="1" si="54"/>
        <v>1</v>
      </c>
    </row>
    <row r="629" spans="1:6" x14ac:dyDescent="0.25">
      <c r="A629" t="s">
        <v>1098</v>
      </c>
      <c r="B629" t="s">
        <v>1966</v>
      </c>
      <c r="C629" t="s">
        <v>172</v>
      </c>
      <c r="D629" s="5" t="s">
        <v>1662</v>
      </c>
      <c r="E629" s="5">
        <f ca="1">INDIRECT("'Sheet1'!BA88")</f>
        <v>0</v>
      </c>
      <c r="F629" t="b">
        <f t="shared" ca="1" si="54"/>
        <v>0</v>
      </c>
    </row>
    <row r="631" spans="1:6" x14ac:dyDescent="0.25">
      <c r="A631" t="s">
        <v>1099</v>
      </c>
      <c r="B631" t="s">
        <v>1953</v>
      </c>
      <c r="C631" t="s">
        <v>159</v>
      </c>
      <c r="D631">
        <v>20</v>
      </c>
      <c r="E631">
        <f ca="1">INDIRECT("'Sheet1'!AN89")</f>
        <v>0</v>
      </c>
      <c r="F631" t="b">
        <f t="shared" ref="F631:F644" ca="1" si="55">E631=D631</f>
        <v>0</v>
      </c>
    </row>
    <row r="632" spans="1:6" x14ac:dyDescent="0.25">
      <c r="A632" t="s">
        <v>1100</v>
      </c>
      <c r="B632" t="s">
        <v>1954</v>
      </c>
      <c r="C632" t="s">
        <v>160</v>
      </c>
      <c r="D632" s="5" t="s">
        <v>1666</v>
      </c>
      <c r="E632" s="5">
        <f ca="1">INDIRECT("'Sheet1'!AO89")</f>
        <v>0</v>
      </c>
      <c r="F632" t="b">
        <f t="shared" ca="1" si="55"/>
        <v>0</v>
      </c>
    </row>
    <row r="633" spans="1:6" x14ac:dyDescent="0.25">
      <c r="A633" t="s">
        <v>1101</v>
      </c>
      <c r="B633" t="s">
        <v>1955</v>
      </c>
      <c r="C633" t="s">
        <v>161</v>
      </c>
      <c r="E633">
        <f ca="1">INDIRECT("'Sheet1'!AP89")</f>
        <v>0</v>
      </c>
      <c r="F633" t="b">
        <f t="shared" ca="1" si="55"/>
        <v>1</v>
      </c>
    </row>
    <row r="634" spans="1:6" x14ac:dyDescent="0.25">
      <c r="A634" t="s">
        <v>1102</v>
      </c>
      <c r="B634" t="s">
        <v>1956</v>
      </c>
      <c r="C634" t="s">
        <v>162</v>
      </c>
      <c r="D634" s="5" t="s">
        <v>1667</v>
      </c>
      <c r="E634" s="5">
        <f ca="1">INDIRECT("'Sheet1'!AQ89")</f>
        <v>0</v>
      </c>
      <c r="F634" t="b">
        <f t="shared" ca="1" si="55"/>
        <v>0</v>
      </c>
    </row>
    <row r="635" spans="1:6" x14ac:dyDescent="0.25">
      <c r="A635" t="s">
        <v>1103</v>
      </c>
      <c r="B635" t="s">
        <v>1957</v>
      </c>
      <c r="C635" t="s">
        <v>163</v>
      </c>
      <c r="E635">
        <f ca="1">INDIRECT("'Sheet1'!AR89")</f>
        <v>0</v>
      </c>
      <c r="F635" t="b">
        <f t="shared" ca="1" si="55"/>
        <v>1</v>
      </c>
    </row>
    <row r="636" spans="1:6" x14ac:dyDescent="0.25">
      <c r="A636" t="s">
        <v>1104</v>
      </c>
      <c r="B636" t="s">
        <v>1958</v>
      </c>
      <c r="C636" t="s">
        <v>164</v>
      </c>
      <c r="D636" s="5" t="s">
        <v>1667</v>
      </c>
      <c r="E636" s="5">
        <f ca="1">INDIRECT("'Sheet1'!AS89")</f>
        <v>0</v>
      </c>
      <c r="F636" t="b">
        <f t="shared" ca="1" si="55"/>
        <v>0</v>
      </c>
    </row>
    <row r="637" spans="1:6" x14ac:dyDescent="0.25">
      <c r="A637" t="s">
        <v>1105</v>
      </c>
      <c r="B637" t="s">
        <v>1959</v>
      </c>
      <c r="C637" t="s">
        <v>165</v>
      </c>
      <c r="D637">
        <v>23</v>
      </c>
      <c r="E637">
        <f ca="1">INDIRECT("'Sheet1'!AT89")</f>
        <v>0</v>
      </c>
      <c r="F637" t="b">
        <f t="shared" ca="1" si="55"/>
        <v>0</v>
      </c>
    </row>
    <row r="638" spans="1:6" x14ac:dyDescent="0.25">
      <c r="A638" t="s">
        <v>1106</v>
      </c>
      <c r="B638" t="s">
        <v>1960</v>
      </c>
      <c r="C638" t="s">
        <v>166</v>
      </c>
      <c r="D638" s="5" t="s">
        <v>1666</v>
      </c>
      <c r="E638" s="5">
        <f ca="1">INDIRECT("'Sheet1'!AU89")</f>
        <v>0</v>
      </c>
      <c r="F638" t="b">
        <f t="shared" ca="1" si="55"/>
        <v>0</v>
      </c>
    </row>
    <row r="639" spans="1:6" x14ac:dyDescent="0.25">
      <c r="A639" t="s">
        <v>1107</v>
      </c>
      <c r="B639" t="s">
        <v>1961</v>
      </c>
      <c r="C639" t="s">
        <v>167</v>
      </c>
      <c r="E639">
        <f ca="1">INDIRECT("'Sheet1'!AV89")</f>
        <v>0</v>
      </c>
      <c r="F639" t="b">
        <f t="shared" ca="1" si="55"/>
        <v>1</v>
      </c>
    </row>
    <row r="640" spans="1:6" x14ac:dyDescent="0.25">
      <c r="A640" t="s">
        <v>1108</v>
      </c>
      <c r="B640" t="s">
        <v>1962</v>
      </c>
      <c r="C640" t="s">
        <v>168</v>
      </c>
      <c r="D640" s="5" t="s">
        <v>1660</v>
      </c>
      <c r="E640" s="5">
        <f ca="1">INDIRECT("'Sheet1'!AW89")</f>
        <v>0</v>
      </c>
      <c r="F640" t="b">
        <f t="shared" ca="1" si="55"/>
        <v>0</v>
      </c>
    </row>
    <row r="641" spans="1:6" x14ac:dyDescent="0.25">
      <c r="A641" t="s">
        <v>1109</v>
      </c>
      <c r="B641" t="s">
        <v>1963</v>
      </c>
      <c r="C641" t="s">
        <v>169</v>
      </c>
      <c r="E641">
        <f ca="1">INDIRECT("'Sheet1'!AX89")</f>
        <v>0</v>
      </c>
      <c r="F641" t="b">
        <f t="shared" ca="1" si="55"/>
        <v>1</v>
      </c>
    </row>
    <row r="642" spans="1:6" x14ac:dyDescent="0.25">
      <c r="A642" t="s">
        <v>1110</v>
      </c>
      <c r="B642" t="s">
        <v>1964</v>
      </c>
      <c r="C642" t="s">
        <v>170</v>
      </c>
      <c r="D642" s="5" t="s">
        <v>1664</v>
      </c>
      <c r="E642" s="5">
        <f ca="1">INDIRECT("'Sheet1'!AY89")</f>
        <v>0</v>
      </c>
      <c r="F642" t="b">
        <f t="shared" ca="1" si="55"/>
        <v>0</v>
      </c>
    </row>
    <row r="643" spans="1:6" x14ac:dyDescent="0.25">
      <c r="A643" t="s">
        <v>1111</v>
      </c>
      <c r="B643" t="s">
        <v>1965</v>
      </c>
      <c r="C643" t="s">
        <v>171</v>
      </c>
      <c r="E643">
        <f ca="1">INDIRECT("'Sheet1'!AZ89")</f>
        <v>0</v>
      </c>
      <c r="F643" t="b">
        <f t="shared" ca="1" si="55"/>
        <v>1</v>
      </c>
    </row>
    <row r="644" spans="1:6" x14ac:dyDescent="0.25">
      <c r="A644" t="s">
        <v>1112</v>
      </c>
      <c r="B644" t="s">
        <v>1966</v>
      </c>
      <c r="C644" t="s">
        <v>172</v>
      </c>
      <c r="D644" s="5" t="s">
        <v>1662</v>
      </c>
      <c r="E644" s="5">
        <f ca="1">INDIRECT("'Sheet1'!BA89")</f>
        <v>0</v>
      </c>
      <c r="F644" t="b">
        <f t="shared" ca="1" si="55"/>
        <v>0</v>
      </c>
    </row>
    <row r="646" spans="1:6" x14ac:dyDescent="0.25">
      <c r="A646" t="s">
        <v>1113</v>
      </c>
      <c r="B646" t="s">
        <v>1953</v>
      </c>
      <c r="C646" t="s">
        <v>159</v>
      </c>
      <c r="D646">
        <v>20</v>
      </c>
      <c r="E646">
        <f ca="1">INDIRECT("'Sheet1'!AN90")</f>
        <v>0</v>
      </c>
      <c r="F646" t="b">
        <f t="shared" ref="F646:F659" ca="1" si="56">E646=D646</f>
        <v>0</v>
      </c>
    </row>
    <row r="647" spans="1:6" x14ac:dyDescent="0.25">
      <c r="A647" t="s">
        <v>1114</v>
      </c>
      <c r="B647" t="s">
        <v>1954</v>
      </c>
      <c r="C647" t="s">
        <v>160</v>
      </c>
      <c r="D647" s="5" t="s">
        <v>1666</v>
      </c>
      <c r="E647" s="5">
        <f ca="1">INDIRECT("'Sheet1'!AO90")</f>
        <v>0</v>
      </c>
      <c r="F647" t="b">
        <f t="shared" ca="1" si="56"/>
        <v>0</v>
      </c>
    </row>
    <row r="648" spans="1:6" x14ac:dyDescent="0.25">
      <c r="A648" t="s">
        <v>1115</v>
      </c>
      <c r="B648" t="s">
        <v>1955</v>
      </c>
      <c r="C648" t="s">
        <v>161</v>
      </c>
      <c r="E648">
        <f ca="1">INDIRECT("'Sheet1'!AP90")</f>
        <v>0</v>
      </c>
      <c r="F648" t="b">
        <f t="shared" ca="1" si="56"/>
        <v>1</v>
      </c>
    </row>
    <row r="649" spans="1:6" x14ac:dyDescent="0.25">
      <c r="A649" t="s">
        <v>1116</v>
      </c>
      <c r="B649" t="s">
        <v>1956</v>
      </c>
      <c r="C649" t="s">
        <v>162</v>
      </c>
      <c r="D649" s="5" t="s">
        <v>1667</v>
      </c>
      <c r="E649" s="5">
        <f ca="1">INDIRECT("'Sheet1'!AQ90")</f>
        <v>0</v>
      </c>
      <c r="F649" t="b">
        <f t="shared" ca="1" si="56"/>
        <v>0</v>
      </c>
    </row>
    <row r="650" spans="1:6" x14ac:dyDescent="0.25">
      <c r="A650" t="s">
        <v>1117</v>
      </c>
      <c r="B650" t="s">
        <v>1957</v>
      </c>
      <c r="C650" t="s">
        <v>163</v>
      </c>
      <c r="E650">
        <f ca="1">INDIRECT("'Sheet1'!AR90")</f>
        <v>0</v>
      </c>
      <c r="F650" t="b">
        <f t="shared" ca="1" si="56"/>
        <v>1</v>
      </c>
    </row>
    <row r="651" spans="1:6" x14ac:dyDescent="0.25">
      <c r="A651" t="s">
        <v>1118</v>
      </c>
      <c r="B651" t="s">
        <v>1958</v>
      </c>
      <c r="C651" t="s">
        <v>164</v>
      </c>
      <c r="D651" s="5" t="s">
        <v>1667</v>
      </c>
      <c r="E651" s="5">
        <f ca="1">INDIRECT("'Sheet1'!AS90")</f>
        <v>0</v>
      </c>
      <c r="F651" t="b">
        <f t="shared" ca="1" si="56"/>
        <v>0</v>
      </c>
    </row>
    <row r="652" spans="1:6" x14ac:dyDescent="0.25">
      <c r="A652" t="s">
        <v>1119</v>
      </c>
      <c r="B652" t="s">
        <v>1959</v>
      </c>
      <c r="C652" t="s">
        <v>165</v>
      </c>
      <c r="D652">
        <v>23</v>
      </c>
      <c r="E652">
        <f ca="1">INDIRECT("'Sheet1'!AT90")</f>
        <v>0</v>
      </c>
      <c r="F652" t="b">
        <f t="shared" ca="1" si="56"/>
        <v>0</v>
      </c>
    </row>
    <row r="653" spans="1:6" x14ac:dyDescent="0.25">
      <c r="A653" t="s">
        <v>1120</v>
      </c>
      <c r="B653" t="s">
        <v>1960</v>
      </c>
      <c r="C653" t="s">
        <v>166</v>
      </c>
      <c r="D653" s="5" t="s">
        <v>1666</v>
      </c>
      <c r="E653" s="5">
        <f ca="1">INDIRECT("'Sheet1'!AU90")</f>
        <v>0</v>
      </c>
      <c r="F653" t="b">
        <f t="shared" ca="1" si="56"/>
        <v>0</v>
      </c>
    </row>
    <row r="654" spans="1:6" x14ac:dyDescent="0.25">
      <c r="A654" t="s">
        <v>1121</v>
      </c>
      <c r="B654" t="s">
        <v>1961</v>
      </c>
      <c r="C654" t="s">
        <v>167</v>
      </c>
      <c r="E654">
        <f ca="1">INDIRECT("'Sheet1'!AV90")</f>
        <v>0</v>
      </c>
      <c r="F654" t="b">
        <f t="shared" ca="1" si="56"/>
        <v>1</v>
      </c>
    </row>
    <row r="655" spans="1:6" x14ac:dyDescent="0.25">
      <c r="A655" t="s">
        <v>1122</v>
      </c>
      <c r="B655" t="s">
        <v>1962</v>
      </c>
      <c r="C655" t="s">
        <v>168</v>
      </c>
      <c r="D655" s="5" t="s">
        <v>1660</v>
      </c>
      <c r="E655" s="5">
        <f ca="1">INDIRECT("'Sheet1'!AW90")</f>
        <v>0</v>
      </c>
      <c r="F655" t="b">
        <f t="shared" ca="1" si="56"/>
        <v>0</v>
      </c>
    </row>
    <row r="656" spans="1:6" x14ac:dyDescent="0.25">
      <c r="A656" t="s">
        <v>1123</v>
      </c>
      <c r="B656" t="s">
        <v>1963</v>
      </c>
      <c r="C656" t="s">
        <v>169</v>
      </c>
      <c r="E656">
        <f ca="1">INDIRECT("'Sheet1'!AX90")</f>
        <v>0</v>
      </c>
      <c r="F656" t="b">
        <f t="shared" ca="1" si="56"/>
        <v>1</v>
      </c>
    </row>
    <row r="657" spans="1:6" x14ac:dyDescent="0.25">
      <c r="A657" t="s">
        <v>1124</v>
      </c>
      <c r="B657" t="s">
        <v>1964</v>
      </c>
      <c r="C657" t="s">
        <v>170</v>
      </c>
      <c r="D657" s="5" t="s">
        <v>1664</v>
      </c>
      <c r="E657" s="5">
        <f ca="1">INDIRECT("'Sheet1'!AY90")</f>
        <v>0</v>
      </c>
      <c r="F657" t="b">
        <f t="shared" ca="1" si="56"/>
        <v>0</v>
      </c>
    </row>
    <row r="658" spans="1:6" x14ac:dyDescent="0.25">
      <c r="A658" t="s">
        <v>1125</v>
      </c>
      <c r="B658" t="s">
        <v>1965</v>
      </c>
      <c r="C658" t="s">
        <v>171</v>
      </c>
      <c r="E658">
        <f ca="1">INDIRECT("'Sheet1'!AZ90")</f>
        <v>0</v>
      </c>
      <c r="F658" t="b">
        <f t="shared" ca="1" si="56"/>
        <v>1</v>
      </c>
    </row>
    <row r="659" spans="1:6" x14ac:dyDescent="0.25">
      <c r="A659" t="s">
        <v>1126</v>
      </c>
      <c r="B659" t="s">
        <v>1966</v>
      </c>
      <c r="C659" t="s">
        <v>172</v>
      </c>
      <c r="D659" s="5" t="s">
        <v>1662</v>
      </c>
      <c r="E659" s="5">
        <f ca="1">INDIRECT("'Sheet1'!BA90")</f>
        <v>0</v>
      </c>
      <c r="F659" t="b">
        <f t="shared" ca="1" si="56"/>
        <v>0</v>
      </c>
    </row>
    <row r="661" spans="1:6" x14ac:dyDescent="0.25">
      <c r="A661" t="s">
        <v>1127</v>
      </c>
      <c r="B661" t="s">
        <v>1953</v>
      </c>
      <c r="C661" t="s">
        <v>159</v>
      </c>
      <c r="D661">
        <v>20</v>
      </c>
      <c r="E661">
        <f ca="1">INDIRECT("'Sheet1'!AN91")</f>
        <v>0</v>
      </c>
      <c r="F661" t="b">
        <f t="shared" ref="F661:F674" ca="1" si="57">E661=D661</f>
        <v>0</v>
      </c>
    </row>
    <row r="662" spans="1:6" x14ac:dyDescent="0.25">
      <c r="A662" t="s">
        <v>1128</v>
      </c>
      <c r="B662" t="s">
        <v>1954</v>
      </c>
      <c r="C662" t="s">
        <v>160</v>
      </c>
      <c r="D662" s="5" t="s">
        <v>1666</v>
      </c>
      <c r="E662" s="5">
        <f ca="1">INDIRECT("'Sheet1'!AO91")</f>
        <v>0</v>
      </c>
      <c r="F662" t="b">
        <f t="shared" ca="1" si="57"/>
        <v>0</v>
      </c>
    </row>
    <row r="663" spans="1:6" x14ac:dyDescent="0.25">
      <c r="A663" t="s">
        <v>1129</v>
      </c>
      <c r="B663" t="s">
        <v>1955</v>
      </c>
      <c r="C663" t="s">
        <v>161</v>
      </c>
      <c r="E663">
        <f ca="1">INDIRECT("'Sheet1'!AP91")</f>
        <v>0</v>
      </c>
      <c r="F663" t="b">
        <f t="shared" ca="1" si="57"/>
        <v>1</v>
      </c>
    </row>
    <row r="664" spans="1:6" x14ac:dyDescent="0.25">
      <c r="A664" t="s">
        <v>1130</v>
      </c>
      <c r="B664" t="s">
        <v>1967</v>
      </c>
      <c r="C664" t="s">
        <v>162</v>
      </c>
      <c r="D664" s="5" t="s">
        <v>1667</v>
      </c>
      <c r="E664" s="5">
        <f ca="1">INDIRECT("'Sheet1'!AQ91")</f>
        <v>0</v>
      </c>
      <c r="F664" t="b">
        <f t="shared" ca="1" si="57"/>
        <v>0</v>
      </c>
    </row>
    <row r="665" spans="1:6" x14ac:dyDescent="0.25">
      <c r="A665" t="s">
        <v>1131</v>
      </c>
      <c r="B665" t="s">
        <v>1957</v>
      </c>
      <c r="C665" t="s">
        <v>163</v>
      </c>
      <c r="E665">
        <f ca="1">INDIRECT("'Sheet1'!AR91")</f>
        <v>0</v>
      </c>
      <c r="F665" t="b">
        <f t="shared" ca="1" si="57"/>
        <v>1</v>
      </c>
    </row>
    <row r="666" spans="1:6" x14ac:dyDescent="0.25">
      <c r="A666" t="s">
        <v>1132</v>
      </c>
      <c r="B666" t="s">
        <v>1968</v>
      </c>
      <c r="C666" t="s">
        <v>164</v>
      </c>
      <c r="D666" s="5" t="s">
        <v>1667</v>
      </c>
      <c r="E666" s="5">
        <f ca="1">INDIRECT("'Sheet1'!AS91")</f>
        <v>0</v>
      </c>
      <c r="F666" t="b">
        <f t="shared" ca="1" si="57"/>
        <v>0</v>
      </c>
    </row>
    <row r="667" spans="1:6" x14ac:dyDescent="0.25">
      <c r="A667" t="s">
        <v>1133</v>
      </c>
      <c r="B667" t="s">
        <v>1959</v>
      </c>
      <c r="C667" t="s">
        <v>165</v>
      </c>
      <c r="D667">
        <v>23</v>
      </c>
      <c r="E667">
        <f ca="1">INDIRECT("'Sheet1'!AT91")</f>
        <v>0</v>
      </c>
      <c r="F667" t="b">
        <f t="shared" ca="1" si="57"/>
        <v>0</v>
      </c>
    </row>
    <row r="668" spans="1:6" x14ac:dyDescent="0.25">
      <c r="A668" t="s">
        <v>1134</v>
      </c>
      <c r="B668" t="s">
        <v>1960</v>
      </c>
      <c r="C668" t="s">
        <v>166</v>
      </c>
      <c r="D668" s="5" t="s">
        <v>1666</v>
      </c>
      <c r="E668" s="5">
        <f ca="1">INDIRECT("'Sheet1'!AU91")</f>
        <v>0</v>
      </c>
      <c r="F668" t="b">
        <f t="shared" ca="1" si="57"/>
        <v>0</v>
      </c>
    </row>
    <row r="669" spans="1:6" x14ac:dyDescent="0.25">
      <c r="A669" t="s">
        <v>1135</v>
      </c>
      <c r="B669" t="s">
        <v>1961</v>
      </c>
      <c r="C669" t="s">
        <v>167</v>
      </c>
      <c r="E669">
        <f ca="1">INDIRECT("'Sheet1'!AV91")</f>
        <v>0</v>
      </c>
      <c r="F669" t="b">
        <f t="shared" ca="1" si="57"/>
        <v>1</v>
      </c>
    </row>
    <row r="670" spans="1:6" x14ac:dyDescent="0.25">
      <c r="A670" t="s">
        <v>1136</v>
      </c>
      <c r="B670" t="s">
        <v>1962</v>
      </c>
      <c r="C670" t="s">
        <v>168</v>
      </c>
      <c r="D670" s="5" t="s">
        <v>1660</v>
      </c>
      <c r="E670" s="5">
        <f ca="1">INDIRECT("'Sheet1'!AW91")</f>
        <v>0</v>
      </c>
      <c r="F670" t="b">
        <f t="shared" ca="1" si="57"/>
        <v>0</v>
      </c>
    </row>
    <row r="671" spans="1:6" x14ac:dyDescent="0.25">
      <c r="A671" t="s">
        <v>1137</v>
      </c>
      <c r="B671" t="s">
        <v>1963</v>
      </c>
      <c r="C671" t="s">
        <v>169</v>
      </c>
      <c r="E671">
        <f ca="1">INDIRECT("'Sheet1'!AX91")</f>
        <v>0</v>
      </c>
      <c r="F671" t="b">
        <f t="shared" ca="1" si="57"/>
        <v>1</v>
      </c>
    </row>
    <row r="672" spans="1:6" x14ac:dyDescent="0.25">
      <c r="A672" t="s">
        <v>1138</v>
      </c>
      <c r="B672" t="s">
        <v>1964</v>
      </c>
      <c r="C672" t="s">
        <v>170</v>
      </c>
      <c r="D672" s="5" t="s">
        <v>1664</v>
      </c>
      <c r="E672" s="5">
        <f ca="1">INDIRECT("'Sheet1'!AY91")</f>
        <v>0</v>
      </c>
      <c r="F672" t="b">
        <f t="shared" ca="1" si="57"/>
        <v>0</v>
      </c>
    </row>
    <row r="673" spans="1:6" x14ac:dyDescent="0.25">
      <c r="A673" t="s">
        <v>1139</v>
      </c>
      <c r="B673" t="s">
        <v>1965</v>
      </c>
      <c r="C673" t="s">
        <v>171</v>
      </c>
      <c r="E673">
        <f ca="1">INDIRECT("'Sheet1'!AZ91")</f>
        <v>0</v>
      </c>
      <c r="F673" t="b">
        <f t="shared" ca="1" si="57"/>
        <v>1</v>
      </c>
    </row>
    <row r="674" spans="1:6" x14ac:dyDescent="0.25">
      <c r="A674" t="s">
        <v>1140</v>
      </c>
      <c r="B674" t="s">
        <v>1966</v>
      </c>
      <c r="C674" t="s">
        <v>172</v>
      </c>
      <c r="D674" s="5" t="s">
        <v>1662</v>
      </c>
      <c r="E674" s="5">
        <f ca="1">INDIRECT("'Sheet1'!BA91")</f>
        <v>0</v>
      </c>
      <c r="F674" t="b">
        <f t="shared" ca="1" si="57"/>
        <v>0</v>
      </c>
    </row>
    <row r="676" spans="1:6" x14ac:dyDescent="0.25">
      <c r="A676" t="s">
        <v>1270</v>
      </c>
      <c r="B676" t="s">
        <v>1973</v>
      </c>
      <c r="C676" t="s">
        <v>173</v>
      </c>
      <c r="D676" s="15">
        <v>1.7</v>
      </c>
      <c r="E676" s="15">
        <f ca="1">INDIRECT("'Sheet1'!BB92")</f>
        <v>0</v>
      </c>
      <c r="F676" t="b">
        <f t="shared" ref="F676:F678" ca="1" si="58">E676=D676</f>
        <v>0</v>
      </c>
    </row>
    <row r="677" spans="1:6" x14ac:dyDescent="0.25">
      <c r="A677" t="s">
        <v>1271</v>
      </c>
      <c r="B677" t="s">
        <v>1974</v>
      </c>
      <c r="C677" t="s">
        <v>174</v>
      </c>
      <c r="D677" t="s">
        <v>293</v>
      </c>
      <c r="E677">
        <f ca="1">INDIRECT("'Sheet1'!BC92")</f>
        <v>0</v>
      </c>
      <c r="F677" t="b">
        <f t="shared" ca="1" si="58"/>
        <v>0</v>
      </c>
    </row>
    <row r="678" spans="1:6" x14ac:dyDescent="0.25">
      <c r="A678" t="s">
        <v>1272</v>
      </c>
      <c r="B678" t="s">
        <v>1975</v>
      </c>
      <c r="C678" t="s">
        <v>175</v>
      </c>
      <c r="D678" s="5" t="s">
        <v>1660</v>
      </c>
      <c r="E678" s="5">
        <f ca="1">INDIRECT("'Sheet1'!BD92")</f>
        <v>0</v>
      </c>
      <c r="F678" t="b">
        <f t="shared" ca="1" si="58"/>
        <v>0</v>
      </c>
    </row>
    <row r="680" spans="1:6" x14ac:dyDescent="0.25">
      <c r="A680" t="s">
        <v>1273</v>
      </c>
      <c r="B680" t="s">
        <v>1973</v>
      </c>
      <c r="C680" t="s">
        <v>173</v>
      </c>
      <c r="D680">
        <v>170</v>
      </c>
      <c r="E680">
        <f ca="1">INDIRECT("'Sheet1'!BB93")</f>
        <v>0</v>
      </c>
      <c r="F680" t="b">
        <f t="shared" ref="F680:F682" ca="1" si="59">E680=D680</f>
        <v>0</v>
      </c>
    </row>
    <row r="681" spans="1:6" x14ac:dyDescent="0.25">
      <c r="A681" t="s">
        <v>1274</v>
      </c>
      <c r="B681" t="s">
        <v>1974</v>
      </c>
      <c r="C681" t="s">
        <v>174</v>
      </c>
      <c r="D681" t="s">
        <v>1474</v>
      </c>
      <c r="E681">
        <f ca="1">INDIRECT("'Sheet1'!BC93")</f>
        <v>0</v>
      </c>
      <c r="F681" t="b">
        <f t="shared" ca="1" si="59"/>
        <v>0</v>
      </c>
    </row>
    <row r="682" spans="1:6" x14ac:dyDescent="0.25">
      <c r="A682" t="s">
        <v>1275</v>
      </c>
      <c r="B682" t="s">
        <v>1976</v>
      </c>
      <c r="C682" t="s">
        <v>175</v>
      </c>
      <c r="D682" s="5" t="s">
        <v>1660</v>
      </c>
      <c r="E682" s="5">
        <f ca="1">INDIRECT("'Sheet1'!BD93")</f>
        <v>0</v>
      </c>
      <c r="F682" t="b">
        <f t="shared" ca="1" si="59"/>
        <v>0</v>
      </c>
    </row>
    <row r="684" spans="1:6" x14ac:dyDescent="0.25">
      <c r="A684" t="s">
        <v>1276</v>
      </c>
      <c r="B684" t="s">
        <v>1977</v>
      </c>
      <c r="C684" t="s">
        <v>176</v>
      </c>
      <c r="D684">
        <v>170.5</v>
      </c>
      <c r="E684">
        <f ca="1">INDIRECT("'Sheet1'!BE94")</f>
        <v>0</v>
      </c>
      <c r="F684" t="b">
        <f t="shared" ref="F684:F686" ca="1" si="60">E684=D684</f>
        <v>0</v>
      </c>
    </row>
    <row r="685" spans="1:6" x14ac:dyDescent="0.25">
      <c r="A685" t="s">
        <v>1277</v>
      </c>
      <c r="B685" t="s">
        <v>1978</v>
      </c>
      <c r="C685" t="s">
        <v>177</v>
      </c>
      <c r="E685">
        <f ca="1">INDIRECT("'Sheet1'!BF94")</f>
        <v>0</v>
      </c>
      <c r="F685" t="b">
        <f t="shared" ca="1" si="60"/>
        <v>1</v>
      </c>
    </row>
    <row r="686" spans="1:6" x14ac:dyDescent="0.25">
      <c r="A686" t="s">
        <v>1278</v>
      </c>
      <c r="B686" t="s">
        <v>1979</v>
      </c>
      <c r="C686" t="s">
        <v>178</v>
      </c>
      <c r="D686" s="5" t="s">
        <v>1660</v>
      </c>
      <c r="E686" s="5">
        <f ca="1">INDIRECT("'Sheet1'!BG94")</f>
        <v>0</v>
      </c>
      <c r="F686" t="b">
        <f t="shared" ca="1" si="60"/>
        <v>0</v>
      </c>
    </row>
    <row r="688" spans="1:6" x14ac:dyDescent="0.25">
      <c r="A688" t="s">
        <v>1279</v>
      </c>
      <c r="B688" t="s">
        <v>1977</v>
      </c>
      <c r="C688" t="s">
        <v>176</v>
      </c>
      <c r="D688" t="s">
        <v>1638</v>
      </c>
      <c r="E688">
        <f ca="1">INDIRECT("'Sheet1'!BE95")</f>
        <v>0</v>
      </c>
      <c r="F688" t="b">
        <f t="shared" ref="F688:F690" ca="1" si="61">E688=D688</f>
        <v>0</v>
      </c>
    </row>
    <row r="689" spans="1:6" x14ac:dyDescent="0.25">
      <c r="A689" t="s">
        <v>1280</v>
      </c>
      <c r="B689" t="s">
        <v>1980</v>
      </c>
      <c r="C689" t="s">
        <v>177</v>
      </c>
      <c r="D689" t="s">
        <v>293</v>
      </c>
      <c r="E689">
        <f ca="1">INDIRECT("'Sheet1'!BF95")</f>
        <v>0</v>
      </c>
      <c r="F689" t="b">
        <f t="shared" ca="1" si="61"/>
        <v>0</v>
      </c>
    </row>
    <row r="690" spans="1:6" x14ac:dyDescent="0.25">
      <c r="A690" t="s">
        <v>1281</v>
      </c>
      <c r="B690" t="s">
        <v>1979</v>
      </c>
      <c r="C690" t="s">
        <v>178</v>
      </c>
      <c r="D690" s="5" t="s">
        <v>1660</v>
      </c>
      <c r="E690" s="5">
        <f ca="1">INDIRECT("'Sheet1'!BG95")</f>
        <v>0</v>
      </c>
      <c r="F690" t="b">
        <f t="shared" ca="1" si="61"/>
        <v>0</v>
      </c>
    </row>
    <row r="692" spans="1:6" x14ac:dyDescent="0.25">
      <c r="A692" t="s">
        <v>1282</v>
      </c>
      <c r="B692" t="s">
        <v>2012</v>
      </c>
      <c r="C692" t="s">
        <v>179</v>
      </c>
      <c r="D692">
        <v>170.5</v>
      </c>
      <c r="E692">
        <f ca="1">INDIRECT("'Sheet1'!BH96")</f>
        <v>0</v>
      </c>
      <c r="F692" t="b">
        <f t="shared" ref="F692:F693" ca="1" si="62">E692=D692</f>
        <v>0</v>
      </c>
    </row>
    <row r="693" spans="1:6" x14ac:dyDescent="0.25">
      <c r="A693" t="s">
        <v>1283</v>
      </c>
      <c r="B693" t="s">
        <v>2013</v>
      </c>
      <c r="C693" t="s">
        <v>181</v>
      </c>
      <c r="D693" s="5" t="s">
        <v>1660</v>
      </c>
      <c r="E693" s="5">
        <f ca="1">INDIRECT("'Sheet1'!BJ96")</f>
        <v>0</v>
      </c>
      <c r="F693" t="b">
        <f t="shared" ca="1" si="62"/>
        <v>0</v>
      </c>
    </row>
    <row r="695" spans="1:6" x14ac:dyDescent="0.25">
      <c r="A695" t="s">
        <v>1284</v>
      </c>
      <c r="B695" s="6" t="s">
        <v>2014</v>
      </c>
      <c r="C695" t="s">
        <v>182</v>
      </c>
      <c r="D695">
        <v>1.7</v>
      </c>
      <c r="E695">
        <f ca="1">INDIRECT("'Sheet1'!BK97")</f>
        <v>0</v>
      </c>
      <c r="F695" t="b">
        <f t="shared" ref="F695:F696" ca="1" si="63">E695=D695</f>
        <v>0</v>
      </c>
    </row>
    <row r="696" spans="1:6" x14ac:dyDescent="0.25">
      <c r="A696" t="s">
        <v>1285</v>
      </c>
      <c r="B696" s="6" t="s">
        <v>2015</v>
      </c>
      <c r="C696" t="s">
        <v>184</v>
      </c>
      <c r="D696" s="5" t="s">
        <v>1660</v>
      </c>
      <c r="E696" s="5">
        <f ca="1">INDIRECT("'Sheet1'!BM97")</f>
        <v>0</v>
      </c>
      <c r="F696" t="b">
        <f t="shared" ca="1" si="63"/>
        <v>0</v>
      </c>
    </row>
    <row r="698" spans="1:6" x14ac:dyDescent="0.25">
      <c r="A698" t="s">
        <v>1286</v>
      </c>
      <c r="B698" t="s">
        <v>2016</v>
      </c>
      <c r="C698" t="s">
        <v>185</v>
      </c>
      <c r="D698">
        <v>1.7</v>
      </c>
      <c r="E698">
        <f ca="1">INDIRECT("'Sheet1'!BN98")</f>
        <v>0</v>
      </c>
      <c r="F698" t="b">
        <f t="shared" ref="F698:F699" ca="1" si="64">E698=D698</f>
        <v>0</v>
      </c>
    </row>
    <row r="699" spans="1:6" x14ac:dyDescent="0.25">
      <c r="A699" t="s">
        <v>1287</v>
      </c>
      <c r="B699" t="s">
        <v>2017</v>
      </c>
      <c r="C699" t="s">
        <v>187</v>
      </c>
      <c r="D699" s="5" t="s">
        <v>1660</v>
      </c>
      <c r="E699" s="5">
        <f ca="1">INDIRECT("'Sheet1'!BP98")</f>
        <v>0</v>
      </c>
      <c r="F699" t="b">
        <f t="shared" ca="1" si="64"/>
        <v>0</v>
      </c>
    </row>
    <row r="701" spans="1:6" x14ac:dyDescent="0.25">
      <c r="A701" t="s">
        <v>1288</v>
      </c>
      <c r="B701" s="6" t="s">
        <v>2018</v>
      </c>
      <c r="C701" t="s">
        <v>188</v>
      </c>
      <c r="D701">
        <v>1.7</v>
      </c>
      <c r="E701">
        <f ca="1">INDIRECT("'Sheet1'!BQ99")</f>
        <v>0</v>
      </c>
      <c r="F701" t="b">
        <f t="shared" ref="F701:F702" ca="1" si="65">E701=D701</f>
        <v>0</v>
      </c>
    </row>
    <row r="702" spans="1:6" x14ac:dyDescent="0.25">
      <c r="A702" t="s">
        <v>1289</v>
      </c>
      <c r="B702" s="6" t="s">
        <v>2019</v>
      </c>
      <c r="C702" t="s">
        <v>190</v>
      </c>
      <c r="D702" s="5" t="s">
        <v>1661</v>
      </c>
      <c r="E702" s="5">
        <f ca="1">INDIRECT("'Sheet1'!BS99")</f>
        <v>0</v>
      </c>
      <c r="F702" t="b">
        <f t="shared" ca="1" si="65"/>
        <v>0</v>
      </c>
    </row>
    <row r="704" spans="1:6" x14ac:dyDescent="0.25">
      <c r="A704" t="s">
        <v>1290</v>
      </c>
      <c r="B704" t="s">
        <v>2020</v>
      </c>
      <c r="C704" t="s">
        <v>191</v>
      </c>
      <c r="D704">
        <v>1.7</v>
      </c>
      <c r="E704">
        <f ca="1">INDIRECT("'Sheet1'!BT100")</f>
        <v>0</v>
      </c>
      <c r="F704" t="b">
        <f t="shared" ref="F704:F705" ca="1" si="66">E704=D704</f>
        <v>0</v>
      </c>
    </row>
    <row r="705" spans="1:6" x14ac:dyDescent="0.25">
      <c r="A705" t="s">
        <v>1291</v>
      </c>
      <c r="B705" t="s">
        <v>2021</v>
      </c>
      <c r="C705" t="s">
        <v>193</v>
      </c>
      <c r="D705" s="5" t="s">
        <v>1662</v>
      </c>
      <c r="E705" s="5">
        <f ca="1">INDIRECT("'Sheet1'!BV100")</f>
        <v>0</v>
      </c>
      <c r="F705" t="b">
        <f t="shared" ca="1" si="66"/>
        <v>0</v>
      </c>
    </row>
    <row r="707" spans="1:6" x14ac:dyDescent="0.25">
      <c r="A707" t="s">
        <v>1292</v>
      </c>
      <c r="B707" t="s">
        <v>2022</v>
      </c>
      <c r="C707" t="s">
        <v>179</v>
      </c>
      <c r="D707">
        <v>1.7</v>
      </c>
      <c r="E707">
        <f ca="1">INDIRECT("'Sheet1'!BH101")</f>
        <v>0</v>
      </c>
      <c r="F707" t="b">
        <f t="shared" ref="F707:F708" ca="1" si="67">E707=D707</f>
        <v>0</v>
      </c>
    </row>
    <row r="708" spans="1:6" x14ac:dyDescent="0.25">
      <c r="A708" t="s">
        <v>1293</v>
      </c>
      <c r="B708" t="s">
        <v>2023</v>
      </c>
      <c r="C708" t="s">
        <v>181</v>
      </c>
      <c r="D708" s="5" t="s">
        <v>1660</v>
      </c>
      <c r="E708" s="5">
        <f ca="1">INDIRECT("'Sheet1'!BJ101")</f>
        <v>0</v>
      </c>
      <c r="F708" t="b">
        <f t="shared" ca="1" si="67"/>
        <v>0</v>
      </c>
    </row>
    <row r="710" spans="1:6" x14ac:dyDescent="0.25">
      <c r="A710" t="s">
        <v>1294</v>
      </c>
      <c r="B710" t="s">
        <v>2024</v>
      </c>
      <c r="C710" t="s">
        <v>182</v>
      </c>
      <c r="E710">
        <f ca="1">INDIRECT("'Sheet1'!BK102")</f>
        <v>0</v>
      </c>
      <c r="F710" t="b">
        <f t="shared" ref="F710:F711" ca="1" si="68">E710=D710</f>
        <v>1</v>
      </c>
    </row>
    <row r="711" spans="1:6" x14ac:dyDescent="0.25">
      <c r="A711" t="s">
        <v>1295</v>
      </c>
      <c r="B711" t="s">
        <v>2025</v>
      </c>
      <c r="C711" t="s">
        <v>184</v>
      </c>
      <c r="D711" s="5" t="s">
        <v>1663</v>
      </c>
      <c r="E711" s="5">
        <f ca="1">INDIRECT("'Sheet1'!BM102")</f>
        <v>0</v>
      </c>
      <c r="F711" t="b">
        <f t="shared" ca="1" si="68"/>
        <v>0</v>
      </c>
    </row>
    <row r="713" spans="1:6" x14ac:dyDescent="0.25">
      <c r="A713" t="s">
        <v>1296</v>
      </c>
      <c r="B713" t="s">
        <v>2026</v>
      </c>
      <c r="C713" t="s">
        <v>185</v>
      </c>
      <c r="D713">
        <v>1.7</v>
      </c>
      <c r="E713">
        <f ca="1">INDIRECT("'Sheet1'!BN103")</f>
        <v>0</v>
      </c>
      <c r="F713" t="b">
        <f t="shared" ref="F713:F714" ca="1" si="69">E713=D713</f>
        <v>0</v>
      </c>
    </row>
    <row r="714" spans="1:6" x14ac:dyDescent="0.25">
      <c r="A714" t="s">
        <v>1297</v>
      </c>
      <c r="B714" t="s">
        <v>2027</v>
      </c>
      <c r="C714" t="s">
        <v>187</v>
      </c>
      <c r="D714" s="5" t="s">
        <v>1660</v>
      </c>
      <c r="E714" s="5">
        <f ca="1">INDIRECT("'Sheet1'!BP103")</f>
        <v>0</v>
      </c>
      <c r="F714" t="b">
        <f t="shared" ca="1" si="69"/>
        <v>0</v>
      </c>
    </row>
    <row r="716" spans="1:6" x14ac:dyDescent="0.25">
      <c r="A716" t="s">
        <v>1298</v>
      </c>
      <c r="B716" t="s">
        <v>2028</v>
      </c>
      <c r="C716" t="s">
        <v>188</v>
      </c>
      <c r="D716">
        <v>1.7</v>
      </c>
      <c r="E716">
        <f ca="1">INDIRECT("'Sheet1'!BQ104")</f>
        <v>0</v>
      </c>
      <c r="F716" t="b">
        <f t="shared" ref="F716:F717" ca="1" si="70">E716=D716</f>
        <v>0</v>
      </c>
    </row>
    <row r="717" spans="1:6" x14ac:dyDescent="0.25">
      <c r="A717" t="s">
        <v>1299</v>
      </c>
      <c r="B717" t="s">
        <v>2029</v>
      </c>
      <c r="C717" t="s">
        <v>190</v>
      </c>
      <c r="D717" s="5" t="s">
        <v>1661</v>
      </c>
      <c r="E717" s="5">
        <f ca="1">INDIRECT("'Sheet1'!BS104")</f>
        <v>0</v>
      </c>
      <c r="F717" t="b">
        <f t="shared" ca="1" si="70"/>
        <v>0</v>
      </c>
    </row>
    <row r="719" spans="1:6" x14ac:dyDescent="0.25">
      <c r="A719" t="s">
        <v>1300</v>
      </c>
      <c r="B719" t="s">
        <v>2030</v>
      </c>
      <c r="C719" t="s">
        <v>191</v>
      </c>
      <c r="D719">
        <v>1.7</v>
      </c>
      <c r="E719">
        <f ca="1">INDIRECT("'Sheet1'!BT105")</f>
        <v>0</v>
      </c>
      <c r="F719" t="b">
        <f t="shared" ref="F719:F720" ca="1" si="71">E719=D719</f>
        <v>0</v>
      </c>
    </row>
    <row r="720" spans="1:6" x14ac:dyDescent="0.25">
      <c r="A720" t="s">
        <v>1301</v>
      </c>
      <c r="B720" t="s">
        <v>2031</v>
      </c>
      <c r="C720" t="s">
        <v>193</v>
      </c>
      <c r="D720" s="5" t="s">
        <v>1662</v>
      </c>
      <c r="E720" s="5">
        <f ca="1">INDIRECT("'Sheet1'!BV105")</f>
        <v>0</v>
      </c>
      <c r="F720" t="b">
        <f t="shared" ca="1" si="71"/>
        <v>0</v>
      </c>
    </row>
    <row r="722" spans="1:6" x14ac:dyDescent="0.25">
      <c r="A722" t="s">
        <v>1302</v>
      </c>
      <c r="B722" t="s">
        <v>1914</v>
      </c>
      <c r="C722" t="s">
        <v>179</v>
      </c>
      <c r="D722">
        <v>1.7</v>
      </c>
      <c r="E722">
        <f ca="1">INDIRECT("'Sheet1'!BH106")</f>
        <v>0</v>
      </c>
      <c r="F722" t="b">
        <f t="shared" ref="F722:F725" ca="1" si="72">E722=D722</f>
        <v>0</v>
      </c>
    </row>
    <row r="723" spans="1:6" x14ac:dyDescent="0.25">
      <c r="A723" t="s">
        <v>1303</v>
      </c>
      <c r="B723" t="s">
        <v>1969</v>
      </c>
      <c r="C723" t="s">
        <v>181</v>
      </c>
      <c r="D723" s="5" t="s">
        <v>1663</v>
      </c>
      <c r="E723" s="5">
        <f ca="1">INDIRECT("'Sheet1'!BJ106")</f>
        <v>0</v>
      </c>
      <c r="F723" t="b">
        <f t="shared" ca="1" si="72"/>
        <v>0</v>
      </c>
    </row>
    <row r="724" spans="1:6" x14ac:dyDescent="0.25">
      <c r="A724" t="s">
        <v>1304</v>
      </c>
      <c r="B724" t="s">
        <v>1972</v>
      </c>
      <c r="C724" t="s">
        <v>182</v>
      </c>
      <c r="E724">
        <f ca="1">INDIRECT("'Sheet1'!BK106")</f>
        <v>0</v>
      </c>
      <c r="F724" t="b">
        <f t="shared" ca="1" si="72"/>
        <v>1</v>
      </c>
    </row>
    <row r="725" spans="1:6" x14ac:dyDescent="0.25">
      <c r="A725" t="s">
        <v>1305</v>
      </c>
      <c r="B725" t="s">
        <v>1970</v>
      </c>
      <c r="C725" t="s">
        <v>184</v>
      </c>
      <c r="D725" s="5" t="s">
        <v>1663</v>
      </c>
      <c r="E725" s="5">
        <f ca="1">INDIRECT("'Sheet1'!BM106")</f>
        <v>0</v>
      </c>
      <c r="F725" t="b">
        <f t="shared" ca="1" si="72"/>
        <v>0</v>
      </c>
    </row>
    <row r="727" spans="1:6" x14ac:dyDescent="0.25">
      <c r="A727" t="s">
        <v>1306</v>
      </c>
      <c r="B727" t="s">
        <v>1915</v>
      </c>
      <c r="C727" t="s">
        <v>179</v>
      </c>
      <c r="D727">
        <v>1.7</v>
      </c>
      <c r="E727">
        <f ca="1">INDIRECT("'Sheet1'!BH107")</f>
        <v>0</v>
      </c>
      <c r="F727" t="b">
        <f t="shared" ref="F727:F730" ca="1" si="73">E727=D727</f>
        <v>0</v>
      </c>
    </row>
    <row r="728" spans="1:6" x14ac:dyDescent="0.25">
      <c r="A728" t="s">
        <v>1307</v>
      </c>
      <c r="B728" t="s">
        <v>1947</v>
      </c>
      <c r="C728" t="s">
        <v>181</v>
      </c>
      <c r="D728" s="5" t="s">
        <v>1660</v>
      </c>
      <c r="E728" s="5">
        <f ca="1">INDIRECT("'Sheet1'!BJ107")</f>
        <v>0</v>
      </c>
      <c r="F728" t="b">
        <f t="shared" ca="1" si="73"/>
        <v>0</v>
      </c>
    </row>
    <row r="729" spans="1:6" x14ac:dyDescent="0.25">
      <c r="A729" t="s">
        <v>1308</v>
      </c>
      <c r="B729" t="s">
        <v>1925</v>
      </c>
      <c r="C729" t="s">
        <v>188</v>
      </c>
      <c r="E729">
        <f ca="1">INDIRECT("'Sheet1'!BQ107")</f>
        <v>0</v>
      </c>
      <c r="F729" t="b">
        <f t="shared" ca="1" si="73"/>
        <v>1</v>
      </c>
    </row>
    <row r="730" spans="1:6" x14ac:dyDescent="0.25">
      <c r="A730" t="s">
        <v>1309</v>
      </c>
      <c r="B730" t="s">
        <v>1971</v>
      </c>
      <c r="C730" t="s">
        <v>190</v>
      </c>
      <c r="D730" s="5" t="s">
        <v>1661</v>
      </c>
      <c r="E730" s="5">
        <f ca="1">INDIRECT("'Sheet1'!BS107")</f>
        <v>0</v>
      </c>
      <c r="F730" t="b">
        <f t="shared" ca="1" si="73"/>
        <v>0</v>
      </c>
    </row>
    <row r="732" spans="1:6" x14ac:dyDescent="0.25">
      <c r="A732" t="s">
        <v>1310</v>
      </c>
      <c r="B732" t="s">
        <v>1916</v>
      </c>
      <c r="C732" t="s">
        <v>182</v>
      </c>
      <c r="D732">
        <v>1.7</v>
      </c>
      <c r="E732">
        <f ca="1">INDIRECT("'Sheet1'!BK108")</f>
        <v>0</v>
      </c>
      <c r="F732" t="b">
        <f t="shared" ref="F732:F735" ca="1" si="74">E732=D732</f>
        <v>0</v>
      </c>
    </row>
    <row r="733" spans="1:6" x14ac:dyDescent="0.25">
      <c r="A733" t="s">
        <v>1311</v>
      </c>
      <c r="B733" t="s">
        <v>1946</v>
      </c>
      <c r="C733" t="s">
        <v>184</v>
      </c>
      <c r="D733" s="5" t="s">
        <v>1660</v>
      </c>
      <c r="E733" s="5">
        <f ca="1">INDIRECT("'Sheet1'!BM108")</f>
        <v>0</v>
      </c>
      <c r="F733" t="b">
        <f t="shared" ca="1" si="74"/>
        <v>0</v>
      </c>
    </row>
    <row r="734" spans="1:6" x14ac:dyDescent="0.25">
      <c r="A734" t="s">
        <v>1312</v>
      </c>
      <c r="B734" t="s">
        <v>1926</v>
      </c>
      <c r="C734" t="s">
        <v>185</v>
      </c>
      <c r="E734">
        <f ca="1">INDIRECT("'Sheet1'!BN108")</f>
        <v>0</v>
      </c>
      <c r="F734" t="b">
        <f t="shared" ca="1" si="74"/>
        <v>1</v>
      </c>
    </row>
    <row r="735" spans="1:6" x14ac:dyDescent="0.25">
      <c r="A735" t="s">
        <v>1313</v>
      </c>
      <c r="B735" t="s">
        <v>1945</v>
      </c>
      <c r="C735" t="s">
        <v>187</v>
      </c>
      <c r="D735" s="5" t="s">
        <v>1660</v>
      </c>
      <c r="E735" s="5">
        <f ca="1">INDIRECT("'Sheet1'!BP108")</f>
        <v>0</v>
      </c>
      <c r="F735" t="b">
        <f t="shared" ca="1" si="74"/>
        <v>0</v>
      </c>
    </row>
    <row r="737" spans="1:6" x14ac:dyDescent="0.25">
      <c r="A737" t="s">
        <v>1314</v>
      </c>
      <c r="B737" t="s">
        <v>1917</v>
      </c>
      <c r="C737" t="s">
        <v>185</v>
      </c>
      <c r="D737">
        <v>1.7</v>
      </c>
      <c r="E737">
        <f ca="1">INDIRECT("'Sheet1'!BN109")</f>
        <v>0</v>
      </c>
      <c r="F737" t="b">
        <f t="shared" ref="F737:F740" ca="1" si="75">E737=D737</f>
        <v>0</v>
      </c>
    </row>
    <row r="738" spans="1:6" x14ac:dyDescent="0.25">
      <c r="A738" t="s">
        <v>1315</v>
      </c>
      <c r="B738" t="s">
        <v>1944</v>
      </c>
      <c r="C738" t="s">
        <v>187</v>
      </c>
      <c r="D738" s="5" t="s">
        <v>1660</v>
      </c>
      <c r="E738" s="5">
        <f ca="1">INDIRECT("'Sheet1'!BP109")</f>
        <v>0</v>
      </c>
      <c r="F738" t="b">
        <f t="shared" ca="1" si="75"/>
        <v>0</v>
      </c>
    </row>
    <row r="739" spans="1:6" x14ac:dyDescent="0.25">
      <c r="A739" t="s">
        <v>1316</v>
      </c>
      <c r="B739" t="s">
        <v>1927</v>
      </c>
      <c r="C739" t="s">
        <v>191</v>
      </c>
      <c r="E739">
        <f ca="1">INDIRECT("'Sheet1'!BT109")</f>
        <v>0</v>
      </c>
      <c r="F739" t="b">
        <f t="shared" ca="1" si="75"/>
        <v>1</v>
      </c>
    </row>
    <row r="740" spans="1:6" x14ac:dyDescent="0.25">
      <c r="A740" t="s">
        <v>1317</v>
      </c>
      <c r="B740" t="s">
        <v>1948</v>
      </c>
      <c r="C740" t="s">
        <v>193</v>
      </c>
      <c r="D740" s="5" t="s">
        <v>1662</v>
      </c>
      <c r="E740" s="5">
        <f ca="1">INDIRECT("'Sheet1'!BV109")</f>
        <v>0</v>
      </c>
      <c r="F740" t="b">
        <f t="shared" ca="1" si="75"/>
        <v>0</v>
      </c>
    </row>
    <row r="742" spans="1:6" x14ac:dyDescent="0.25">
      <c r="A742" t="s">
        <v>1318</v>
      </c>
      <c r="B742" t="s">
        <v>1918</v>
      </c>
      <c r="C742" t="s">
        <v>188</v>
      </c>
      <c r="D742">
        <v>1.7</v>
      </c>
      <c r="E742">
        <f ca="1">INDIRECT("'Sheet1'!BQ110")</f>
        <v>0</v>
      </c>
      <c r="F742" t="b">
        <f t="shared" ref="F742:F745" ca="1" si="76">E742=D742</f>
        <v>0</v>
      </c>
    </row>
    <row r="743" spans="1:6" x14ac:dyDescent="0.25">
      <c r="A743" t="s">
        <v>1319</v>
      </c>
      <c r="B743" t="s">
        <v>1939</v>
      </c>
      <c r="C743" t="s">
        <v>190</v>
      </c>
      <c r="D743" s="5" t="s">
        <v>1664</v>
      </c>
      <c r="E743" s="5">
        <f ca="1">INDIRECT("'Sheet1'!BS110")</f>
        <v>0</v>
      </c>
      <c r="F743" t="b">
        <f t="shared" ca="1" si="76"/>
        <v>0</v>
      </c>
    </row>
    <row r="744" spans="1:6" x14ac:dyDescent="0.25">
      <c r="A744" t="s">
        <v>1320</v>
      </c>
      <c r="B744" t="s">
        <v>1919</v>
      </c>
      <c r="C744" t="s">
        <v>176</v>
      </c>
      <c r="D744">
        <v>1.71</v>
      </c>
      <c r="E744">
        <f ca="1">INDIRECT("'Sheet1'!BE110")</f>
        <v>0</v>
      </c>
      <c r="F744" t="b">
        <f t="shared" ca="1" si="76"/>
        <v>0</v>
      </c>
    </row>
    <row r="745" spans="1:6" x14ac:dyDescent="0.25">
      <c r="A745" t="s">
        <v>1321</v>
      </c>
      <c r="B745" t="s">
        <v>1943</v>
      </c>
      <c r="C745" t="s">
        <v>178</v>
      </c>
      <c r="D745" s="5" t="s">
        <v>1660</v>
      </c>
      <c r="E745" s="5">
        <f ca="1">INDIRECT("'Sheet1'!BG110")</f>
        <v>0</v>
      </c>
      <c r="F745" t="b">
        <f t="shared" ca="1" si="76"/>
        <v>0</v>
      </c>
    </row>
    <row r="747" spans="1:6" x14ac:dyDescent="0.25">
      <c r="A747" t="s">
        <v>1322</v>
      </c>
      <c r="B747" t="s">
        <v>1920</v>
      </c>
      <c r="C747" t="s">
        <v>191</v>
      </c>
      <c r="D747">
        <v>1.7</v>
      </c>
      <c r="E747">
        <f ca="1">INDIRECT("'Sheet1'!BT111")</f>
        <v>0</v>
      </c>
      <c r="F747" t="b">
        <f t="shared" ref="F747:F748" ca="1" si="77">E747=D747</f>
        <v>0</v>
      </c>
    </row>
    <row r="748" spans="1:6" x14ac:dyDescent="0.25">
      <c r="A748" t="s">
        <v>1324</v>
      </c>
      <c r="B748" t="s">
        <v>1952</v>
      </c>
      <c r="C748" t="s">
        <v>193</v>
      </c>
      <c r="D748" s="5" t="s">
        <v>1665</v>
      </c>
      <c r="E748" s="5">
        <f ca="1">INDIRECT("'Sheet1'!BV111")</f>
        <v>0</v>
      </c>
      <c r="F748" t="b">
        <f t="shared" ca="1" si="77"/>
        <v>0</v>
      </c>
    </row>
    <row r="750" spans="1:6" x14ac:dyDescent="0.25">
      <c r="A750" t="s">
        <v>1326</v>
      </c>
      <c r="B750" t="s">
        <v>1921</v>
      </c>
      <c r="C750" t="s">
        <v>173</v>
      </c>
      <c r="D750">
        <v>1.7</v>
      </c>
      <c r="E750">
        <f ca="1">INDIRECT("'Sheet1'!BB112")</f>
        <v>0</v>
      </c>
      <c r="F750" t="b">
        <f t="shared" ref="F750:F753" ca="1" si="78">E750=D750</f>
        <v>0</v>
      </c>
    </row>
    <row r="751" spans="1:6" x14ac:dyDescent="0.25">
      <c r="A751" t="s">
        <v>1327</v>
      </c>
      <c r="B751" t="s">
        <v>1933</v>
      </c>
      <c r="C751" t="s">
        <v>175</v>
      </c>
      <c r="D751" s="5" t="s">
        <v>1666</v>
      </c>
      <c r="E751" s="5">
        <f ca="1">INDIRECT("'Sheet1'!BD112")</f>
        <v>0</v>
      </c>
      <c r="F751" t="b">
        <f t="shared" ca="1" si="78"/>
        <v>0</v>
      </c>
    </row>
    <row r="752" spans="1:6" x14ac:dyDescent="0.25">
      <c r="A752" t="s">
        <v>1328</v>
      </c>
      <c r="B752" t="s">
        <v>1928</v>
      </c>
      <c r="C752" t="s">
        <v>176</v>
      </c>
      <c r="E752">
        <f ca="1">INDIRECT("'Sheet1'!BE112")</f>
        <v>0</v>
      </c>
      <c r="F752" t="b">
        <f t="shared" ca="1" si="78"/>
        <v>1</v>
      </c>
    </row>
    <row r="753" spans="1:6" x14ac:dyDescent="0.25">
      <c r="A753" t="s">
        <v>1329</v>
      </c>
      <c r="B753" t="s">
        <v>1936</v>
      </c>
      <c r="C753" t="s">
        <v>178</v>
      </c>
      <c r="D753" s="5" t="s">
        <v>1667</v>
      </c>
      <c r="E753" s="5">
        <f ca="1">INDIRECT("'Sheet1'!BG112")</f>
        <v>0</v>
      </c>
      <c r="F753" t="b">
        <f t="shared" ca="1" si="78"/>
        <v>0</v>
      </c>
    </row>
    <row r="755" spans="1:6" x14ac:dyDescent="0.25">
      <c r="A755" t="s">
        <v>1330</v>
      </c>
      <c r="B755" t="s">
        <v>1922</v>
      </c>
      <c r="C755" t="s">
        <v>173</v>
      </c>
      <c r="D755">
        <v>1.7</v>
      </c>
      <c r="E755">
        <f ca="1">INDIRECT("'Sheet1'!BB113")</f>
        <v>0</v>
      </c>
      <c r="F755" t="b">
        <f t="shared" ref="F755:F756" ca="1" si="79">E755=D755</f>
        <v>0</v>
      </c>
    </row>
    <row r="756" spans="1:6" x14ac:dyDescent="0.25">
      <c r="A756" t="s">
        <v>1331</v>
      </c>
      <c r="B756" t="s">
        <v>1942</v>
      </c>
      <c r="C756" t="s">
        <v>175</v>
      </c>
      <c r="D756" s="5" t="s">
        <v>1660</v>
      </c>
      <c r="E756" s="5">
        <f ca="1">INDIRECT("'Sheet1'!BD113")</f>
        <v>0</v>
      </c>
      <c r="F756" t="b">
        <f t="shared" ca="1" si="79"/>
        <v>0</v>
      </c>
    </row>
    <row r="758" spans="1:6" x14ac:dyDescent="0.25">
      <c r="A758" t="s">
        <v>1334</v>
      </c>
      <c r="B758" t="s">
        <v>1923</v>
      </c>
      <c r="C758" t="s">
        <v>173</v>
      </c>
      <c r="D758">
        <v>1.7</v>
      </c>
      <c r="E758">
        <f ca="1">INDIRECT("'Sheet1'!BB114")</f>
        <v>0</v>
      </c>
      <c r="F758" t="b">
        <f t="shared" ref="F758:F771" ca="1" si="80">E758=D758</f>
        <v>0</v>
      </c>
    </row>
    <row r="759" spans="1:6" x14ac:dyDescent="0.25">
      <c r="A759" t="s">
        <v>1335</v>
      </c>
      <c r="B759" t="s">
        <v>1934</v>
      </c>
      <c r="C759" t="s">
        <v>175</v>
      </c>
      <c r="D759" s="5" t="s">
        <v>1666</v>
      </c>
      <c r="E759" s="5">
        <f ca="1">INDIRECT("'Sheet1'!BD114")</f>
        <v>0</v>
      </c>
      <c r="F759" t="b">
        <f t="shared" ca="1" si="80"/>
        <v>0</v>
      </c>
    </row>
    <row r="760" spans="1:6" x14ac:dyDescent="0.25">
      <c r="A760" t="s">
        <v>1336</v>
      </c>
      <c r="B760" t="s">
        <v>1981</v>
      </c>
      <c r="C760" t="s">
        <v>176</v>
      </c>
      <c r="E760" s="5">
        <f ca="1">INDIRECT("'Sheet1'!BE114")</f>
        <v>0</v>
      </c>
      <c r="F760" t="b">
        <f t="shared" ca="1" si="80"/>
        <v>1</v>
      </c>
    </row>
    <row r="761" spans="1:6" x14ac:dyDescent="0.25">
      <c r="A761" t="s">
        <v>1337</v>
      </c>
      <c r="B761" t="s">
        <v>1937</v>
      </c>
      <c r="C761" t="s">
        <v>178</v>
      </c>
      <c r="D761" s="5" t="s">
        <v>1667</v>
      </c>
      <c r="E761" s="5">
        <f ca="1">INDIRECT("'Sheet1'!BG114")</f>
        <v>0</v>
      </c>
      <c r="F761" t="b">
        <f t="shared" ca="1" si="80"/>
        <v>0</v>
      </c>
    </row>
    <row r="762" spans="1:6" x14ac:dyDescent="0.25">
      <c r="A762" t="s">
        <v>1338</v>
      </c>
      <c r="B762" t="s">
        <v>1929</v>
      </c>
      <c r="C762" t="s">
        <v>179</v>
      </c>
      <c r="E762">
        <f ca="1">INDIRECT("'Sheet1'!BH114")</f>
        <v>0</v>
      </c>
      <c r="F762" t="b">
        <f t="shared" ca="1" si="80"/>
        <v>1</v>
      </c>
    </row>
    <row r="763" spans="1:6" x14ac:dyDescent="0.25">
      <c r="A763" t="s">
        <v>1339</v>
      </c>
      <c r="B763" t="s">
        <v>1938</v>
      </c>
      <c r="C763" t="s">
        <v>181</v>
      </c>
      <c r="D763" s="5" t="s">
        <v>1667</v>
      </c>
      <c r="E763" s="5">
        <f ca="1">INDIRECT("'Sheet1'!BJ114")</f>
        <v>0</v>
      </c>
      <c r="F763" t="b">
        <f t="shared" ca="1" si="80"/>
        <v>0</v>
      </c>
    </row>
    <row r="764" spans="1:6" x14ac:dyDescent="0.25">
      <c r="A764" t="s">
        <v>1340</v>
      </c>
      <c r="B764" t="s">
        <v>1924</v>
      </c>
      <c r="C764" t="s">
        <v>182</v>
      </c>
      <c r="D764">
        <v>1.73</v>
      </c>
      <c r="E764">
        <f ca="1">INDIRECT("'Sheet1'!BK114")</f>
        <v>0</v>
      </c>
      <c r="F764" t="b">
        <f t="shared" ca="1" si="80"/>
        <v>0</v>
      </c>
    </row>
    <row r="765" spans="1:6" x14ac:dyDescent="0.25">
      <c r="A765" t="s">
        <v>1341</v>
      </c>
      <c r="B765" t="s">
        <v>1935</v>
      </c>
      <c r="C765" t="s">
        <v>184</v>
      </c>
      <c r="D765" s="5" t="s">
        <v>1666</v>
      </c>
      <c r="E765" s="5">
        <f ca="1">INDIRECT("'Sheet1'!BM114")</f>
        <v>0</v>
      </c>
      <c r="F765" t="b">
        <f t="shared" ca="1" si="80"/>
        <v>0</v>
      </c>
    </row>
    <row r="766" spans="1:6" x14ac:dyDescent="0.25">
      <c r="A766" t="s">
        <v>1342</v>
      </c>
      <c r="B766" t="s">
        <v>1930</v>
      </c>
      <c r="C766" t="s">
        <v>185</v>
      </c>
      <c r="E766">
        <f ca="1">INDIRECT("'Sheet1'!BN114")</f>
        <v>0</v>
      </c>
      <c r="F766" t="b">
        <f t="shared" ca="1" si="80"/>
        <v>1</v>
      </c>
    </row>
    <row r="767" spans="1:6" x14ac:dyDescent="0.25">
      <c r="A767" t="s">
        <v>1343</v>
      </c>
      <c r="B767" t="s">
        <v>1941</v>
      </c>
      <c r="C767" t="s">
        <v>187</v>
      </c>
      <c r="D767" s="5" t="s">
        <v>1660</v>
      </c>
      <c r="E767" s="5">
        <f ca="1">INDIRECT("'Sheet1'!BP114")</f>
        <v>0</v>
      </c>
      <c r="F767" t="b">
        <f t="shared" ca="1" si="80"/>
        <v>0</v>
      </c>
    </row>
    <row r="768" spans="1:6" x14ac:dyDescent="0.25">
      <c r="A768" t="s">
        <v>1344</v>
      </c>
      <c r="B768" t="s">
        <v>1931</v>
      </c>
      <c r="C768" t="s">
        <v>188</v>
      </c>
      <c r="E768">
        <f ca="1">INDIRECT("'Sheet1'!BQ114")</f>
        <v>0</v>
      </c>
      <c r="F768" t="b">
        <f t="shared" ca="1" si="80"/>
        <v>1</v>
      </c>
    </row>
    <row r="769" spans="1:6" x14ac:dyDescent="0.25">
      <c r="A769" t="s">
        <v>1345</v>
      </c>
      <c r="B769" t="s">
        <v>1940</v>
      </c>
      <c r="C769" t="s">
        <v>190</v>
      </c>
      <c r="D769" s="5" t="s">
        <v>1664</v>
      </c>
      <c r="E769" s="5">
        <f ca="1">INDIRECT("'Sheet1'!BS114")</f>
        <v>0</v>
      </c>
      <c r="F769" t="b">
        <f t="shared" ca="1" si="80"/>
        <v>0</v>
      </c>
    </row>
    <row r="770" spans="1:6" x14ac:dyDescent="0.25">
      <c r="A770" t="s">
        <v>1346</v>
      </c>
      <c r="B770" t="s">
        <v>1932</v>
      </c>
      <c r="C770" t="s">
        <v>191</v>
      </c>
      <c r="E770">
        <f ca="1">INDIRECT("'Sheet1'!BT114")</f>
        <v>0</v>
      </c>
      <c r="F770" t="b">
        <f t="shared" ca="1" si="80"/>
        <v>1</v>
      </c>
    </row>
    <row r="771" spans="1:6" x14ac:dyDescent="0.25">
      <c r="A771" t="s">
        <v>1347</v>
      </c>
      <c r="B771" t="s">
        <v>1949</v>
      </c>
      <c r="C771" t="s">
        <v>193</v>
      </c>
      <c r="D771" s="5" t="s">
        <v>1662</v>
      </c>
      <c r="E771" s="5">
        <f ca="1">INDIRECT("'Sheet1'!BV114")</f>
        <v>0</v>
      </c>
      <c r="F771" t="b">
        <f t="shared" ca="1" si="80"/>
        <v>0</v>
      </c>
    </row>
    <row r="773" spans="1:6" x14ac:dyDescent="0.25">
      <c r="A773" t="s">
        <v>1348</v>
      </c>
      <c r="B773" t="s">
        <v>1982</v>
      </c>
      <c r="C773" t="s">
        <v>173</v>
      </c>
      <c r="E773">
        <f ca="1">INDIRECT("'Sheet1'!BB115")</f>
        <v>0</v>
      </c>
      <c r="F773" t="b">
        <f t="shared" ref="F773:F786" ca="1" si="81">E773=D773</f>
        <v>1</v>
      </c>
    </row>
    <row r="774" spans="1:6" x14ac:dyDescent="0.25">
      <c r="A774" t="s">
        <v>1349</v>
      </c>
      <c r="B774" t="s">
        <v>1983</v>
      </c>
      <c r="C774" t="s">
        <v>175</v>
      </c>
      <c r="E774" s="5">
        <f ca="1">INDIRECT("'Sheet1'!BD115")</f>
        <v>0</v>
      </c>
      <c r="F774" t="b">
        <f t="shared" ca="1" si="81"/>
        <v>1</v>
      </c>
    </row>
    <row r="775" spans="1:6" x14ac:dyDescent="0.25">
      <c r="A775" t="s">
        <v>1350</v>
      </c>
      <c r="B775" t="s">
        <v>1984</v>
      </c>
      <c r="C775" t="s">
        <v>176</v>
      </c>
      <c r="E775">
        <f ca="1">INDIRECT("'Sheet1'!BE115")</f>
        <v>0</v>
      </c>
      <c r="F775" t="b">
        <f t="shared" ca="1" si="81"/>
        <v>1</v>
      </c>
    </row>
    <row r="776" spans="1:6" x14ac:dyDescent="0.25">
      <c r="A776" t="s">
        <v>1351</v>
      </c>
      <c r="B776" t="s">
        <v>1985</v>
      </c>
      <c r="C776" t="s">
        <v>178</v>
      </c>
      <c r="E776" s="5">
        <f ca="1">INDIRECT("'Sheet1'!BG115")</f>
        <v>0</v>
      </c>
      <c r="F776" t="b">
        <f t="shared" ca="1" si="81"/>
        <v>1</v>
      </c>
    </row>
    <row r="777" spans="1:6" x14ac:dyDescent="0.25">
      <c r="A777" t="s">
        <v>1352</v>
      </c>
      <c r="B777" t="s">
        <v>1986</v>
      </c>
      <c r="C777" t="s">
        <v>179</v>
      </c>
      <c r="E777">
        <f ca="1">INDIRECT("'Sheet1'!BH115")</f>
        <v>0</v>
      </c>
      <c r="F777" t="b">
        <f t="shared" ca="1" si="81"/>
        <v>1</v>
      </c>
    </row>
    <row r="778" spans="1:6" x14ac:dyDescent="0.25">
      <c r="A778" t="s">
        <v>1353</v>
      </c>
      <c r="B778" t="s">
        <v>1987</v>
      </c>
      <c r="C778" t="s">
        <v>181</v>
      </c>
      <c r="E778" s="5">
        <f ca="1">INDIRECT("'Sheet1'!BJ115")</f>
        <v>0</v>
      </c>
      <c r="F778" t="b">
        <f t="shared" ca="1" si="81"/>
        <v>1</v>
      </c>
    </row>
    <row r="779" spans="1:6" x14ac:dyDescent="0.25">
      <c r="A779" t="s">
        <v>1354</v>
      </c>
      <c r="B779" t="s">
        <v>1988</v>
      </c>
      <c r="C779" t="s">
        <v>182</v>
      </c>
      <c r="E779">
        <f ca="1">INDIRECT("'Sheet1'!BK115")</f>
        <v>0</v>
      </c>
      <c r="F779" t="b">
        <f t="shared" ca="1" si="81"/>
        <v>1</v>
      </c>
    </row>
    <row r="780" spans="1:6" x14ac:dyDescent="0.25">
      <c r="A780" t="s">
        <v>1355</v>
      </c>
      <c r="B780" t="s">
        <v>1989</v>
      </c>
      <c r="C780" t="s">
        <v>184</v>
      </c>
      <c r="E780" s="5">
        <f ca="1">INDIRECT("'Sheet1'!BM115")</f>
        <v>0</v>
      </c>
      <c r="F780" t="b">
        <f t="shared" ca="1" si="81"/>
        <v>1</v>
      </c>
    </row>
    <row r="781" spans="1:6" x14ac:dyDescent="0.25">
      <c r="A781" t="s">
        <v>1356</v>
      </c>
      <c r="B781" t="s">
        <v>1990</v>
      </c>
      <c r="C781" t="s">
        <v>185</v>
      </c>
      <c r="E781">
        <f ca="1">INDIRECT("'Sheet1'!BN115")</f>
        <v>0</v>
      </c>
      <c r="F781" t="b">
        <f t="shared" ca="1" si="81"/>
        <v>1</v>
      </c>
    </row>
    <row r="782" spans="1:6" x14ac:dyDescent="0.25">
      <c r="A782" t="s">
        <v>1357</v>
      </c>
      <c r="B782" t="s">
        <v>1991</v>
      </c>
      <c r="C782" t="s">
        <v>187</v>
      </c>
      <c r="E782" s="5">
        <f ca="1">INDIRECT("'Sheet1'!BP115")</f>
        <v>0</v>
      </c>
      <c r="F782" t="b">
        <f t="shared" ca="1" si="81"/>
        <v>1</v>
      </c>
    </row>
    <row r="783" spans="1:6" x14ac:dyDescent="0.25">
      <c r="A783" t="s">
        <v>1358</v>
      </c>
      <c r="B783" t="s">
        <v>1992</v>
      </c>
      <c r="C783" t="s">
        <v>188</v>
      </c>
      <c r="E783">
        <f ca="1">INDIRECT("'Sheet1'!BQ115")</f>
        <v>0</v>
      </c>
      <c r="F783" t="b">
        <f t="shared" ca="1" si="81"/>
        <v>1</v>
      </c>
    </row>
    <row r="784" spans="1:6" x14ac:dyDescent="0.25">
      <c r="A784" t="s">
        <v>1359</v>
      </c>
      <c r="B784" t="s">
        <v>1993</v>
      </c>
      <c r="C784" t="s">
        <v>190</v>
      </c>
      <c r="E784" s="5">
        <f ca="1">INDIRECT("'Sheet1'!BS115")</f>
        <v>0</v>
      </c>
      <c r="F784" t="b">
        <f t="shared" ca="1" si="81"/>
        <v>1</v>
      </c>
    </row>
    <row r="785" spans="1:6" x14ac:dyDescent="0.25">
      <c r="A785" t="s">
        <v>1360</v>
      </c>
      <c r="B785" t="s">
        <v>1994</v>
      </c>
      <c r="C785" t="s">
        <v>191</v>
      </c>
      <c r="E785">
        <f ca="1">INDIRECT("'Sheet1'!BT115")</f>
        <v>0</v>
      </c>
      <c r="F785" t="b">
        <f t="shared" ca="1" si="81"/>
        <v>1</v>
      </c>
    </row>
    <row r="786" spans="1:6" x14ac:dyDescent="0.25">
      <c r="A786" t="s">
        <v>1361</v>
      </c>
      <c r="B786" t="s">
        <v>1995</v>
      </c>
      <c r="C786" t="s">
        <v>193</v>
      </c>
      <c r="E786" s="5">
        <f ca="1">INDIRECT("'Sheet1'!BV115")</f>
        <v>0</v>
      </c>
      <c r="F786" t="b">
        <f t="shared" ca="1" si="81"/>
        <v>1</v>
      </c>
    </row>
    <row r="788" spans="1:6" x14ac:dyDescent="0.25">
      <c r="A788" t="s">
        <v>1362</v>
      </c>
      <c r="B788" t="s">
        <v>1982</v>
      </c>
      <c r="C788" t="s">
        <v>173</v>
      </c>
      <c r="E788">
        <f ca="1">INDIRECT("'Sheet1'!BB116")</f>
        <v>0</v>
      </c>
      <c r="F788" t="b">
        <f t="shared" ref="F788:F801" ca="1" si="82">E788=D788</f>
        <v>1</v>
      </c>
    </row>
    <row r="789" spans="1:6" x14ac:dyDescent="0.25">
      <c r="A789" t="s">
        <v>1363</v>
      </c>
      <c r="B789" t="s">
        <v>1983</v>
      </c>
      <c r="C789" t="s">
        <v>175</v>
      </c>
      <c r="E789">
        <f ca="1">INDIRECT("'Sheet1'!BD116")</f>
        <v>0</v>
      </c>
      <c r="F789" t="b">
        <f t="shared" ca="1" si="82"/>
        <v>1</v>
      </c>
    </row>
    <row r="790" spans="1:6" x14ac:dyDescent="0.25">
      <c r="A790" t="s">
        <v>1364</v>
      </c>
      <c r="B790" t="s">
        <v>1984</v>
      </c>
      <c r="C790" t="s">
        <v>176</v>
      </c>
      <c r="E790">
        <f ca="1">INDIRECT("'Sheet1'!BE116")</f>
        <v>0</v>
      </c>
      <c r="F790" t="b">
        <f t="shared" ca="1" si="82"/>
        <v>1</v>
      </c>
    </row>
    <row r="791" spans="1:6" x14ac:dyDescent="0.25">
      <c r="A791" t="s">
        <v>1365</v>
      </c>
      <c r="B791" t="s">
        <v>1985</v>
      </c>
      <c r="C791" t="s">
        <v>178</v>
      </c>
      <c r="E791">
        <f ca="1">INDIRECT("'Sheet1'!BG116")</f>
        <v>0</v>
      </c>
      <c r="F791" t="b">
        <f t="shared" ca="1" si="82"/>
        <v>1</v>
      </c>
    </row>
    <row r="792" spans="1:6" x14ac:dyDescent="0.25">
      <c r="A792" t="s">
        <v>1366</v>
      </c>
      <c r="B792" t="s">
        <v>1986</v>
      </c>
      <c r="C792" t="s">
        <v>179</v>
      </c>
      <c r="E792">
        <f ca="1">INDIRECT("'Sheet1'!BH116")</f>
        <v>0</v>
      </c>
      <c r="F792" t="b">
        <f t="shared" ca="1" si="82"/>
        <v>1</v>
      </c>
    </row>
    <row r="793" spans="1:6" x14ac:dyDescent="0.25">
      <c r="A793" t="s">
        <v>1367</v>
      </c>
      <c r="B793" t="s">
        <v>1987</v>
      </c>
      <c r="C793" t="s">
        <v>181</v>
      </c>
      <c r="E793">
        <f ca="1">INDIRECT("'Sheet1'!BJ116")</f>
        <v>0</v>
      </c>
      <c r="F793" t="b">
        <f t="shared" ca="1" si="82"/>
        <v>1</v>
      </c>
    </row>
    <row r="794" spans="1:6" x14ac:dyDescent="0.25">
      <c r="A794" t="s">
        <v>1368</v>
      </c>
      <c r="B794" t="s">
        <v>1988</v>
      </c>
      <c r="C794" t="s">
        <v>182</v>
      </c>
      <c r="E794">
        <f ca="1">INDIRECT("'Sheet1'!BK116")</f>
        <v>0</v>
      </c>
      <c r="F794" t="b">
        <f t="shared" ca="1" si="82"/>
        <v>1</v>
      </c>
    </row>
    <row r="795" spans="1:6" x14ac:dyDescent="0.25">
      <c r="A795" t="s">
        <v>1369</v>
      </c>
      <c r="B795" t="s">
        <v>1989</v>
      </c>
      <c r="C795" t="s">
        <v>184</v>
      </c>
      <c r="E795">
        <f ca="1">INDIRECT("'Sheet1'!BM116")</f>
        <v>0</v>
      </c>
      <c r="F795" t="b">
        <f t="shared" ca="1" si="82"/>
        <v>1</v>
      </c>
    </row>
    <row r="796" spans="1:6" x14ac:dyDescent="0.25">
      <c r="A796" t="s">
        <v>1370</v>
      </c>
      <c r="B796" t="s">
        <v>1990</v>
      </c>
      <c r="C796" t="s">
        <v>185</v>
      </c>
      <c r="E796">
        <f ca="1">INDIRECT("'Sheet1'!BN116")</f>
        <v>0</v>
      </c>
      <c r="F796" t="b">
        <f t="shared" ca="1" si="82"/>
        <v>1</v>
      </c>
    </row>
    <row r="797" spans="1:6" x14ac:dyDescent="0.25">
      <c r="A797" t="s">
        <v>1371</v>
      </c>
      <c r="B797" t="s">
        <v>1991</v>
      </c>
      <c r="C797" t="s">
        <v>187</v>
      </c>
      <c r="E797">
        <f ca="1">INDIRECT("'Sheet1'!BP116")</f>
        <v>0</v>
      </c>
      <c r="F797" t="b">
        <f t="shared" ca="1" si="82"/>
        <v>1</v>
      </c>
    </row>
    <row r="798" spans="1:6" x14ac:dyDescent="0.25">
      <c r="A798" t="s">
        <v>1372</v>
      </c>
      <c r="B798" t="s">
        <v>1992</v>
      </c>
      <c r="C798" t="s">
        <v>188</v>
      </c>
      <c r="E798">
        <f ca="1">INDIRECT("'Sheet1'!BQ116")</f>
        <v>0</v>
      </c>
      <c r="F798" t="b">
        <f t="shared" ca="1" si="82"/>
        <v>1</v>
      </c>
    </row>
    <row r="799" spans="1:6" x14ac:dyDescent="0.25">
      <c r="A799" t="s">
        <v>1373</v>
      </c>
      <c r="B799" t="s">
        <v>1993</v>
      </c>
      <c r="C799" t="s">
        <v>190</v>
      </c>
      <c r="E799">
        <f ca="1">INDIRECT("'Sheet1'!BS116")</f>
        <v>0</v>
      </c>
      <c r="F799" t="b">
        <f t="shared" ca="1" si="82"/>
        <v>1</v>
      </c>
    </row>
    <row r="800" spans="1:6" x14ac:dyDescent="0.25">
      <c r="A800" t="s">
        <v>1374</v>
      </c>
      <c r="B800" t="s">
        <v>1994</v>
      </c>
      <c r="C800" t="s">
        <v>191</v>
      </c>
      <c r="E800">
        <f ca="1">INDIRECT("'Sheet1'!BT116")</f>
        <v>0</v>
      </c>
      <c r="F800" t="b">
        <f t="shared" ca="1" si="82"/>
        <v>1</v>
      </c>
    </row>
    <row r="801" spans="1:6" x14ac:dyDescent="0.25">
      <c r="A801" t="s">
        <v>1375</v>
      </c>
      <c r="B801" t="s">
        <v>1995</v>
      </c>
      <c r="C801" t="s">
        <v>193</v>
      </c>
      <c r="E801">
        <f ca="1">INDIRECT("'Sheet1'!BV116")</f>
        <v>0</v>
      </c>
      <c r="F801" t="b">
        <f t="shared" ca="1" si="82"/>
        <v>1</v>
      </c>
    </row>
    <row r="803" spans="1:6" x14ac:dyDescent="0.25">
      <c r="A803" t="s">
        <v>1376</v>
      </c>
      <c r="B803" t="s">
        <v>1996</v>
      </c>
      <c r="C803" t="s">
        <v>173</v>
      </c>
      <c r="D803">
        <v>1.7</v>
      </c>
      <c r="E803">
        <f ca="1">INDIRECT("'Sheet1'!BB117")</f>
        <v>0</v>
      </c>
      <c r="F803" t="b">
        <f t="shared" ref="F803:F818" ca="1" si="83">E803=D803</f>
        <v>0</v>
      </c>
    </row>
    <row r="804" spans="1:6" x14ac:dyDescent="0.25">
      <c r="A804" t="s">
        <v>1377</v>
      </c>
      <c r="B804" t="s">
        <v>1997</v>
      </c>
      <c r="C804" t="s">
        <v>175</v>
      </c>
      <c r="D804" s="5" t="s">
        <v>1666</v>
      </c>
      <c r="E804" s="5">
        <f ca="1">INDIRECT("'Sheet1'!BD117")</f>
        <v>0</v>
      </c>
      <c r="F804" t="b">
        <f t="shared" ca="1" si="83"/>
        <v>0</v>
      </c>
    </row>
    <row r="805" spans="1:6" x14ac:dyDescent="0.25">
      <c r="A805" t="s">
        <v>1378</v>
      </c>
      <c r="B805" t="s">
        <v>1998</v>
      </c>
      <c r="C805" t="s">
        <v>176</v>
      </c>
      <c r="E805">
        <f ca="1">INDIRECT("'Sheet1'!BE117")</f>
        <v>0</v>
      </c>
      <c r="F805" t="b">
        <f t="shared" ca="1" si="83"/>
        <v>1</v>
      </c>
    </row>
    <row r="806" spans="1:6" x14ac:dyDescent="0.25">
      <c r="A806" t="s">
        <v>1379</v>
      </c>
      <c r="B806" t="s">
        <v>1999</v>
      </c>
      <c r="C806" t="s">
        <v>178</v>
      </c>
      <c r="D806" s="5" t="s">
        <v>1667</v>
      </c>
      <c r="E806" s="5">
        <f ca="1">INDIRECT("'Sheet1'!BG117")</f>
        <v>0</v>
      </c>
      <c r="F806" t="b">
        <f t="shared" ca="1" si="83"/>
        <v>0</v>
      </c>
    </row>
    <row r="807" spans="1:6" x14ac:dyDescent="0.25">
      <c r="A807" t="s">
        <v>1380</v>
      </c>
      <c r="B807" t="s">
        <v>2000</v>
      </c>
      <c r="C807" t="s">
        <v>179</v>
      </c>
      <c r="E807">
        <f ca="1">INDIRECT("'Sheet1'!BH117")</f>
        <v>0</v>
      </c>
      <c r="F807" t="b">
        <f t="shared" ca="1" si="83"/>
        <v>1</v>
      </c>
    </row>
    <row r="808" spans="1:6" x14ac:dyDescent="0.25">
      <c r="A808" t="s">
        <v>1381</v>
      </c>
      <c r="B808" t="s">
        <v>2001</v>
      </c>
      <c r="C808" t="s">
        <v>181</v>
      </c>
      <c r="D808" s="5" t="s">
        <v>1667</v>
      </c>
      <c r="E808" s="5">
        <f ca="1">INDIRECT("'Sheet1'!BJ117")</f>
        <v>0</v>
      </c>
      <c r="F808" t="b">
        <f t="shared" ca="1" si="83"/>
        <v>0</v>
      </c>
    </row>
    <row r="809" spans="1:6" x14ac:dyDescent="0.25">
      <c r="A809" t="s">
        <v>1382</v>
      </c>
      <c r="B809" t="s">
        <v>2002</v>
      </c>
      <c r="C809" t="s">
        <v>182</v>
      </c>
      <c r="D809">
        <v>1.73</v>
      </c>
      <c r="E809">
        <f ca="1">INDIRECT("'Sheet1'!BK117")</f>
        <v>0</v>
      </c>
      <c r="F809" t="b">
        <f t="shared" ca="1" si="83"/>
        <v>0</v>
      </c>
    </row>
    <row r="810" spans="1:6" x14ac:dyDescent="0.25">
      <c r="A810" t="s">
        <v>1383</v>
      </c>
      <c r="B810" t="s">
        <v>2003</v>
      </c>
      <c r="C810" t="s">
        <v>184</v>
      </c>
      <c r="D810" s="5" t="s">
        <v>1666</v>
      </c>
      <c r="E810" s="5">
        <f ca="1">INDIRECT("'Sheet1'!BM117")</f>
        <v>0</v>
      </c>
      <c r="F810" t="b">
        <f t="shared" ca="1" si="83"/>
        <v>0</v>
      </c>
    </row>
    <row r="811" spans="1:6" x14ac:dyDescent="0.25">
      <c r="A811" t="s">
        <v>1384</v>
      </c>
      <c r="B811" t="s">
        <v>2004</v>
      </c>
      <c r="C811" t="s">
        <v>185</v>
      </c>
      <c r="E811">
        <f ca="1">INDIRECT("'Sheet1'!BN117")</f>
        <v>0</v>
      </c>
      <c r="F811" t="b">
        <f t="shared" ca="1" si="83"/>
        <v>1</v>
      </c>
    </row>
    <row r="812" spans="1:6" x14ac:dyDescent="0.25">
      <c r="A812" t="s">
        <v>1385</v>
      </c>
      <c r="B812" t="s">
        <v>2005</v>
      </c>
      <c r="C812" t="s">
        <v>187</v>
      </c>
      <c r="D812" s="5" t="s">
        <v>1660</v>
      </c>
      <c r="E812" s="5">
        <f ca="1">INDIRECT("'Sheet1'!BP117")</f>
        <v>0</v>
      </c>
      <c r="F812" t="b">
        <f t="shared" ca="1" si="83"/>
        <v>0</v>
      </c>
    </row>
    <row r="813" spans="1:6" x14ac:dyDescent="0.25">
      <c r="A813" t="s">
        <v>1386</v>
      </c>
      <c r="B813" t="s">
        <v>2006</v>
      </c>
      <c r="C813" t="s">
        <v>188</v>
      </c>
      <c r="E813">
        <f ca="1">INDIRECT("'Sheet1'!BQ117")</f>
        <v>0</v>
      </c>
      <c r="F813" t="b">
        <f t="shared" ca="1" si="83"/>
        <v>1</v>
      </c>
    </row>
    <row r="814" spans="1:6" x14ac:dyDescent="0.25">
      <c r="A814" t="s">
        <v>1387</v>
      </c>
      <c r="B814" t="s">
        <v>2007</v>
      </c>
      <c r="C814" t="s">
        <v>190</v>
      </c>
      <c r="D814" s="5" t="s">
        <v>1664</v>
      </c>
      <c r="E814" s="5">
        <f ca="1">INDIRECT("'Sheet1'!BS117")</f>
        <v>0</v>
      </c>
      <c r="F814" t="b">
        <f t="shared" ca="1" si="83"/>
        <v>0</v>
      </c>
    </row>
    <row r="815" spans="1:6" x14ac:dyDescent="0.25">
      <c r="A815" t="s">
        <v>1388</v>
      </c>
      <c r="B815" t="s">
        <v>2008</v>
      </c>
      <c r="C815" t="s">
        <v>191</v>
      </c>
      <c r="E815">
        <f ca="1">INDIRECT("'Sheet1'!BT117")</f>
        <v>0</v>
      </c>
      <c r="F815" t="b">
        <f t="shared" ca="1" si="83"/>
        <v>1</v>
      </c>
    </row>
    <row r="816" spans="1:6" x14ac:dyDescent="0.25">
      <c r="A816" t="s">
        <v>1389</v>
      </c>
      <c r="B816" t="s">
        <v>2009</v>
      </c>
      <c r="C816" t="s">
        <v>193</v>
      </c>
      <c r="D816" s="5" t="s">
        <v>1662</v>
      </c>
      <c r="E816" s="5">
        <f ca="1">INDIRECT("'Sheet1'!BV117")</f>
        <v>0</v>
      </c>
      <c r="F816" t="b">
        <f t="shared" ca="1" si="83"/>
        <v>0</v>
      </c>
    </row>
    <row r="817" spans="1:6" x14ac:dyDescent="0.25">
      <c r="A817" t="s">
        <v>1477</v>
      </c>
      <c r="B817" t="s">
        <v>2032</v>
      </c>
      <c r="C817" t="s">
        <v>123</v>
      </c>
      <c r="D817">
        <v>1.78</v>
      </c>
      <c r="E817">
        <f ca="1">INDIRECT("'Sheet1'!C117")</f>
        <v>0</v>
      </c>
      <c r="F817" t="b">
        <f t="shared" ca="1" si="83"/>
        <v>0</v>
      </c>
    </row>
    <row r="818" spans="1:6" x14ac:dyDescent="0.25">
      <c r="A818" t="s">
        <v>1482</v>
      </c>
      <c r="B818" t="s">
        <v>2033</v>
      </c>
      <c r="C818" t="s">
        <v>124</v>
      </c>
      <c r="D818" s="5" t="s">
        <v>293</v>
      </c>
      <c r="E818" s="5">
        <f ca="1">INDIRECT("'Sheet1'!D117")</f>
        <v>0</v>
      </c>
      <c r="F818" t="b">
        <f t="shared" ca="1" si="83"/>
        <v>0</v>
      </c>
    </row>
    <row r="820" spans="1:6" x14ac:dyDescent="0.25">
      <c r="A820" t="s">
        <v>1390</v>
      </c>
      <c r="B820" t="s">
        <v>1996</v>
      </c>
      <c r="C820" t="s">
        <v>173</v>
      </c>
      <c r="D820">
        <v>1.7</v>
      </c>
      <c r="E820">
        <f ca="1">INDIRECT("'Sheet1'!BB118")</f>
        <v>0</v>
      </c>
      <c r="F820" t="b">
        <f t="shared" ref="F820:F835" ca="1" si="84">E820=D820</f>
        <v>0</v>
      </c>
    </row>
    <row r="821" spans="1:6" x14ac:dyDescent="0.25">
      <c r="A821" t="s">
        <v>1391</v>
      </c>
      <c r="B821" t="s">
        <v>1997</v>
      </c>
      <c r="C821" t="s">
        <v>175</v>
      </c>
      <c r="D821" s="5" t="s">
        <v>1666</v>
      </c>
      <c r="E821" s="5">
        <f ca="1">INDIRECT("'Sheet1'!BD118")</f>
        <v>0</v>
      </c>
      <c r="F821" t="b">
        <f t="shared" ca="1" si="84"/>
        <v>0</v>
      </c>
    </row>
    <row r="822" spans="1:6" x14ac:dyDescent="0.25">
      <c r="A822" t="s">
        <v>1392</v>
      </c>
      <c r="B822" t="s">
        <v>1998</v>
      </c>
      <c r="C822" t="s">
        <v>176</v>
      </c>
      <c r="E822">
        <f ca="1">INDIRECT("'Sheet1'!BE118")</f>
        <v>0</v>
      </c>
      <c r="F822" t="b">
        <f t="shared" ca="1" si="84"/>
        <v>1</v>
      </c>
    </row>
    <row r="823" spans="1:6" x14ac:dyDescent="0.25">
      <c r="A823" t="s">
        <v>1393</v>
      </c>
      <c r="B823" t="s">
        <v>1999</v>
      </c>
      <c r="C823" t="s">
        <v>178</v>
      </c>
      <c r="D823" s="5" t="s">
        <v>1667</v>
      </c>
      <c r="E823" s="5">
        <f ca="1">INDIRECT("'Sheet1'!BG118")</f>
        <v>0</v>
      </c>
      <c r="F823" t="b">
        <f t="shared" ca="1" si="84"/>
        <v>0</v>
      </c>
    </row>
    <row r="824" spans="1:6" x14ac:dyDescent="0.25">
      <c r="A824" t="s">
        <v>1394</v>
      </c>
      <c r="B824" t="s">
        <v>2000</v>
      </c>
      <c r="C824" t="s">
        <v>179</v>
      </c>
      <c r="E824">
        <f ca="1">INDIRECT("'Sheet1'!BH118")</f>
        <v>0</v>
      </c>
      <c r="F824" t="b">
        <f t="shared" ca="1" si="84"/>
        <v>1</v>
      </c>
    </row>
    <row r="825" spans="1:6" x14ac:dyDescent="0.25">
      <c r="A825" t="s">
        <v>1395</v>
      </c>
      <c r="B825" t="s">
        <v>2001</v>
      </c>
      <c r="C825" t="s">
        <v>181</v>
      </c>
      <c r="D825" s="5" t="s">
        <v>1667</v>
      </c>
      <c r="E825" s="5">
        <f ca="1">INDIRECT("'Sheet1'!BJ118")</f>
        <v>0</v>
      </c>
      <c r="F825" t="b">
        <f t="shared" ca="1" si="84"/>
        <v>0</v>
      </c>
    </row>
    <row r="826" spans="1:6" x14ac:dyDescent="0.25">
      <c r="A826" t="s">
        <v>1396</v>
      </c>
      <c r="B826" t="s">
        <v>2002</v>
      </c>
      <c r="C826" t="s">
        <v>182</v>
      </c>
      <c r="D826">
        <v>1.73</v>
      </c>
      <c r="E826">
        <f ca="1">INDIRECT("'Sheet1'!BK118")</f>
        <v>0</v>
      </c>
      <c r="F826" t="b">
        <f t="shared" ca="1" si="84"/>
        <v>0</v>
      </c>
    </row>
    <row r="827" spans="1:6" x14ac:dyDescent="0.25">
      <c r="A827" t="s">
        <v>1397</v>
      </c>
      <c r="B827" t="s">
        <v>2003</v>
      </c>
      <c r="C827" t="s">
        <v>184</v>
      </c>
      <c r="D827" s="5" t="s">
        <v>1666</v>
      </c>
      <c r="E827" s="5">
        <f ca="1">INDIRECT("'Sheet1'!BM118")</f>
        <v>0</v>
      </c>
      <c r="F827" t="b">
        <f t="shared" ca="1" si="84"/>
        <v>0</v>
      </c>
    </row>
    <row r="828" spans="1:6" x14ac:dyDescent="0.25">
      <c r="A828" t="s">
        <v>1398</v>
      </c>
      <c r="B828" t="s">
        <v>2004</v>
      </c>
      <c r="C828" t="s">
        <v>185</v>
      </c>
      <c r="E828">
        <f ca="1">INDIRECT("'Sheet1'!BN118")</f>
        <v>0</v>
      </c>
      <c r="F828" t="b">
        <f t="shared" ca="1" si="84"/>
        <v>1</v>
      </c>
    </row>
    <row r="829" spans="1:6" x14ac:dyDescent="0.25">
      <c r="A829" t="s">
        <v>1399</v>
      </c>
      <c r="B829" t="s">
        <v>2005</v>
      </c>
      <c r="C829" t="s">
        <v>187</v>
      </c>
      <c r="D829" s="5" t="s">
        <v>1660</v>
      </c>
      <c r="E829" s="5">
        <f ca="1">INDIRECT("'Sheet1'!BP118")</f>
        <v>0</v>
      </c>
      <c r="F829" t="b">
        <f t="shared" ca="1" si="84"/>
        <v>0</v>
      </c>
    </row>
    <row r="830" spans="1:6" x14ac:dyDescent="0.25">
      <c r="A830" t="s">
        <v>1400</v>
      </c>
      <c r="B830" t="s">
        <v>2006</v>
      </c>
      <c r="C830" t="s">
        <v>188</v>
      </c>
      <c r="E830">
        <f ca="1">INDIRECT("'Sheet1'!BQ118")</f>
        <v>0</v>
      </c>
      <c r="F830" t="b">
        <f t="shared" ca="1" si="84"/>
        <v>1</v>
      </c>
    </row>
    <row r="831" spans="1:6" x14ac:dyDescent="0.25">
      <c r="A831" t="s">
        <v>1401</v>
      </c>
      <c r="B831" t="s">
        <v>2007</v>
      </c>
      <c r="C831" t="s">
        <v>190</v>
      </c>
      <c r="D831" s="5" t="s">
        <v>1664</v>
      </c>
      <c r="E831" s="5">
        <f ca="1">INDIRECT("'Sheet1'!BS118")</f>
        <v>0</v>
      </c>
      <c r="F831" t="b">
        <f t="shared" ca="1" si="84"/>
        <v>0</v>
      </c>
    </row>
    <row r="832" spans="1:6" x14ac:dyDescent="0.25">
      <c r="A832" t="s">
        <v>1402</v>
      </c>
      <c r="B832" t="s">
        <v>2008</v>
      </c>
      <c r="C832" t="s">
        <v>191</v>
      </c>
      <c r="E832">
        <f ca="1">INDIRECT("'Sheet1'!BT118")</f>
        <v>0</v>
      </c>
      <c r="F832" t="b">
        <f t="shared" ca="1" si="84"/>
        <v>1</v>
      </c>
    </row>
    <row r="833" spans="1:6" x14ac:dyDescent="0.25">
      <c r="A833" t="s">
        <v>1403</v>
      </c>
      <c r="B833" t="s">
        <v>2009</v>
      </c>
      <c r="C833" t="s">
        <v>193</v>
      </c>
      <c r="D833" s="5" t="s">
        <v>1662</v>
      </c>
      <c r="E833" s="5">
        <f ca="1">INDIRECT("'Sheet1'!BV118")</f>
        <v>0</v>
      </c>
      <c r="F833" t="b">
        <f t="shared" ca="1" si="84"/>
        <v>0</v>
      </c>
    </row>
    <row r="834" spans="1:6" x14ac:dyDescent="0.25">
      <c r="A834" t="s">
        <v>1484</v>
      </c>
      <c r="B834" t="s">
        <v>2032</v>
      </c>
      <c r="C834" t="s">
        <v>123</v>
      </c>
      <c r="D834">
        <v>1.78</v>
      </c>
      <c r="E834">
        <f ca="1">INDIRECT("'Sheet1'!C118")</f>
        <v>0</v>
      </c>
      <c r="F834" t="b">
        <f t="shared" ca="1" si="84"/>
        <v>0</v>
      </c>
    </row>
    <row r="835" spans="1:6" x14ac:dyDescent="0.25">
      <c r="A835" t="s">
        <v>1485</v>
      </c>
      <c r="B835" t="s">
        <v>2033</v>
      </c>
      <c r="C835" t="s">
        <v>124</v>
      </c>
      <c r="D835" s="5" t="s">
        <v>293</v>
      </c>
      <c r="E835" s="5">
        <f ca="1">INDIRECT("'Sheet1'!D118")</f>
        <v>0</v>
      </c>
      <c r="F835" t="b">
        <f t="shared" ca="1" si="84"/>
        <v>0</v>
      </c>
    </row>
    <row r="837" spans="1:6" x14ac:dyDescent="0.25">
      <c r="A837" t="s">
        <v>1404</v>
      </c>
      <c r="B837" t="s">
        <v>1996</v>
      </c>
      <c r="C837" t="s">
        <v>173</v>
      </c>
      <c r="D837">
        <v>1.7</v>
      </c>
      <c r="E837">
        <f ca="1">INDIRECT("'Sheet1'!BB119")</f>
        <v>0</v>
      </c>
      <c r="F837" t="b">
        <f t="shared" ref="F837:F852" ca="1" si="85">E837=D837</f>
        <v>0</v>
      </c>
    </row>
    <row r="838" spans="1:6" x14ac:dyDescent="0.25">
      <c r="A838" t="s">
        <v>1405</v>
      </c>
      <c r="B838" t="s">
        <v>1997</v>
      </c>
      <c r="C838" t="s">
        <v>175</v>
      </c>
      <c r="D838" s="5" t="s">
        <v>1666</v>
      </c>
      <c r="E838" s="5">
        <f ca="1">INDIRECT("'Sheet1'!BD119")</f>
        <v>0</v>
      </c>
      <c r="F838" t="b">
        <f t="shared" ca="1" si="85"/>
        <v>0</v>
      </c>
    </row>
    <row r="839" spans="1:6" x14ac:dyDescent="0.25">
      <c r="A839" t="s">
        <v>1406</v>
      </c>
      <c r="B839" t="s">
        <v>1998</v>
      </c>
      <c r="C839" t="s">
        <v>176</v>
      </c>
      <c r="E839">
        <f ca="1">INDIRECT("'Sheet1'!BE119")</f>
        <v>0</v>
      </c>
      <c r="F839" t="b">
        <f t="shared" ca="1" si="85"/>
        <v>1</v>
      </c>
    </row>
    <row r="840" spans="1:6" x14ac:dyDescent="0.25">
      <c r="A840" t="s">
        <v>1407</v>
      </c>
      <c r="B840" t="s">
        <v>1999</v>
      </c>
      <c r="C840" t="s">
        <v>178</v>
      </c>
      <c r="D840" s="5" t="s">
        <v>1667</v>
      </c>
      <c r="E840" s="5">
        <f ca="1">INDIRECT("'Sheet1'!BG119")</f>
        <v>0</v>
      </c>
      <c r="F840" t="b">
        <f t="shared" ca="1" si="85"/>
        <v>0</v>
      </c>
    </row>
    <row r="841" spans="1:6" x14ac:dyDescent="0.25">
      <c r="A841" t="s">
        <v>1408</v>
      </c>
      <c r="B841" t="s">
        <v>2000</v>
      </c>
      <c r="C841" t="s">
        <v>179</v>
      </c>
      <c r="E841">
        <f ca="1">INDIRECT("'Sheet1'!BH119")</f>
        <v>0</v>
      </c>
      <c r="F841" t="b">
        <f t="shared" ca="1" si="85"/>
        <v>1</v>
      </c>
    </row>
    <row r="842" spans="1:6" x14ac:dyDescent="0.25">
      <c r="A842" t="s">
        <v>1409</v>
      </c>
      <c r="B842" t="s">
        <v>2001</v>
      </c>
      <c r="C842" t="s">
        <v>181</v>
      </c>
      <c r="D842" s="5" t="s">
        <v>1667</v>
      </c>
      <c r="E842" s="5">
        <f ca="1">INDIRECT("'Sheet1'!BJ119")</f>
        <v>0</v>
      </c>
      <c r="F842" t="b">
        <f t="shared" ca="1" si="85"/>
        <v>0</v>
      </c>
    </row>
    <row r="843" spans="1:6" x14ac:dyDescent="0.25">
      <c r="A843" t="s">
        <v>1410</v>
      </c>
      <c r="B843" t="s">
        <v>2002</v>
      </c>
      <c r="C843" t="s">
        <v>182</v>
      </c>
      <c r="D843">
        <v>1.73</v>
      </c>
      <c r="E843">
        <f ca="1">INDIRECT("'Sheet1'!BK119")</f>
        <v>0</v>
      </c>
      <c r="F843" t="b">
        <f t="shared" ca="1" si="85"/>
        <v>0</v>
      </c>
    </row>
    <row r="844" spans="1:6" x14ac:dyDescent="0.25">
      <c r="A844" t="s">
        <v>1411</v>
      </c>
      <c r="B844" t="s">
        <v>2003</v>
      </c>
      <c r="C844" t="s">
        <v>184</v>
      </c>
      <c r="D844" s="5" t="s">
        <v>1666</v>
      </c>
      <c r="E844" s="5">
        <f ca="1">INDIRECT("'Sheet1'!BM119")</f>
        <v>0</v>
      </c>
      <c r="F844" t="b">
        <f t="shared" ca="1" si="85"/>
        <v>0</v>
      </c>
    </row>
    <row r="845" spans="1:6" x14ac:dyDescent="0.25">
      <c r="A845" t="s">
        <v>1412</v>
      </c>
      <c r="B845" t="s">
        <v>2004</v>
      </c>
      <c r="C845" t="s">
        <v>185</v>
      </c>
      <c r="E845">
        <f ca="1">INDIRECT("'Sheet1'!BN119")</f>
        <v>0</v>
      </c>
      <c r="F845" t="b">
        <f t="shared" ca="1" si="85"/>
        <v>1</v>
      </c>
    </row>
    <row r="846" spans="1:6" x14ac:dyDescent="0.25">
      <c r="A846" t="s">
        <v>1413</v>
      </c>
      <c r="B846" t="s">
        <v>2005</v>
      </c>
      <c r="C846" t="s">
        <v>187</v>
      </c>
      <c r="D846" s="5" t="s">
        <v>1660</v>
      </c>
      <c r="E846" s="5">
        <f ca="1">INDIRECT("'Sheet1'!BP119")</f>
        <v>0</v>
      </c>
      <c r="F846" t="b">
        <f t="shared" ca="1" si="85"/>
        <v>0</v>
      </c>
    </row>
    <row r="847" spans="1:6" x14ac:dyDescent="0.25">
      <c r="A847" t="s">
        <v>1414</v>
      </c>
      <c r="B847" t="s">
        <v>2006</v>
      </c>
      <c r="C847" t="s">
        <v>188</v>
      </c>
      <c r="E847">
        <f ca="1">INDIRECT("'Sheet1'!BQ119")</f>
        <v>0</v>
      </c>
      <c r="F847" t="b">
        <f t="shared" ca="1" si="85"/>
        <v>1</v>
      </c>
    </row>
    <row r="848" spans="1:6" x14ac:dyDescent="0.25">
      <c r="A848" t="s">
        <v>1415</v>
      </c>
      <c r="B848" t="s">
        <v>2007</v>
      </c>
      <c r="C848" t="s">
        <v>190</v>
      </c>
      <c r="D848" s="5" t="s">
        <v>1664</v>
      </c>
      <c r="E848" s="5">
        <f ca="1">INDIRECT("'Sheet1'!BS119")</f>
        <v>0</v>
      </c>
      <c r="F848" t="b">
        <f t="shared" ca="1" si="85"/>
        <v>0</v>
      </c>
    </row>
    <row r="849" spans="1:6" x14ac:dyDescent="0.25">
      <c r="A849" t="s">
        <v>1416</v>
      </c>
      <c r="B849" t="s">
        <v>2008</v>
      </c>
      <c r="C849" t="s">
        <v>191</v>
      </c>
      <c r="E849">
        <f ca="1">INDIRECT("'Sheet1'!BT119")</f>
        <v>0</v>
      </c>
      <c r="F849" t="b">
        <f t="shared" ca="1" si="85"/>
        <v>1</v>
      </c>
    </row>
    <row r="850" spans="1:6" x14ac:dyDescent="0.25">
      <c r="A850" t="s">
        <v>1417</v>
      </c>
      <c r="B850" t="s">
        <v>2009</v>
      </c>
      <c r="C850" t="s">
        <v>193</v>
      </c>
      <c r="D850" s="5" t="s">
        <v>1662</v>
      </c>
      <c r="E850" s="5">
        <f ca="1">INDIRECT("'Sheet1'!BV119")</f>
        <v>0</v>
      </c>
      <c r="F850" t="b">
        <f t="shared" ca="1" si="85"/>
        <v>0</v>
      </c>
    </row>
    <row r="851" spans="1:6" x14ac:dyDescent="0.25">
      <c r="A851" t="s">
        <v>1478</v>
      </c>
      <c r="B851" t="s">
        <v>2032</v>
      </c>
      <c r="C851" t="s">
        <v>123</v>
      </c>
      <c r="D851">
        <v>1.78</v>
      </c>
      <c r="E851">
        <f ca="1">INDIRECT("'Sheet1'!C119")</f>
        <v>0</v>
      </c>
      <c r="F851" t="b">
        <f t="shared" ca="1" si="85"/>
        <v>0</v>
      </c>
    </row>
    <row r="852" spans="1:6" x14ac:dyDescent="0.25">
      <c r="A852" t="s">
        <v>1486</v>
      </c>
      <c r="B852" t="s">
        <v>2033</v>
      </c>
      <c r="C852" t="s">
        <v>124</v>
      </c>
      <c r="D852" s="5" t="s">
        <v>293</v>
      </c>
      <c r="E852" s="5">
        <f ca="1">INDIRECT("'Sheet1'!D119")</f>
        <v>0</v>
      </c>
      <c r="F852" t="b">
        <f t="shared" ca="1" si="85"/>
        <v>0</v>
      </c>
    </row>
    <row r="854" spans="1:6" x14ac:dyDescent="0.25">
      <c r="A854" t="s">
        <v>1418</v>
      </c>
      <c r="B854" t="s">
        <v>1996</v>
      </c>
      <c r="C854" t="s">
        <v>173</v>
      </c>
      <c r="D854">
        <v>1.7</v>
      </c>
      <c r="E854">
        <f ca="1">INDIRECT("'Sheet1'!BB120")</f>
        <v>0</v>
      </c>
      <c r="F854" t="b">
        <f t="shared" ref="F854:F869" ca="1" si="86">E854=D854</f>
        <v>0</v>
      </c>
    </row>
    <row r="855" spans="1:6" x14ac:dyDescent="0.25">
      <c r="A855" t="s">
        <v>1419</v>
      </c>
      <c r="B855" t="s">
        <v>1997</v>
      </c>
      <c r="C855" t="s">
        <v>175</v>
      </c>
      <c r="D855" s="5" t="s">
        <v>1666</v>
      </c>
      <c r="E855" s="5">
        <f ca="1">INDIRECT("'Sheet1'!BD120")</f>
        <v>0</v>
      </c>
      <c r="F855" t="b">
        <f t="shared" ca="1" si="86"/>
        <v>0</v>
      </c>
    </row>
    <row r="856" spans="1:6" x14ac:dyDescent="0.25">
      <c r="A856" t="s">
        <v>1420</v>
      </c>
      <c r="B856" t="s">
        <v>1998</v>
      </c>
      <c r="C856" t="s">
        <v>176</v>
      </c>
      <c r="E856">
        <f ca="1">INDIRECT("'Sheet1'!BE120")</f>
        <v>0</v>
      </c>
      <c r="F856" t="b">
        <f t="shared" ca="1" si="86"/>
        <v>1</v>
      </c>
    </row>
    <row r="857" spans="1:6" x14ac:dyDescent="0.25">
      <c r="A857" t="s">
        <v>1421</v>
      </c>
      <c r="B857" t="s">
        <v>1999</v>
      </c>
      <c r="C857" t="s">
        <v>178</v>
      </c>
      <c r="D857" s="5" t="s">
        <v>1667</v>
      </c>
      <c r="E857" s="5">
        <f ca="1">INDIRECT("'Sheet1'!BG120")</f>
        <v>0</v>
      </c>
      <c r="F857" t="b">
        <f t="shared" ca="1" si="86"/>
        <v>0</v>
      </c>
    </row>
    <row r="858" spans="1:6" x14ac:dyDescent="0.25">
      <c r="A858" t="s">
        <v>1422</v>
      </c>
      <c r="B858" t="s">
        <v>2000</v>
      </c>
      <c r="C858" t="s">
        <v>179</v>
      </c>
      <c r="E858">
        <f ca="1">INDIRECT("'Sheet1'!BH120")</f>
        <v>0</v>
      </c>
      <c r="F858" t="b">
        <f t="shared" ca="1" si="86"/>
        <v>1</v>
      </c>
    </row>
    <row r="859" spans="1:6" x14ac:dyDescent="0.25">
      <c r="A859" t="s">
        <v>1423</v>
      </c>
      <c r="B859" t="s">
        <v>2001</v>
      </c>
      <c r="C859" t="s">
        <v>181</v>
      </c>
      <c r="D859" s="5" t="s">
        <v>1667</v>
      </c>
      <c r="E859" s="5">
        <f ca="1">INDIRECT("'Sheet1'!BJ120")</f>
        <v>0</v>
      </c>
      <c r="F859" t="b">
        <f t="shared" ca="1" si="86"/>
        <v>0</v>
      </c>
    </row>
    <row r="860" spans="1:6" x14ac:dyDescent="0.25">
      <c r="A860" t="s">
        <v>1424</v>
      </c>
      <c r="B860" t="s">
        <v>2002</v>
      </c>
      <c r="C860" t="s">
        <v>182</v>
      </c>
      <c r="D860">
        <v>1.73</v>
      </c>
      <c r="E860">
        <f ca="1">INDIRECT("'Sheet1'!BK120")</f>
        <v>0</v>
      </c>
      <c r="F860" t="b">
        <f t="shared" ca="1" si="86"/>
        <v>0</v>
      </c>
    </row>
    <row r="861" spans="1:6" x14ac:dyDescent="0.25">
      <c r="A861" t="s">
        <v>1425</v>
      </c>
      <c r="B861" t="s">
        <v>2003</v>
      </c>
      <c r="C861" t="s">
        <v>184</v>
      </c>
      <c r="D861" s="5" t="s">
        <v>1666</v>
      </c>
      <c r="E861" s="5">
        <f ca="1">INDIRECT("'Sheet1'!BM120")</f>
        <v>0</v>
      </c>
      <c r="F861" t="b">
        <f t="shared" ca="1" si="86"/>
        <v>0</v>
      </c>
    </row>
    <row r="862" spans="1:6" x14ac:dyDescent="0.25">
      <c r="A862" t="s">
        <v>1426</v>
      </c>
      <c r="B862" t="s">
        <v>2004</v>
      </c>
      <c r="C862" t="s">
        <v>185</v>
      </c>
      <c r="E862">
        <f ca="1">INDIRECT("'Sheet1'!BN120")</f>
        <v>0</v>
      </c>
      <c r="F862" t="b">
        <f t="shared" ca="1" si="86"/>
        <v>1</v>
      </c>
    </row>
    <row r="863" spans="1:6" x14ac:dyDescent="0.25">
      <c r="A863" t="s">
        <v>1427</v>
      </c>
      <c r="B863" t="s">
        <v>2005</v>
      </c>
      <c r="C863" t="s">
        <v>187</v>
      </c>
      <c r="D863" s="5" t="s">
        <v>1660</v>
      </c>
      <c r="E863" s="5">
        <f ca="1">INDIRECT("'Sheet1'!BP120")</f>
        <v>0</v>
      </c>
      <c r="F863" t="b">
        <f t="shared" ca="1" si="86"/>
        <v>0</v>
      </c>
    </row>
    <row r="864" spans="1:6" x14ac:dyDescent="0.25">
      <c r="A864" t="s">
        <v>1428</v>
      </c>
      <c r="B864" t="s">
        <v>2006</v>
      </c>
      <c r="C864" t="s">
        <v>188</v>
      </c>
      <c r="E864">
        <f ca="1">INDIRECT("'Sheet1'!BQ120")</f>
        <v>0</v>
      </c>
      <c r="F864" t="b">
        <f t="shared" ca="1" si="86"/>
        <v>1</v>
      </c>
    </row>
    <row r="865" spans="1:6" x14ac:dyDescent="0.25">
      <c r="A865" t="s">
        <v>1429</v>
      </c>
      <c r="B865" t="s">
        <v>2007</v>
      </c>
      <c r="C865" t="s">
        <v>190</v>
      </c>
      <c r="D865" s="5" t="s">
        <v>1664</v>
      </c>
      <c r="E865" s="5">
        <f ca="1">INDIRECT("'Sheet1'!BS120")</f>
        <v>0</v>
      </c>
      <c r="F865" t="b">
        <f t="shared" ca="1" si="86"/>
        <v>0</v>
      </c>
    </row>
    <row r="866" spans="1:6" x14ac:dyDescent="0.25">
      <c r="A866" t="s">
        <v>1430</v>
      </c>
      <c r="B866" t="s">
        <v>2008</v>
      </c>
      <c r="C866" t="s">
        <v>191</v>
      </c>
      <c r="E866">
        <f ca="1">INDIRECT("'Sheet1'!BT120")</f>
        <v>0</v>
      </c>
      <c r="F866" t="b">
        <f t="shared" ca="1" si="86"/>
        <v>1</v>
      </c>
    </row>
    <row r="867" spans="1:6" x14ac:dyDescent="0.25">
      <c r="A867" t="s">
        <v>1431</v>
      </c>
      <c r="B867" t="s">
        <v>2009</v>
      </c>
      <c r="C867" t="s">
        <v>193</v>
      </c>
      <c r="D867" s="5" t="s">
        <v>1662</v>
      </c>
      <c r="E867" s="5">
        <f ca="1">INDIRECT("'Sheet1'!BV120")</f>
        <v>0</v>
      </c>
      <c r="F867" t="b">
        <f t="shared" ca="1" si="86"/>
        <v>0</v>
      </c>
    </row>
    <row r="868" spans="1:6" x14ac:dyDescent="0.25">
      <c r="A868" t="s">
        <v>1479</v>
      </c>
      <c r="B868" t="s">
        <v>2032</v>
      </c>
      <c r="C868" t="s">
        <v>123</v>
      </c>
      <c r="D868">
        <v>1.78</v>
      </c>
      <c r="E868">
        <f ca="1">INDIRECT("'Sheet1'!C120")</f>
        <v>0</v>
      </c>
      <c r="F868" t="b">
        <f t="shared" ca="1" si="86"/>
        <v>0</v>
      </c>
    </row>
    <row r="869" spans="1:6" x14ac:dyDescent="0.25">
      <c r="A869" t="s">
        <v>1487</v>
      </c>
      <c r="B869" t="s">
        <v>2033</v>
      </c>
      <c r="C869" t="s">
        <v>124</v>
      </c>
      <c r="D869" s="5" t="s">
        <v>293</v>
      </c>
      <c r="E869" s="5">
        <f ca="1">INDIRECT("'Sheet1'!D120")</f>
        <v>0</v>
      </c>
      <c r="F869" t="b">
        <f t="shared" ca="1" si="86"/>
        <v>0</v>
      </c>
    </row>
    <row r="871" spans="1:6" x14ac:dyDescent="0.25">
      <c r="A871" t="s">
        <v>1432</v>
      </c>
      <c r="B871" t="s">
        <v>1996</v>
      </c>
      <c r="C871" t="s">
        <v>173</v>
      </c>
      <c r="D871">
        <v>1.7</v>
      </c>
      <c r="E871">
        <f ca="1">INDIRECT("'Sheet1'!BB121")</f>
        <v>0</v>
      </c>
      <c r="F871" t="b">
        <f t="shared" ref="F871:F886" ca="1" si="87">E871=D871</f>
        <v>0</v>
      </c>
    </row>
    <row r="872" spans="1:6" x14ac:dyDescent="0.25">
      <c r="A872" t="s">
        <v>1433</v>
      </c>
      <c r="B872" t="s">
        <v>1997</v>
      </c>
      <c r="C872" t="s">
        <v>175</v>
      </c>
      <c r="D872" s="5" t="s">
        <v>1666</v>
      </c>
      <c r="E872" s="5">
        <f ca="1">INDIRECT("'Sheet1'!BD121")</f>
        <v>0</v>
      </c>
      <c r="F872" t="b">
        <f t="shared" ca="1" si="87"/>
        <v>0</v>
      </c>
    </row>
    <row r="873" spans="1:6" x14ac:dyDescent="0.25">
      <c r="A873" t="s">
        <v>1434</v>
      </c>
      <c r="B873" t="s">
        <v>1998</v>
      </c>
      <c r="C873" t="s">
        <v>176</v>
      </c>
      <c r="E873">
        <f ca="1">INDIRECT("'Sheet1'!BE121")</f>
        <v>0</v>
      </c>
      <c r="F873" t="b">
        <f t="shared" ca="1" si="87"/>
        <v>1</v>
      </c>
    </row>
    <row r="874" spans="1:6" x14ac:dyDescent="0.25">
      <c r="A874" t="s">
        <v>1435</v>
      </c>
      <c r="B874" t="s">
        <v>1999</v>
      </c>
      <c r="C874" t="s">
        <v>178</v>
      </c>
      <c r="D874" s="5" t="s">
        <v>1667</v>
      </c>
      <c r="E874" s="5">
        <f ca="1">INDIRECT("'Sheet1'!BG121")</f>
        <v>0</v>
      </c>
      <c r="F874" t="b">
        <f t="shared" ca="1" si="87"/>
        <v>0</v>
      </c>
    </row>
    <row r="875" spans="1:6" x14ac:dyDescent="0.25">
      <c r="A875" t="s">
        <v>1436</v>
      </c>
      <c r="B875" t="s">
        <v>2000</v>
      </c>
      <c r="C875" t="s">
        <v>179</v>
      </c>
      <c r="E875">
        <f ca="1">INDIRECT("'Sheet1'!BH121")</f>
        <v>0</v>
      </c>
      <c r="F875" t="b">
        <f t="shared" ca="1" si="87"/>
        <v>1</v>
      </c>
    </row>
    <row r="876" spans="1:6" x14ac:dyDescent="0.25">
      <c r="A876" t="s">
        <v>1437</v>
      </c>
      <c r="B876" t="s">
        <v>2001</v>
      </c>
      <c r="C876" t="s">
        <v>181</v>
      </c>
      <c r="D876" s="5" t="s">
        <v>1667</v>
      </c>
      <c r="E876" s="5">
        <f ca="1">INDIRECT("'Sheet1'!BJ121")</f>
        <v>0</v>
      </c>
      <c r="F876" t="b">
        <f t="shared" ca="1" si="87"/>
        <v>0</v>
      </c>
    </row>
    <row r="877" spans="1:6" x14ac:dyDescent="0.25">
      <c r="A877" t="s">
        <v>1438</v>
      </c>
      <c r="B877" t="s">
        <v>2002</v>
      </c>
      <c r="C877" t="s">
        <v>182</v>
      </c>
      <c r="D877">
        <v>1.73</v>
      </c>
      <c r="E877">
        <f ca="1">INDIRECT("'Sheet1'!BK121")</f>
        <v>0</v>
      </c>
      <c r="F877" t="b">
        <f t="shared" ca="1" si="87"/>
        <v>0</v>
      </c>
    </row>
    <row r="878" spans="1:6" x14ac:dyDescent="0.25">
      <c r="A878" t="s">
        <v>1439</v>
      </c>
      <c r="B878" t="s">
        <v>2003</v>
      </c>
      <c r="C878" t="s">
        <v>184</v>
      </c>
      <c r="D878" s="5" t="s">
        <v>1666</v>
      </c>
      <c r="E878" s="5">
        <f ca="1">INDIRECT("'Sheet1'!BM121")</f>
        <v>0</v>
      </c>
      <c r="F878" t="b">
        <f t="shared" ca="1" si="87"/>
        <v>0</v>
      </c>
    </row>
    <row r="879" spans="1:6" x14ac:dyDescent="0.25">
      <c r="A879" t="s">
        <v>1440</v>
      </c>
      <c r="B879" t="s">
        <v>2004</v>
      </c>
      <c r="C879" t="s">
        <v>185</v>
      </c>
      <c r="E879">
        <f ca="1">INDIRECT("'Sheet1'!BN121")</f>
        <v>0</v>
      </c>
      <c r="F879" t="b">
        <f t="shared" ca="1" si="87"/>
        <v>1</v>
      </c>
    </row>
    <row r="880" spans="1:6" x14ac:dyDescent="0.25">
      <c r="A880" t="s">
        <v>1441</v>
      </c>
      <c r="B880" t="s">
        <v>2005</v>
      </c>
      <c r="C880" t="s">
        <v>187</v>
      </c>
      <c r="D880" s="5" t="s">
        <v>1660</v>
      </c>
      <c r="E880" s="5">
        <f ca="1">INDIRECT("'Sheet1'!BP121")</f>
        <v>0</v>
      </c>
      <c r="F880" t="b">
        <f t="shared" ca="1" si="87"/>
        <v>0</v>
      </c>
    </row>
    <row r="881" spans="1:6" x14ac:dyDescent="0.25">
      <c r="A881" t="s">
        <v>1442</v>
      </c>
      <c r="B881" t="s">
        <v>2006</v>
      </c>
      <c r="C881" t="s">
        <v>188</v>
      </c>
      <c r="E881">
        <f ca="1">INDIRECT("'Sheet1'!BQ121")</f>
        <v>0</v>
      </c>
      <c r="F881" t="b">
        <f t="shared" ca="1" si="87"/>
        <v>1</v>
      </c>
    </row>
    <row r="882" spans="1:6" x14ac:dyDescent="0.25">
      <c r="A882" t="s">
        <v>1443</v>
      </c>
      <c r="B882" t="s">
        <v>2007</v>
      </c>
      <c r="C882" t="s">
        <v>190</v>
      </c>
      <c r="D882" s="5" t="s">
        <v>1664</v>
      </c>
      <c r="E882" s="5">
        <f ca="1">INDIRECT("'Sheet1'!BS121")</f>
        <v>0</v>
      </c>
      <c r="F882" t="b">
        <f t="shared" ca="1" si="87"/>
        <v>0</v>
      </c>
    </row>
    <row r="883" spans="1:6" x14ac:dyDescent="0.25">
      <c r="A883" t="s">
        <v>1444</v>
      </c>
      <c r="B883" t="s">
        <v>2008</v>
      </c>
      <c r="C883" t="s">
        <v>191</v>
      </c>
      <c r="E883">
        <f ca="1">INDIRECT("'Sheet1'!BT121")</f>
        <v>0</v>
      </c>
      <c r="F883" t="b">
        <f t="shared" ca="1" si="87"/>
        <v>1</v>
      </c>
    </row>
    <row r="884" spans="1:6" x14ac:dyDescent="0.25">
      <c r="A884" t="s">
        <v>1445</v>
      </c>
      <c r="B884" t="s">
        <v>2009</v>
      </c>
      <c r="C884" t="s">
        <v>193</v>
      </c>
      <c r="D884" s="5" t="s">
        <v>1662</v>
      </c>
      <c r="E884" s="5">
        <f ca="1">INDIRECT("'Sheet1'!BV121")</f>
        <v>0</v>
      </c>
      <c r="F884" t="b">
        <f t="shared" ca="1" si="87"/>
        <v>0</v>
      </c>
    </row>
    <row r="885" spans="1:6" x14ac:dyDescent="0.25">
      <c r="A885" t="s">
        <v>1480</v>
      </c>
      <c r="B885" t="s">
        <v>2010</v>
      </c>
      <c r="C885" t="s">
        <v>123</v>
      </c>
      <c r="D885">
        <v>1.78</v>
      </c>
      <c r="E885">
        <f ca="1">INDIRECT("'Sheet1'!C121")</f>
        <v>0</v>
      </c>
      <c r="F885" t="b">
        <f t="shared" ca="1" si="87"/>
        <v>0</v>
      </c>
    </row>
    <row r="886" spans="1:6" x14ac:dyDescent="0.25">
      <c r="A886" t="s">
        <v>1488</v>
      </c>
      <c r="B886" t="s">
        <v>2011</v>
      </c>
      <c r="C886" t="s">
        <v>124</v>
      </c>
      <c r="D886" s="5" t="s">
        <v>293</v>
      </c>
      <c r="E886" s="5">
        <f ca="1">INDIRECT("'Sheet1'!D121")</f>
        <v>0</v>
      </c>
      <c r="F886" t="b">
        <f t="shared" ca="1" si="87"/>
        <v>0</v>
      </c>
    </row>
    <row r="888" spans="1:6" x14ac:dyDescent="0.25">
      <c r="A888" t="s">
        <v>1446</v>
      </c>
      <c r="B888" t="s">
        <v>1996</v>
      </c>
      <c r="C888" t="s">
        <v>173</v>
      </c>
      <c r="D888">
        <v>1.7</v>
      </c>
      <c r="E888">
        <f ca="1">INDIRECT("'Sheet1'!BB122")</f>
        <v>0</v>
      </c>
      <c r="F888" t="b">
        <f t="shared" ref="F888:F903" ca="1" si="88">E888=D888</f>
        <v>0</v>
      </c>
    </row>
    <row r="889" spans="1:6" x14ac:dyDescent="0.25">
      <c r="A889" t="s">
        <v>1447</v>
      </c>
      <c r="B889" t="s">
        <v>1997</v>
      </c>
      <c r="C889" t="s">
        <v>175</v>
      </c>
      <c r="D889" s="5" t="s">
        <v>1666</v>
      </c>
      <c r="E889" s="5">
        <f ca="1">INDIRECT("'Sheet1'!BD122")</f>
        <v>0</v>
      </c>
      <c r="F889" t="b">
        <f t="shared" ca="1" si="88"/>
        <v>0</v>
      </c>
    </row>
    <row r="890" spans="1:6" x14ac:dyDescent="0.25">
      <c r="A890" t="s">
        <v>1448</v>
      </c>
      <c r="B890" t="s">
        <v>1998</v>
      </c>
      <c r="C890" t="s">
        <v>176</v>
      </c>
      <c r="E890">
        <f ca="1">INDIRECT("'Sheet1'!BE122")</f>
        <v>0</v>
      </c>
      <c r="F890" t="b">
        <f t="shared" ca="1" si="88"/>
        <v>1</v>
      </c>
    </row>
    <row r="891" spans="1:6" x14ac:dyDescent="0.25">
      <c r="A891" t="s">
        <v>1449</v>
      </c>
      <c r="B891" t="s">
        <v>1999</v>
      </c>
      <c r="C891" t="s">
        <v>178</v>
      </c>
      <c r="D891" s="5" t="s">
        <v>1667</v>
      </c>
      <c r="E891" s="5">
        <f ca="1">INDIRECT("'Sheet1'!BG122")</f>
        <v>0</v>
      </c>
      <c r="F891" t="b">
        <f t="shared" ca="1" si="88"/>
        <v>0</v>
      </c>
    </row>
    <row r="892" spans="1:6" x14ac:dyDescent="0.25">
      <c r="A892" t="s">
        <v>1450</v>
      </c>
      <c r="B892" t="s">
        <v>2000</v>
      </c>
      <c r="C892" t="s">
        <v>179</v>
      </c>
      <c r="E892">
        <f ca="1">INDIRECT("'Sheet1'!BH122")</f>
        <v>0</v>
      </c>
      <c r="F892" t="b">
        <f t="shared" ca="1" si="88"/>
        <v>1</v>
      </c>
    </row>
    <row r="893" spans="1:6" x14ac:dyDescent="0.25">
      <c r="A893" t="s">
        <v>1451</v>
      </c>
      <c r="B893" t="s">
        <v>2001</v>
      </c>
      <c r="C893" t="s">
        <v>181</v>
      </c>
      <c r="D893" s="5" t="s">
        <v>1667</v>
      </c>
      <c r="E893" s="5">
        <f ca="1">INDIRECT("'Sheet1'!BJ122")</f>
        <v>0</v>
      </c>
      <c r="F893" t="b">
        <f t="shared" ca="1" si="88"/>
        <v>0</v>
      </c>
    </row>
    <row r="894" spans="1:6" x14ac:dyDescent="0.25">
      <c r="A894" t="s">
        <v>1452</v>
      </c>
      <c r="B894" t="s">
        <v>2002</v>
      </c>
      <c r="C894" t="s">
        <v>182</v>
      </c>
      <c r="D894">
        <v>1.73</v>
      </c>
      <c r="E894">
        <f ca="1">INDIRECT("'Sheet1'!BK122")</f>
        <v>0</v>
      </c>
      <c r="F894" t="b">
        <f t="shared" ca="1" si="88"/>
        <v>0</v>
      </c>
    </row>
    <row r="895" spans="1:6" x14ac:dyDescent="0.25">
      <c r="A895" t="s">
        <v>1453</v>
      </c>
      <c r="B895" t="s">
        <v>2003</v>
      </c>
      <c r="C895" t="s">
        <v>184</v>
      </c>
      <c r="D895" s="5" t="s">
        <v>1666</v>
      </c>
      <c r="E895" s="5">
        <f ca="1">INDIRECT("'Sheet1'!BM122")</f>
        <v>0</v>
      </c>
      <c r="F895" t="b">
        <f t="shared" ca="1" si="88"/>
        <v>0</v>
      </c>
    </row>
    <row r="896" spans="1:6" x14ac:dyDescent="0.25">
      <c r="A896" t="s">
        <v>1454</v>
      </c>
      <c r="B896" t="s">
        <v>2004</v>
      </c>
      <c r="C896" t="s">
        <v>185</v>
      </c>
      <c r="E896">
        <f ca="1">INDIRECT("'Sheet1'!BN122")</f>
        <v>0</v>
      </c>
      <c r="F896" t="b">
        <f t="shared" ca="1" si="88"/>
        <v>1</v>
      </c>
    </row>
    <row r="897" spans="1:6" x14ac:dyDescent="0.25">
      <c r="A897" t="s">
        <v>1455</v>
      </c>
      <c r="B897" t="s">
        <v>2005</v>
      </c>
      <c r="C897" t="s">
        <v>187</v>
      </c>
      <c r="D897" s="5" t="s">
        <v>1660</v>
      </c>
      <c r="E897" s="5">
        <f ca="1">INDIRECT("'Sheet1'!BP122")</f>
        <v>0</v>
      </c>
      <c r="F897" t="b">
        <f t="shared" ca="1" si="88"/>
        <v>0</v>
      </c>
    </row>
    <row r="898" spans="1:6" x14ac:dyDescent="0.25">
      <c r="A898" t="s">
        <v>1456</v>
      </c>
      <c r="B898" t="s">
        <v>2006</v>
      </c>
      <c r="C898" t="s">
        <v>188</v>
      </c>
      <c r="E898">
        <f ca="1">INDIRECT("'Sheet1'!BQ122")</f>
        <v>0</v>
      </c>
      <c r="F898" t="b">
        <f t="shared" ca="1" si="88"/>
        <v>1</v>
      </c>
    </row>
    <row r="899" spans="1:6" x14ac:dyDescent="0.25">
      <c r="A899" t="s">
        <v>1457</v>
      </c>
      <c r="B899" t="s">
        <v>2007</v>
      </c>
      <c r="C899" t="s">
        <v>190</v>
      </c>
      <c r="D899" s="5" t="s">
        <v>1664</v>
      </c>
      <c r="E899" s="5">
        <f ca="1">INDIRECT("'Sheet1'!BS122")</f>
        <v>0</v>
      </c>
      <c r="F899" t="b">
        <f t="shared" ca="1" si="88"/>
        <v>0</v>
      </c>
    </row>
    <row r="900" spans="1:6" x14ac:dyDescent="0.25">
      <c r="A900" t="s">
        <v>1458</v>
      </c>
      <c r="B900" t="s">
        <v>2008</v>
      </c>
      <c r="C900" t="s">
        <v>191</v>
      </c>
      <c r="E900">
        <f ca="1">INDIRECT("'Sheet1'!BT122")</f>
        <v>0</v>
      </c>
      <c r="F900" t="b">
        <f t="shared" ca="1" si="88"/>
        <v>1</v>
      </c>
    </row>
    <row r="901" spans="1:6" x14ac:dyDescent="0.25">
      <c r="A901" t="s">
        <v>1459</v>
      </c>
      <c r="B901" t="s">
        <v>2009</v>
      </c>
      <c r="C901" t="s">
        <v>193</v>
      </c>
      <c r="D901" s="5" t="s">
        <v>1662</v>
      </c>
      <c r="E901" s="5">
        <f ca="1">INDIRECT("'Sheet1'!BV122")</f>
        <v>0</v>
      </c>
      <c r="F901" t="b">
        <f t="shared" ca="1" si="88"/>
        <v>0</v>
      </c>
    </row>
    <row r="902" spans="1:6" x14ac:dyDescent="0.25">
      <c r="A902" t="s">
        <v>1476</v>
      </c>
      <c r="B902" t="s">
        <v>2010</v>
      </c>
      <c r="C902" t="s">
        <v>123</v>
      </c>
      <c r="D902">
        <v>1.78</v>
      </c>
      <c r="E902">
        <f ca="1">INDIRECT("'Sheet1'!C122")</f>
        <v>0</v>
      </c>
      <c r="F902" t="b">
        <f t="shared" ca="1" si="88"/>
        <v>0</v>
      </c>
    </row>
    <row r="903" spans="1:6" x14ac:dyDescent="0.25">
      <c r="A903" t="s">
        <v>1489</v>
      </c>
      <c r="B903" t="s">
        <v>2011</v>
      </c>
      <c r="C903" t="s">
        <v>124</v>
      </c>
      <c r="D903" s="5" t="s">
        <v>293</v>
      </c>
      <c r="E903" s="5">
        <f ca="1">INDIRECT("'Sheet1'!D122")</f>
        <v>0</v>
      </c>
      <c r="F903" t="b">
        <f t="shared" ca="1" si="88"/>
        <v>0</v>
      </c>
    </row>
    <row r="905" spans="1:6" x14ac:dyDescent="0.25">
      <c r="A905" t="s">
        <v>1460</v>
      </c>
      <c r="B905" t="s">
        <v>1996</v>
      </c>
      <c r="C905" t="s">
        <v>173</v>
      </c>
      <c r="D905">
        <v>1.7</v>
      </c>
      <c r="E905">
        <f ca="1">INDIRECT("'Sheet1'!BB123")</f>
        <v>0</v>
      </c>
      <c r="F905" t="b">
        <f t="shared" ref="F905:F931" ca="1" si="89">E905=D905</f>
        <v>0</v>
      </c>
    </row>
    <row r="906" spans="1:6" x14ac:dyDescent="0.25">
      <c r="A906" t="s">
        <v>1461</v>
      </c>
      <c r="B906" t="s">
        <v>1997</v>
      </c>
      <c r="C906" t="s">
        <v>175</v>
      </c>
      <c r="D906" s="5" t="s">
        <v>1666</v>
      </c>
      <c r="E906" s="5">
        <f ca="1">INDIRECT("'Sheet1'!BD123")</f>
        <v>0</v>
      </c>
      <c r="F906" t="b">
        <f t="shared" ca="1" si="89"/>
        <v>0</v>
      </c>
    </row>
    <row r="907" spans="1:6" x14ac:dyDescent="0.25">
      <c r="A907" t="s">
        <v>1462</v>
      </c>
      <c r="B907" t="s">
        <v>1998</v>
      </c>
      <c r="C907" t="s">
        <v>176</v>
      </c>
      <c r="E907">
        <f ca="1">INDIRECT("'Sheet1'!BE123")</f>
        <v>0</v>
      </c>
      <c r="F907" t="b">
        <f t="shared" ca="1" si="89"/>
        <v>1</v>
      </c>
    </row>
    <row r="908" spans="1:6" x14ac:dyDescent="0.25">
      <c r="A908" t="s">
        <v>1463</v>
      </c>
      <c r="B908" t="s">
        <v>1999</v>
      </c>
      <c r="C908" t="s">
        <v>178</v>
      </c>
      <c r="D908" s="5" t="s">
        <v>1667</v>
      </c>
      <c r="E908" s="5">
        <f ca="1">INDIRECT("'Sheet1'!BG123")</f>
        <v>0</v>
      </c>
      <c r="F908" t="b">
        <f t="shared" ca="1" si="89"/>
        <v>0</v>
      </c>
    </row>
    <row r="909" spans="1:6" x14ac:dyDescent="0.25">
      <c r="A909" t="s">
        <v>1464</v>
      </c>
      <c r="B909" t="s">
        <v>2000</v>
      </c>
      <c r="C909" t="s">
        <v>179</v>
      </c>
      <c r="E909">
        <f ca="1">INDIRECT("'Sheet1'!BH123")</f>
        <v>0</v>
      </c>
      <c r="F909" t="b">
        <f t="shared" ca="1" si="89"/>
        <v>1</v>
      </c>
    </row>
    <row r="910" spans="1:6" x14ac:dyDescent="0.25">
      <c r="A910" t="s">
        <v>1465</v>
      </c>
      <c r="B910" t="s">
        <v>2001</v>
      </c>
      <c r="C910" t="s">
        <v>181</v>
      </c>
      <c r="D910" s="5" t="s">
        <v>1667</v>
      </c>
      <c r="E910" s="5">
        <f ca="1">INDIRECT("'Sheet1'!BJ123")</f>
        <v>0</v>
      </c>
      <c r="F910" t="b">
        <f t="shared" ca="1" si="89"/>
        <v>0</v>
      </c>
    </row>
    <row r="911" spans="1:6" x14ac:dyDescent="0.25">
      <c r="A911" t="s">
        <v>1466</v>
      </c>
      <c r="B911" t="s">
        <v>2002</v>
      </c>
      <c r="C911" t="s">
        <v>182</v>
      </c>
      <c r="D911">
        <v>1.73</v>
      </c>
      <c r="E911">
        <f ca="1">INDIRECT("'Sheet1'!BK123")</f>
        <v>0</v>
      </c>
      <c r="F911" t="b">
        <f t="shared" ca="1" si="89"/>
        <v>0</v>
      </c>
    </row>
    <row r="912" spans="1:6" x14ac:dyDescent="0.25">
      <c r="A912" t="s">
        <v>1467</v>
      </c>
      <c r="B912" t="s">
        <v>2003</v>
      </c>
      <c r="C912" t="s">
        <v>184</v>
      </c>
      <c r="D912" s="5" t="s">
        <v>1666</v>
      </c>
      <c r="E912" s="5">
        <f ca="1">INDIRECT("'Sheet1'!BM123")</f>
        <v>0</v>
      </c>
      <c r="F912" t="b">
        <f t="shared" ca="1" si="89"/>
        <v>0</v>
      </c>
    </row>
    <row r="913" spans="1:6" x14ac:dyDescent="0.25">
      <c r="A913" t="s">
        <v>1468</v>
      </c>
      <c r="B913" t="s">
        <v>2004</v>
      </c>
      <c r="C913" t="s">
        <v>185</v>
      </c>
      <c r="E913">
        <f ca="1">INDIRECT("'Sheet1'!BN123")</f>
        <v>0</v>
      </c>
      <c r="F913" t="b">
        <f t="shared" ca="1" si="89"/>
        <v>1</v>
      </c>
    </row>
    <row r="914" spans="1:6" x14ac:dyDescent="0.25">
      <c r="A914" t="s">
        <v>1469</v>
      </c>
      <c r="B914" t="s">
        <v>2005</v>
      </c>
      <c r="C914" t="s">
        <v>187</v>
      </c>
      <c r="D914" s="5" t="s">
        <v>1660</v>
      </c>
      <c r="E914" s="5">
        <f ca="1">INDIRECT("'Sheet1'!BP123")</f>
        <v>0</v>
      </c>
      <c r="F914" t="b">
        <f t="shared" ca="1" si="89"/>
        <v>0</v>
      </c>
    </row>
    <row r="915" spans="1:6" x14ac:dyDescent="0.25">
      <c r="A915" t="s">
        <v>1470</v>
      </c>
      <c r="B915" t="s">
        <v>2006</v>
      </c>
      <c r="C915" t="s">
        <v>188</v>
      </c>
      <c r="E915">
        <f ca="1">INDIRECT("'Sheet1'!BQ123")</f>
        <v>0</v>
      </c>
      <c r="F915" t="b">
        <f t="shared" ca="1" si="89"/>
        <v>1</v>
      </c>
    </row>
    <row r="916" spans="1:6" x14ac:dyDescent="0.25">
      <c r="A916" t="s">
        <v>1471</v>
      </c>
      <c r="B916" t="s">
        <v>2007</v>
      </c>
      <c r="C916" t="s">
        <v>190</v>
      </c>
      <c r="D916" s="5" t="s">
        <v>1664</v>
      </c>
      <c r="E916" s="5">
        <f ca="1">INDIRECT("'Sheet1'!BS123")</f>
        <v>0</v>
      </c>
      <c r="F916" t="b">
        <f t="shared" ca="1" si="89"/>
        <v>0</v>
      </c>
    </row>
    <row r="917" spans="1:6" x14ac:dyDescent="0.25">
      <c r="A917" t="s">
        <v>1472</v>
      </c>
      <c r="B917" t="s">
        <v>2008</v>
      </c>
      <c r="C917" t="s">
        <v>191</v>
      </c>
      <c r="E917">
        <f ca="1">INDIRECT("'Sheet1'!BT123")</f>
        <v>0</v>
      </c>
      <c r="F917" t="b">
        <f t="shared" ca="1" si="89"/>
        <v>1</v>
      </c>
    </row>
    <row r="918" spans="1:6" x14ac:dyDescent="0.25">
      <c r="A918" t="s">
        <v>1473</v>
      </c>
      <c r="B918" t="s">
        <v>2009</v>
      </c>
      <c r="C918" t="s">
        <v>193</v>
      </c>
      <c r="D918" s="5" t="s">
        <v>1662</v>
      </c>
      <c r="E918" s="5">
        <f ca="1">INDIRECT("'Sheet1'!BV123")</f>
        <v>0</v>
      </c>
      <c r="F918" t="b">
        <f t="shared" ca="1" si="89"/>
        <v>0</v>
      </c>
    </row>
    <row r="919" spans="1:6" x14ac:dyDescent="0.25">
      <c r="A919" t="s">
        <v>1475</v>
      </c>
      <c r="B919" t="s">
        <v>2010</v>
      </c>
      <c r="C919" t="s">
        <v>123</v>
      </c>
      <c r="D919">
        <v>1.78</v>
      </c>
      <c r="E919">
        <f ca="1">INDIRECT("'Sheet1'!C123")</f>
        <v>0</v>
      </c>
      <c r="F919" t="b">
        <f t="shared" ca="1" si="89"/>
        <v>0</v>
      </c>
    </row>
    <row r="920" spans="1:6" x14ac:dyDescent="0.25">
      <c r="A920" t="s">
        <v>1490</v>
      </c>
      <c r="B920" t="s">
        <v>2011</v>
      </c>
      <c r="C920" t="s">
        <v>124</v>
      </c>
      <c r="D920" s="5" t="s">
        <v>293</v>
      </c>
      <c r="E920" s="5">
        <f ca="1">INDIRECT("'Sheet1'!D123")</f>
        <v>0</v>
      </c>
      <c r="F920" t="b">
        <f t="shared" ca="1" si="89"/>
        <v>0</v>
      </c>
    </row>
    <row r="922" spans="1:6" x14ac:dyDescent="0.25">
      <c r="A922" t="s">
        <v>1491</v>
      </c>
      <c r="B922" t="s">
        <v>2034</v>
      </c>
      <c r="C922" t="s">
        <v>123</v>
      </c>
      <c r="D922">
        <v>1.7</v>
      </c>
      <c r="E922">
        <f ca="1">INDIRECT("'Sheet1'!C124")</f>
        <v>0</v>
      </c>
      <c r="F922" t="b">
        <f t="shared" ca="1" si="89"/>
        <v>0</v>
      </c>
    </row>
    <row r="923" spans="1:6" x14ac:dyDescent="0.25">
      <c r="A923" t="s">
        <v>1492</v>
      </c>
      <c r="B923" t="s">
        <v>2035</v>
      </c>
      <c r="C923" t="s">
        <v>124</v>
      </c>
      <c r="D923" t="s">
        <v>293</v>
      </c>
      <c r="E923" s="5">
        <f ca="1">INDIRECT("'Sheet1'!D124")</f>
        <v>0</v>
      </c>
      <c r="F923" t="b">
        <f t="shared" ca="1" si="89"/>
        <v>0</v>
      </c>
    </row>
    <row r="925" spans="1:6" x14ac:dyDescent="0.25">
      <c r="A925" t="s">
        <v>1495</v>
      </c>
      <c r="B925" t="s">
        <v>1950</v>
      </c>
      <c r="C925" t="s">
        <v>123</v>
      </c>
      <c r="D925">
        <v>1.7</v>
      </c>
      <c r="E925">
        <f ca="1">INDIRECT("'Sheet1'!C125")</f>
        <v>0</v>
      </c>
      <c r="F925" t="b">
        <f t="shared" ca="1" si="89"/>
        <v>0</v>
      </c>
    </row>
    <row r="926" spans="1:6" x14ac:dyDescent="0.25">
      <c r="A926" t="s">
        <v>1496</v>
      </c>
      <c r="B926" t="s">
        <v>1951</v>
      </c>
      <c r="C926" t="s">
        <v>124</v>
      </c>
      <c r="D926" t="s">
        <v>293</v>
      </c>
      <c r="E926" s="5">
        <f ca="1">INDIRECT("'Sheet1'!D125")</f>
        <v>0</v>
      </c>
      <c r="F926" t="b">
        <f t="shared" ca="1" si="89"/>
        <v>0</v>
      </c>
    </row>
    <row r="928" spans="1:6" x14ac:dyDescent="0.25">
      <c r="A928" t="s">
        <v>1503</v>
      </c>
      <c r="B928" t="s">
        <v>2036</v>
      </c>
      <c r="C928" t="s">
        <v>196</v>
      </c>
      <c r="D928">
        <v>0.01</v>
      </c>
      <c r="E928">
        <f ca="1">INDIRECT("'Sheet1'!BY126")</f>
        <v>0</v>
      </c>
      <c r="F928" t="b">
        <f t="shared" ca="1" si="89"/>
        <v>0</v>
      </c>
    </row>
    <row r="929" spans="1:6" x14ac:dyDescent="0.25">
      <c r="A929" t="s">
        <v>1504</v>
      </c>
      <c r="B929" t="s">
        <v>2037</v>
      </c>
      <c r="C929" t="s">
        <v>197</v>
      </c>
      <c r="D929" t="s">
        <v>1513</v>
      </c>
      <c r="E929">
        <f ca="1">INDIRECT("'Sheet1'!BZ126")</f>
        <v>0</v>
      </c>
      <c r="F929" t="b">
        <f t="shared" ca="1" si="89"/>
        <v>0</v>
      </c>
    </row>
    <row r="930" spans="1:6" x14ac:dyDescent="0.25">
      <c r="A930" t="s">
        <v>1505</v>
      </c>
      <c r="B930" t="s">
        <v>2038</v>
      </c>
      <c r="C930" t="s">
        <v>198</v>
      </c>
      <c r="D930" s="5" t="s">
        <v>1668</v>
      </c>
      <c r="E930" s="5">
        <f ca="1">INDIRECT("'Sheet1'!CA126")</f>
        <v>0</v>
      </c>
      <c r="F930" t="b">
        <f t="shared" ca="1" si="89"/>
        <v>0</v>
      </c>
    </row>
    <row r="931" spans="1:6" x14ac:dyDescent="0.25">
      <c r="A931" t="s">
        <v>1506</v>
      </c>
      <c r="B931" t="s">
        <v>2039</v>
      </c>
      <c r="C931" t="s">
        <v>199</v>
      </c>
      <c r="D931">
        <v>0.01</v>
      </c>
      <c r="E931">
        <f ca="1">INDIRECT("'Sheet1'!CB126")</f>
        <v>0</v>
      </c>
      <c r="F931" t="b">
        <f t="shared" ca="1" si="89"/>
        <v>0</v>
      </c>
    </row>
    <row r="932" spans="1:6" x14ac:dyDescent="0.25">
      <c r="A932" t="s">
        <v>1507</v>
      </c>
      <c r="B932" t="s">
        <v>2040</v>
      </c>
      <c r="C932" t="s">
        <v>200</v>
      </c>
      <c r="D932" t="s">
        <v>1514</v>
      </c>
      <c r="E932">
        <f ca="1">INDIRECT("'Sheet1'!CC126")</f>
        <v>0</v>
      </c>
      <c r="F932" t="b">
        <f ca="1">E932=D932</f>
        <v>0</v>
      </c>
    </row>
    <row r="933" spans="1:6" x14ac:dyDescent="0.25">
      <c r="A933" t="s">
        <v>1508</v>
      </c>
      <c r="B933" t="s">
        <v>2041</v>
      </c>
      <c r="C933" t="s">
        <v>201</v>
      </c>
      <c r="D933" s="5" t="s">
        <v>1668</v>
      </c>
      <c r="E933" s="5">
        <f ca="1">INDIRECT("'Sheet1'!CD126")</f>
        <v>0</v>
      </c>
      <c r="F933" t="b">
        <f ca="1">E933=D933</f>
        <v>0</v>
      </c>
    </row>
    <row r="935" spans="1:6" x14ac:dyDescent="0.25">
      <c r="A935" t="s">
        <v>1519</v>
      </c>
      <c r="B935" t="s">
        <v>2042</v>
      </c>
      <c r="C935" t="s">
        <v>196</v>
      </c>
      <c r="D935" t="s">
        <v>1561</v>
      </c>
      <c r="E935">
        <f ca="1">INDIRECT("'Sheet1'!BY127")</f>
        <v>0</v>
      </c>
      <c r="F935" t="b">
        <f t="shared" ref="F935:F938" ca="1" si="90">E935=D935</f>
        <v>0</v>
      </c>
    </row>
    <row r="936" spans="1:6" x14ac:dyDescent="0.25">
      <c r="A936" t="s">
        <v>1520</v>
      </c>
      <c r="B936" t="s">
        <v>2037</v>
      </c>
      <c r="C936" t="s">
        <v>197</v>
      </c>
      <c r="D936" t="s">
        <v>1513</v>
      </c>
      <c r="E936">
        <f ca="1">INDIRECT("'Sheet1'!BZ127")</f>
        <v>0</v>
      </c>
      <c r="F936" t="b">
        <f t="shared" ca="1" si="90"/>
        <v>0</v>
      </c>
    </row>
    <row r="937" spans="1:6" x14ac:dyDescent="0.25">
      <c r="A937" t="s">
        <v>1521</v>
      </c>
      <c r="B937" t="s">
        <v>2043</v>
      </c>
      <c r="C937" t="s">
        <v>198</v>
      </c>
      <c r="D937" s="5" t="s">
        <v>1668</v>
      </c>
      <c r="E937" s="5">
        <f ca="1">INDIRECT("'Sheet1'!CA127")</f>
        <v>0</v>
      </c>
      <c r="F937" t="b">
        <f t="shared" ca="1" si="90"/>
        <v>0</v>
      </c>
    </row>
    <row r="938" spans="1:6" x14ac:dyDescent="0.25">
      <c r="A938" t="s">
        <v>1522</v>
      </c>
      <c r="B938" t="s">
        <v>2045</v>
      </c>
      <c r="C938" t="s">
        <v>199</v>
      </c>
      <c r="D938" t="s">
        <v>1562</v>
      </c>
      <c r="E938">
        <f ca="1">INDIRECT("'Sheet1'!CB127")</f>
        <v>0</v>
      </c>
      <c r="F938" t="b">
        <f t="shared" ca="1" si="90"/>
        <v>0</v>
      </c>
    </row>
    <row r="939" spans="1:6" x14ac:dyDescent="0.25">
      <c r="A939" t="s">
        <v>1523</v>
      </c>
      <c r="B939" t="s">
        <v>2040</v>
      </c>
      <c r="C939" t="s">
        <v>200</v>
      </c>
      <c r="D939" t="s">
        <v>1514</v>
      </c>
      <c r="E939">
        <f ca="1">INDIRECT("'Sheet1'!CC127")</f>
        <v>0</v>
      </c>
      <c r="F939" t="b">
        <f ca="1">E939=D939</f>
        <v>0</v>
      </c>
    </row>
    <row r="940" spans="1:6" x14ac:dyDescent="0.25">
      <c r="A940" t="s">
        <v>1524</v>
      </c>
      <c r="B940" t="s">
        <v>2041</v>
      </c>
      <c r="C940" t="s">
        <v>201</v>
      </c>
      <c r="D940" s="5" t="s">
        <v>1668</v>
      </c>
      <c r="E940" s="5">
        <f ca="1">INDIRECT("'Sheet1'!CD127")</f>
        <v>0</v>
      </c>
      <c r="F940" t="b">
        <f ca="1">E940=D940</f>
        <v>0</v>
      </c>
    </row>
    <row r="942" spans="1:6" x14ac:dyDescent="0.25">
      <c r="A942" t="s">
        <v>1525</v>
      </c>
      <c r="B942" t="s">
        <v>2047</v>
      </c>
      <c r="C942" t="s">
        <v>196</v>
      </c>
      <c r="D942" t="s">
        <v>1632</v>
      </c>
      <c r="E942">
        <f ca="1">INDIRECT("'Sheet1'!BY128")</f>
        <v>0</v>
      </c>
      <c r="F942" t="b">
        <f t="shared" ref="F942:F945" ca="1" si="91">E942=D942</f>
        <v>0</v>
      </c>
    </row>
    <row r="943" spans="1:6" x14ac:dyDescent="0.25">
      <c r="A943" t="s">
        <v>1526</v>
      </c>
      <c r="B943" t="s">
        <v>2044</v>
      </c>
      <c r="C943" t="s">
        <v>197</v>
      </c>
      <c r="D943" t="s">
        <v>1513</v>
      </c>
      <c r="E943">
        <f ca="1">INDIRECT("'Sheet1'!BZ128")</f>
        <v>0</v>
      </c>
      <c r="F943" t="b">
        <f t="shared" ca="1" si="91"/>
        <v>0</v>
      </c>
    </row>
    <row r="944" spans="1:6" x14ac:dyDescent="0.25">
      <c r="A944" t="s">
        <v>1527</v>
      </c>
      <c r="B944" t="s">
        <v>2038</v>
      </c>
      <c r="C944" t="s">
        <v>198</v>
      </c>
      <c r="D944" s="5" t="s">
        <v>1668</v>
      </c>
      <c r="E944" s="5">
        <f ca="1">INDIRECT("'Sheet1'!CA128")</f>
        <v>0</v>
      </c>
      <c r="F944" t="b">
        <f t="shared" ca="1" si="91"/>
        <v>0</v>
      </c>
    </row>
    <row r="945" spans="1:6" x14ac:dyDescent="0.25">
      <c r="A945" t="s">
        <v>1528</v>
      </c>
      <c r="B945" t="s">
        <v>2046</v>
      </c>
      <c r="C945" t="s">
        <v>199</v>
      </c>
      <c r="D945" t="s">
        <v>1627</v>
      </c>
      <c r="E945">
        <f ca="1">INDIRECT("'Sheet1'!CB128")</f>
        <v>0</v>
      </c>
      <c r="F945" t="b">
        <f t="shared" ca="1" si="91"/>
        <v>0</v>
      </c>
    </row>
    <row r="946" spans="1:6" x14ac:dyDescent="0.25">
      <c r="A946" t="s">
        <v>1529</v>
      </c>
      <c r="B946" t="s">
        <v>2040</v>
      </c>
      <c r="C946" t="s">
        <v>200</v>
      </c>
      <c r="D946" t="s">
        <v>1514</v>
      </c>
      <c r="E946">
        <f ca="1">INDIRECT("'Sheet1'!CC128")</f>
        <v>0</v>
      </c>
      <c r="F946" t="b">
        <f ca="1">E946=D946</f>
        <v>0</v>
      </c>
    </row>
    <row r="947" spans="1:6" x14ac:dyDescent="0.25">
      <c r="A947" t="s">
        <v>1530</v>
      </c>
      <c r="B947" t="s">
        <v>2041</v>
      </c>
      <c r="C947" t="s">
        <v>201</v>
      </c>
      <c r="D947" s="5" t="s">
        <v>1668</v>
      </c>
      <c r="E947" s="5">
        <f ca="1">INDIRECT("'Sheet1'!CD128")</f>
        <v>0</v>
      </c>
      <c r="F947" t="b">
        <f ca="1">E947=D947</f>
        <v>0</v>
      </c>
    </row>
    <row r="948" spans="1:6" x14ac:dyDescent="0.25">
      <c r="D948" s="5"/>
    </row>
    <row r="949" spans="1:6" x14ac:dyDescent="0.25">
      <c r="A949" t="s">
        <v>1540</v>
      </c>
      <c r="B949" t="s">
        <v>2051</v>
      </c>
      <c r="C949" t="s">
        <v>196</v>
      </c>
      <c r="D949">
        <v>0</v>
      </c>
      <c r="E949">
        <f ca="1">INDIRECT("'Sheet1'!BY129")</f>
        <v>0</v>
      </c>
      <c r="F949" t="b">
        <f t="shared" ref="F949:F952" ca="1" si="92">E949=D949</f>
        <v>1</v>
      </c>
    </row>
    <row r="950" spans="1:6" x14ac:dyDescent="0.25">
      <c r="A950" t="s">
        <v>1541</v>
      </c>
      <c r="B950" t="s">
        <v>2037</v>
      </c>
      <c r="C950" t="s">
        <v>197</v>
      </c>
      <c r="D950" t="s">
        <v>1513</v>
      </c>
      <c r="E950">
        <f ca="1">INDIRECT("'Sheet1'!BZ129")</f>
        <v>0</v>
      </c>
      <c r="F950" t="b">
        <f t="shared" ca="1" si="92"/>
        <v>0</v>
      </c>
    </row>
    <row r="951" spans="1:6" x14ac:dyDescent="0.25">
      <c r="A951" t="s">
        <v>1542</v>
      </c>
      <c r="B951" t="s">
        <v>2048</v>
      </c>
      <c r="C951" t="s">
        <v>198</v>
      </c>
      <c r="D951" s="5" t="s">
        <v>1669</v>
      </c>
      <c r="E951" s="5">
        <f ca="1">INDIRECT("'Sheet1'!CA129")</f>
        <v>0</v>
      </c>
      <c r="F951" t="b">
        <f t="shared" ca="1" si="92"/>
        <v>0</v>
      </c>
    </row>
    <row r="952" spans="1:6" x14ac:dyDescent="0.25">
      <c r="A952" t="s">
        <v>1543</v>
      </c>
      <c r="B952" t="s">
        <v>2050</v>
      </c>
      <c r="C952" t="s">
        <v>199</v>
      </c>
      <c r="D952">
        <v>0</v>
      </c>
      <c r="E952">
        <f ca="1">INDIRECT("'Sheet1'!CB129")</f>
        <v>0</v>
      </c>
      <c r="F952" t="b">
        <f t="shared" ca="1" si="92"/>
        <v>1</v>
      </c>
    </row>
    <row r="953" spans="1:6" x14ac:dyDescent="0.25">
      <c r="A953" t="s">
        <v>1544</v>
      </c>
      <c r="B953" t="s">
        <v>2040</v>
      </c>
      <c r="C953" t="s">
        <v>200</v>
      </c>
      <c r="D953" t="s">
        <v>1514</v>
      </c>
      <c r="E953">
        <f ca="1">INDIRECT("'Sheet1'!CC129")</f>
        <v>0</v>
      </c>
      <c r="F953" t="b">
        <f ca="1">E953=D953</f>
        <v>0</v>
      </c>
    </row>
    <row r="954" spans="1:6" x14ac:dyDescent="0.25">
      <c r="A954" t="s">
        <v>1545</v>
      </c>
      <c r="B954" t="s">
        <v>2049</v>
      </c>
      <c r="C954" t="s">
        <v>201</v>
      </c>
      <c r="D954" s="5" t="s">
        <v>1669</v>
      </c>
      <c r="E954" s="5">
        <f ca="1">INDIRECT("'Sheet1'!CD129")</f>
        <v>0</v>
      </c>
      <c r="F954" t="b">
        <f ca="1">E954=D954</f>
        <v>0</v>
      </c>
    </row>
    <row r="956" spans="1:6" x14ac:dyDescent="0.25">
      <c r="A956" t="s">
        <v>1546</v>
      </c>
      <c r="B956" t="s">
        <v>2052</v>
      </c>
      <c r="C956" t="s">
        <v>196</v>
      </c>
      <c r="E956">
        <f ca="1">INDIRECT("'Sheet1'!BY130")</f>
        <v>0</v>
      </c>
      <c r="F956" t="b">
        <f t="shared" ref="F956:F959" ca="1" si="93">E956=D956</f>
        <v>1</v>
      </c>
    </row>
    <row r="957" spans="1:6" x14ac:dyDescent="0.25">
      <c r="A957" t="s">
        <v>1547</v>
      </c>
      <c r="B957" t="s">
        <v>2053</v>
      </c>
      <c r="C957" t="s">
        <v>197</v>
      </c>
      <c r="E957">
        <f ca="1">INDIRECT("'Sheet1'!BZ130")</f>
        <v>0</v>
      </c>
      <c r="F957" t="b">
        <f t="shared" ca="1" si="93"/>
        <v>1</v>
      </c>
    </row>
    <row r="958" spans="1:6" x14ac:dyDescent="0.25">
      <c r="A958" t="s">
        <v>1548</v>
      </c>
      <c r="B958" t="s">
        <v>2054</v>
      </c>
      <c r="C958" t="s">
        <v>198</v>
      </c>
      <c r="D958" s="5"/>
      <c r="E958">
        <f ca="1">INDIRECT("'Sheet1'!CA130")</f>
        <v>0</v>
      </c>
      <c r="F958" t="b">
        <f t="shared" ca="1" si="93"/>
        <v>1</v>
      </c>
    </row>
    <row r="959" spans="1:6" x14ac:dyDescent="0.25">
      <c r="A959" t="s">
        <v>1549</v>
      </c>
      <c r="B959" t="s">
        <v>2055</v>
      </c>
      <c r="C959" t="s">
        <v>199</v>
      </c>
      <c r="E959">
        <f ca="1">INDIRECT("'Sheet1'!CB130")</f>
        <v>0</v>
      </c>
      <c r="F959" t="b">
        <f t="shared" ca="1" si="93"/>
        <v>1</v>
      </c>
    </row>
    <row r="960" spans="1:6" x14ac:dyDescent="0.25">
      <c r="A960" t="s">
        <v>1550</v>
      </c>
      <c r="B960" t="s">
        <v>2056</v>
      </c>
      <c r="C960" t="s">
        <v>200</v>
      </c>
      <c r="E960">
        <f ca="1">INDIRECT("'Sheet1'!CC130")</f>
        <v>0</v>
      </c>
      <c r="F960" t="b">
        <f ca="1">E960=D960</f>
        <v>1</v>
      </c>
    </row>
    <row r="961" spans="1:6" x14ac:dyDescent="0.25">
      <c r="A961" t="s">
        <v>1551</v>
      </c>
      <c r="B961" t="s">
        <v>2057</v>
      </c>
      <c r="C961" t="s">
        <v>201</v>
      </c>
      <c r="D961" s="5"/>
      <c r="E961">
        <f ca="1">INDIRECT("'Sheet1'!CD130")</f>
        <v>0</v>
      </c>
      <c r="F961" t="b">
        <f ca="1">E961=D961</f>
        <v>1</v>
      </c>
    </row>
    <row r="963" spans="1:6" x14ac:dyDescent="0.25">
      <c r="A963" t="s">
        <v>1563</v>
      </c>
      <c r="B963" t="s">
        <v>2075</v>
      </c>
      <c r="C963" t="s">
        <v>194</v>
      </c>
      <c r="D963" s="5" t="s">
        <v>1668</v>
      </c>
      <c r="E963" s="5">
        <f ca="1">INDIRECT("'Sheet1'!BW131")</f>
        <v>0</v>
      </c>
      <c r="F963" t="b">
        <f ca="1">E963=D963</f>
        <v>0</v>
      </c>
    </row>
    <row r="964" spans="1:6" x14ac:dyDescent="0.25">
      <c r="A964" t="s">
        <v>1564</v>
      </c>
      <c r="B964" t="s">
        <v>2058</v>
      </c>
      <c r="C964" t="s">
        <v>195</v>
      </c>
      <c r="D964" t="s">
        <v>1658</v>
      </c>
      <c r="E964">
        <f ca="1">INDIRECT("'Sheet1'!BX131")</f>
        <v>0</v>
      </c>
      <c r="F964" t="b">
        <f ca="1">E964=D964</f>
        <v>0</v>
      </c>
    </row>
    <row r="966" spans="1:6" x14ac:dyDescent="0.25">
      <c r="A966" t="s">
        <v>1569</v>
      </c>
      <c r="B966" t="s">
        <v>2075</v>
      </c>
      <c r="C966" t="s">
        <v>194</v>
      </c>
      <c r="D966" s="5" t="s">
        <v>1668</v>
      </c>
      <c r="E966" s="5">
        <f ca="1">INDIRECT("'Sheet1'!BW132")</f>
        <v>0</v>
      </c>
      <c r="F966" t="b">
        <f ca="1">E966=D966</f>
        <v>0</v>
      </c>
    </row>
    <row r="967" spans="1:6" x14ac:dyDescent="0.25">
      <c r="A967" t="s">
        <v>1570</v>
      </c>
      <c r="B967" t="s">
        <v>2058</v>
      </c>
      <c r="C967" t="s">
        <v>195</v>
      </c>
      <c r="D967" t="s">
        <v>1658</v>
      </c>
      <c r="E967">
        <f ca="1">INDIRECT("'Sheet1'!BX132")</f>
        <v>0</v>
      </c>
      <c r="F967" t="b">
        <f ca="1">E967=D967</f>
        <v>0</v>
      </c>
    </row>
    <row r="969" spans="1:6" x14ac:dyDescent="0.25">
      <c r="A969" t="s">
        <v>1571</v>
      </c>
      <c r="B969" t="s">
        <v>2076</v>
      </c>
      <c r="C969" t="s">
        <v>194</v>
      </c>
      <c r="D969" s="5"/>
      <c r="E969" s="5">
        <f ca="1">INDIRECT("'Sheet1'!BW133")</f>
        <v>0</v>
      </c>
      <c r="F969" t="b">
        <f ca="1">E969=D969</f>
        <v>1</v>
      </c>
    </row>
    <row r="970" spans="1:6" x14ac:dyDescent="0.25">
      <c r="A970" t="s">
        <v>1572</v>
      </c>
      <c r="B970" t="s">
        <v>2077</v>
      </c>
      <c r="C970" t="s">
        <v>195</v>
      </c>
      <c r="E970">
        <f ca="1">INDIRECT("'Sheet1'!BX133")</f>
        <v>0</v>
      </c>
      <c r="F970" t="b">
        <f ca="1">E970=D970</f>
        <v>1</v>
      </c>
    </row>
    <row r="972" spans="1:6" x14ac:dyDescent="0.25">
      <c r="A972" t="s">
        <v>1573</v>
      </c>
      <c r="B972" t="s">
        <v>2078</v>
      </c>
      <c r="C972" t="s">
        <v>194</v>
      </c>
      <c r="D972" s="5" t="s">
        <v>1668</v>
      </c>
      <c r="E972" s="5">
        <f ca="1">INDIRECT("'Sheet1'!BW134")</f>
        <v>0</v>
      </c>
      <c r="F972" t="b">
        <f ca="1">E972=D972</f>
        <v>0</v>
      </c>
    </row>
    <row r="973" spans="1:6" x14ac:dyDescent="0.25">
      <c r="A973" t="s">
        <v>1574</v>
      </c>
      <c r="B973" t="s">
        <v>2058</v>
      </c>
      <c r="C973" t="s">
        <v>195</v>
      </c>
      <c r="D973" t="s">
        <v>1658</v>
      </c>
      <c r="E973">
        <f ca="1">INDIRECT("'Sheet1'!BX134")</f>
        <v>0</v>
      </c>
      <c r="F973" t="b">
        <f ca="1">E973=D973</f>
        <v>0</v>
      </c>
    </row>
    <row r="975" spans="1:6" x14ac:dyDescent="0.25">
      <c r="A975" t="s">
        <v>1575</v>
      </c>
      <c r="B975" t="s">
        <v>2076</v>
      </c>
      <c r="C975" t="s">
        <v>194</v>
      </c>
      <c r="E975">
        <f ca="1">INDIRECT("'Sheet1'!BW135")</f>
        <v>0</v>
      </c>
      <c r="F975" t="b">
        <f ca="1">E975=D975</f>
        <v>1</v>
      </c>
    </row>
    <row r="976" spans="1:6" x14ac:dyDescent="0.25">
      <c r="A976" t="s">
        <v>1576</v>
      </c>
      <c r="B976" t="s">
        <v>2079</v>
      </c>
      <c r="C976" t="s">
        <v>195</v>
      </c>
      <c r="E976">
        <f ca="1">INDIRECT("'Sheet1'!BX135")</f>
        <v>0</v>
      </c>
      <c r="F976" t="b">
        <f ca="1">E976=D976</f>
        <v>1</v>
      </c>
    </row>
    <row r="978" spans="1:6" x14ac:dyDescent="0.25">
      <c r="A978" t="str">
        <f>"136"&amp;LOWER(SUBSTITUTE(ADDRESS(136, ROWS($A$1:A1), 4), "136", ""))</f>
        <v>136a</v>
      </c>
      <c r="B978" t="s">
        <v>119</v>
      </c>
      <c r="C978" t="s">
        <v>120</v>
      </c>
      <c r="D978" t="s">
        <v>1603</v>
      </c>
      <c r="E978">
        <f ca="1">INDIRECT("'Sheet1'!A136")</f>
        <v>0</v>
      </c>
      <c r="F978" t="b">
        <f t="shared" ref="F978:F1041" ca="1" si="94">E978=D978</f>
        <v>0</v>
      </c>
    </row>
    <row r="979" spans="1:6" x14ac:dyDescent="0.25">
      <c r="A979" t="str">
        <f>"136"&amp;LOWER(SUBSTITUTE(ADDRESS(136, ROWS($A$1:A2), 4), "136", ""))</f>
        <v>136b</v>
      </c>
      <c r="B979" t="s">
        <v>2080</v>
      </c>
      <c r="C979" t="s">
        <v>122</v>
      </c>
      <c r="E979">
        <f ca="1">INDIRECT("'Sheet1'!B136")</f>
        <v>0</v>
      </c>
      <c r="F979" t="b">
        <f t="shared" ca="1" si="94"/>
        <v>1</v>
      </c>
    </row>
    <row r="980" spans="1:6" x14ac:dyDescent="0.25">
      <c r="A980" t="str">
        <f>"136"&amp;LOWER(SUBSTITUTE(ADDRESS(136, ROWS($A$1:A3), 4), "136", ""))</f>
        <v>136c</v>
      </c>
      <c r="B980" t="s">
        <v>2010</v>
      </c>
      <c r="C980" t="s">
        <v>123</v>
      </c>
      <c r="D980">
        <v>1.78</v>
      </c>
      <c r="E980">
        <f ca="1">INDIRECT("'Sheet1'!C136")</f>
        <v>0</v>
      </c>
      <c r="F980" t="b">
        <f t="shared" ca="1" si="94"/>
        <v>0</v>
      </c>
    </row>
    <row r="981" spans="1:6" x14ac:dyDescent="0.25">
      <c r="A981" t="str">
        <f>"136"&amp;LOWER(SUBSTITUTE(ADDRESS(136, ROWS($A$1:A4), 4), "136", ""))</f>
        <v>136d</v>
      </c>
      <c r="B981" t="s">
        <v>2011</v>
      </c>
      <c r="C981" t="s">
        <v>124</v>
      </c>
      <c r="D981" t="s">
        <v>293</v>
      </c>
      <c r="E981">
        <f ca="1">INDIRECT("'Sheet1'!D136")</f>
        <v>0</v>
      </c>
      <c r="F981" t="b">
        <f t="shared" ca="1" si="94"/>
        <v>0</v>
      </c>
    </row>
    <row r="982" spans="1:6" x14ac:dyDescent="0.25">
      <c r="A982" t="str">
        <f>"136"&amp;LOWER(SUBSTITUTE(ADDRESS(136, ROWS($A$1:A5), 4), "136", ""))</f>
        <v>136e</v>
      </c>
      <c r="B982" t="s">
        <v>2061</v>
      </c>
      <c r="C982" t="s">
        <v>125</v>
      </c>
      <c r="D982">
        <v>101</v>
      </c>
      <c r="E982">
        <f ca="1">INDIRECT("'Sheet1'!E136")</f>
        <v>0</v>
      </c>
      <c r="F982" t="b">
        <f t="shared" ca="1" si="94"/>
        <v>0</v>
      </c>
    </row>
    <row r="983" spans="1:6" x14ac:dyDescent="0.25">
      <c r="A983" t="str">
        <f>"136"&amp;LOWER(SUBSTITUTE(ADDRESS(136, ROWS($A$1:A6), 4), "136", ""))</f>
        <v>136f</v>
      </c>
      <c r="B983" t="s">
        <v>2062</v>
      </c>
      <c r="C983" t="s">
        <v>126</v>
      </c>
      <c r="D983" s="5" t="s">
        <v>1657</v>
      </c>
      <c r="E983" s="5">
        <f ca="1">INDIRECT("'Sheet1'!F136")</f>
        <v>0</v>
      </c>
      <c r="F983" t="b">
        <f t="shared" ca="1" si="94"/>
        <v>0</v>
      </c>
    </row>
    <row r="984" spans="1:6" x14ac:dyDescent="0.25">
      <c r="A984" t="str">
        <f>"136"&amp;LOWER(SUBSTITUTE(ADDRESS(136, ROWS($A$1:A7), 4), "136", ""))</f>
        <v>136g</v>
      </c>
      <c r="B984" t="s">
        <v>2084</v>
      </c>
      <c r="C984" t="s">
        <v>127</v>
      </c>
      <c r="D984" t="s">
        <v>1670</v>
      </c>
      <c r="E984">
        <f ca="1">INDIRECT("'Sheet1'!G136")</f>
        <v>0</v>
      </c>
      <c r="F984" t="b">
        <f t="shared" ca="1" si="94"/>
        <v>0</v>
      </c>
    </row>
    <row r="985" spans="1:6" x14ac:dyDescent="0.25">
      <c r="A985" t="str">
        <f>"136"&amp;LOWER(SUBSTITUTE(ADDRESS(136, ROWS($A$1:A8), 4), "136", ""))</f>
        <v>136h</v>
      </c>
      <c r="B985" t="s">
        <v>202</v>
      </c>
      <c r="C985" t="s">
        <v>112</v>
      </c>
      <c r="D985" t="s">
        <v>114</v>
      </c>
      <c r="E985">
        <f ca="1">INDIRECT("'Sheet1'!H136")</f>
        <v>0</v>
      </c>
      <c r="F985" t="b">
        <f t="shared" ca="1" si="94"/>
        <v>0</v>
      </c>
    </row>
    <row r="986" spans="1:6" x14ac:dyDescent="0.25">
      <c r="A986" t="str">
        <f>"136"&amp;LOWER(SUBSTITUTE(ADDRESS(136, ROWS($A$1:A9), 4), "136", ""))</f>
        <v>136i</v>
      </c>
      <c r="B986" t="s">
        <v>2081</v>
      </c>
      <c r="C986" t="s">
        <v>128</v>
      </c>
      <c r="D986">
        <v>45</v>
      </c>
      <c r="E986">
        <f ca="1">INDIRECT("'Sheet1'!I136")</f>
        <v>0</v>
      </c>
      <c r="F986" t="b">
        <f t="shared" ca="1" si="94"/>
        <v>0</v>
      </c>
    </row>
    <row r="987" spans="1:6" x14ac:dyDescent="0.25">
      <c r="A987" t="str">
        <f>"136"&amp;LOWER(SUBSTITUTE(ADDRESS(136, ROWS($A$1:A10), 4), "136", ""))</f>
        <v>136j</v>
      </c>
      <c r="B987" t="s">
        <v>1688</v>
      </c>
      <c r="C987" t="s">
        <v>129</v>
      </c>
      <c r="D987" s="5" t="s">
        <v>1660</v>
      </c>
      <c r="E987" s="5">
        <f ca="1">INDIRECT("'Sheet1'!J136")</f>
        <v>0</v>
      </c>
      <c r="F987" t="b">
        <f t="shared" ca="1" si="94"/>
        <v>0</v>
      </c>
    </row>
    <row r="988" spans="1:6" x14ac:dyDescent="0.25">
      <c r="A988" t="str">
        <f>"136"&amp;LOWER(SUBSTITUTE(ADDRESS(136, ROWS($A$1:A11), 4), "136", ""))</f>
        <v>136k</v>
      </c>
      <c r="B988" t="s">
        <v>1696</v>
      </c>
      <c r="C988" t="s">
        <v>130</v>
      </c>
      <c r="E988">
        <f ca="1">INDIRECT("'Sheet1'!K136")</f>
        <v>0</v>
      </c>
      <c r="F988" t="b">
        <f t="shared" ca="1" si="94"/>
        <v>1</v>
      </c>
    </row>
    <row r="989" spans="1:6" x14ac:dyDescent="0.25">
      <c r="A989" t="str">
        <f>"136"&amp;LOWER(SUBSTITUTE(ADDRESS(136, ROWS($A$1:A12), 4), "136", ""))</f>
        <v>136l</v>
      </c>
      <c r="B989" t="s">
        <v>1689</v>
      </c>
      <c r="C989" t="s">
        <v>131</v>
      </c>
      <c r="D989" s="5" t="s">
        <v>1660</v>
      </c>
      <c r="E989" s="5">
        <f ca="1">INDIRECT("'Sheet1'!L136")</f>
        <v>0</v>
      </c>
      <c r="F989" t="b">
        <f t="shared" ca="1" si="94"/>
        <v>0</v>
      </c>
    </row>
    <row r="990" spans="1:6" x14ac:dyDescent="0.25">
      <c r="A990" t="str">
        <f>"136"&amp;LOWER(SUBSTITUTE(ADDRESS(136, ROWS($A$1:A13), 4), "136", ""))</f>
        <v>136m</v>
      </c>
      <c r="B990" t="s">
        <v>1695</v>
      </c>
      <c r="C990" t="s">
        <v>132</v>
      </c>
      <c r="E990">
        <f ca="1">INDIRECT("'Sheet1'!M136")</f>
        <v>0</v>
      </c>
      <c r="F990" t="b">
        <f t="shared" ca="1" si="94"/>
        <v>1</v>
      </c>
    </row>
    <row r="991" spans="1:6" x14ac:dyDescent="0.25">
      <c r="A991" t="str">
        <f>"136"&amp;LOWER(SUBSTITUTE(ADDRESS(136, ROWS($A$1:A14), 4), "136", ""))</f>
        <v>136n</v>
      </c>
      <c r="B991" t="s">
        <v>1690</v>
      </c>
      <c r="C991" t="s">
        <v>133</v>
      </c>
      <c r="D991" s="5" t="s">
        <v>1660</v>
      </c>
      <c r="E991" s="5">
        <f ca="1">INDIRECT("'Sheet1'!N136")</f>
        <v>0</v>
      </c>
      <c r="F991" t="b">
        <f t="shared" ca="1" si="94"/>
        <v>0</v>
      </c>
    </row>
    <row r="992" spans="1:6" x14ac:dyDescent="0.25">
      <c r="A992" t="str">
        <f>"136"&amp;LOWER(SUBSTITUTE(ADDRESS(136, ROWS($A$1:A15), 4), "136", ""))</f>
        <v>136o</v>
      </c>
      <c r="B992" t="s">
        <v>1694</v>
      </c>
      <c r="C992" t="s">
        <v>134</v>
      </c>
      <c r="E992">
        <f ca="1">INDIRECT("'Sheet1'!O136")</f>
        <v>0</v>
      </c>
      <c r="F992" t="b">
        <f t="shared" ca="1" si="94"/>
        <v>1</v>
      </c>
    </row>
    <row r="993" spans="1:6" x14ac:dyDescent="0.25">
      <c r="A993" t="str">
        <f>"136"&amp;LOWER(SUBSTITUTE(ADDRESS(136, ROWS($A$1:A16), 4), "136", ""))</f>
        <v>136p</v>
      </c>
      <c r="B993" t="s">
        <v>1691</v>
      </c>
      <c r="C993" t="s">
        <v>135</v>
      </c>
      <c r="D993" s="5" t="s">
        <v>1660</v>
      </c>
      <c r="E993" s="5">
        <f ca="1">INDIRECT("'Sheet1'!P136")</f>
        <v>0</v>
      </c>
      <c r="F993" t="b">
        <f t="shared" ca="1" si="94"/>
        <v>0</v>
      </c>
    </row>
    <row r="994" spans="1:6" x14ac:dyDescent="0.25">
      <c r="A994" t="str">
        <f>"136"&amp;LOWER(SUBSTITUTE(ADDRESS(136, ROWS($A$1:A17), 4), "136", ""))</f>
        <v>136q</v>
      </c>
      <c r="B994" t="s">
        <v>1693</v>
      </c>
      <c r="C994" t="s">
        <v>136</v>
      </c>
      <c r="E994">
        <f ca="1">INDIRECT("'Sheet1'!Q136")</f>
        <v>0</v>
      </c>
      <c r="F994" t="b">
        <f t="shared" ca="1" si="94"/>
        <v>1</v>
      </c>
    </row>
    <row r="995" spans="1:6" x14ac:dyDescent="0.25">
      <c r="A995" t="str">
        <f>"136"&amp;LOWER(SUBSTITUTE(ADDRESS(136, ROWS($A$1:A18), 4), "136", ""))</f>
        <v>136r</v>
      </c>
      <c r="B995" t="s">
        <v>1692</v>
      </c>
      <c r="C995" t="s">
        <v>137</v>
      </c>
      <c r="D995" s="5" t="s">
        <v>1660</v>
      </c>
      <c r="E995" s="5">
        <f ca="1">INDIRECT("'Sheet1'!R136")</f>
        <v>0</v>
      </c>
      <c r="F995" t="b">
        <f t="shared" ca="1" si="94"/>
        <v>0</v>
      </c>
    </row>
    <row r="996" spans="1:6" x14ac:dyDescent="0.25">
      <c r="A996" t="str">
        <f>"136"&amp;LOWER(SUBSTITUTE(ADDRESS(136, ROWS($A$1:A19), 4), "136", ""))</f>
        <v>136s</v>
      </c>
      <c r="B996" t="s">
        <v>1783</v>
      </c>
      <c r="C996" t="s">
        <v>138</v>
      </c>
      <c r="D996">
        <v>100</v>
      </c>
      <c r="E996">
        <f ca="1">INDIRECT("'Sheet1'!S136")</f>
        <v>0</v>
      </c>
      <c r="F996" t="b">
        <f t="shared" ca="1" si="94"/>
        <v>0</v>
      </c>
    </row>
    <row r="997" spans="1:6" x14ac:dyDescent="0.25">
      <c r="A997" t="str">
        <f>"136"&amp;LOWER(SUBSTITUTE(ADDRESS(136, ROWS($A$1:A20), 4), "136", ""))</f>
        <v>136t</v>
      </c>
      <c r="B997" t="s">
        <v>2098</v>
      </c>
      <c r="C997" t="s">
        <v>139</v>
      </c>
      <c r="D997" t="s">
        <v>294</v>
      </c>
      <c r="E997">
        <f ca="1">INDIRECT("'Sheet1'!T136")</f>
        <v>0</v>
      </c>
      <c r="F997" t="b">
        <f t="shared" ca="1" si="94"/>
        <v>0</v>
      </c>
    </row>
    <row r="998" spans="1:6" x14ac:dyDescent="0.25">
      <c r="A998" t="str">
        <f>"136"&amp;LOWER(SUBSTITUTE(ADDRESS(136, ROWS($A$1:A21), 4), "136", ""))</f>
        <v>136u</v>
      </c>
      <c r="B998" t="s">
        <v>1784</v>
      </c>
      <c r="C998" t="s">
        <v>140</v>
      </c>
      <c r="D998" s="5" t="s">
        <v>1666</v>
      </c>
      <c r="E998" s="5">
        <f ca="1">INDIRECT("'Sheet1'!U136")</f>
        <v>0</v>
      </c>
      <c r="F998" t="b">
        <f t="shared" ca="1" si="94"/>
        <v>0</v>
      </c>
    </row>
    <row r="999" spans="1:6" x14ac:dyDescent="0.25">
      <c r="A999" t="str">
        <f>"136"&amp;LOWER(SUBSTITUTE(ADDRESS(136, ROWS($A$1:A22), 4), "136", ""))</f>
        <v>136v</v>
      </c>
      <c r="B999" t="s">
        <v>1786</v>
      </c>
      <c r="C999" t="s">
        <v>141</v>
      </c>
      <c r="E999">
        <f ca="1">INDIRECT("'Sheet1'!V136")</f>
        <v>0</v>
      </c>
      <c r="F999" t="b">
        <f t="shared" ca="1" si="94"/>
        <v>1</v>
      </c>
    </row>
    <row r="1000" spans="1:6" x14ac:dyDescent="0.25">
      <c r="A1000" t="str">
        <f>"136"&amp;LOWER(SUBSTITUTE(ADDRESS(136, ROWS($A$1:A23), 4), "136", ""))</f>
        <v>136w</v>
      </c>
      <c r="B1000" t="s">
        <v>2097</v>
      </c>
      <c r="C1000" t="s">
        <v>142</v>
      </c>
      <c r="D1000" t="s">
        <v>294</v>
      </c>
      <c r="E1000">
        <f ca="1">INDIRECT("'Sheet1'!W136")</f>
        <v>0</v>
      </c>
      <c r="F1000" t="b">
        <f t="shared" ca="1" si="94"/>
        <v>0</v>
      </c>
    </row>
    <row r="1001" spans="1:6" x14ac:dyDescent="0.25">
      <c r="A1001" t="str">
        <f>"136"&amp;LOWER(SUBSTITUTE(ADDRESS(136, ROWS($A$1:A24), 4), "136", ""))</f>
        <v>136x</v>
      </c>
      <c r="B1001" t="s">
        <v>1785</v>
      </c>
      <c r="C1001" t="s">
        <v>143</v>
      </c>
      <c r="D1001" s="5" t="s">
        <v>1667</v>
      </c>
      <c r="E1001" s="5">
        <f ca="1">INDIRECT("'Sheet1'!X136")</f>
        <v>0</v>
      </c>
      <c r="F1001" t="b">
        <f t="shared" ca="1" si="94"/>
        <v>0</v>
      </c>
    </row>
    <row r="1002" spans="1:6" x14ac:dyDescent="0.25">
      <c r="A1002" t="str">
        <f>"136"&amp;LOWER(SUBSTITUTE(ADDRESS(136, ROWS($A$1:A25), 4), "136", ""))</f>
        <v>136y</v>
      </c>
      <c r="B1002" t="s">
        <v>1788</v>
      </c>
      <c r="C1002" t="s">
        <v>144</v>
      </c>
      <c r="E1002">
        <f ca="1">INDIRECT("'Sheet1'!Y136")</f>
        <v>0</v>
      </c>
      <c r="F1002" t="b">
        <f t="shared" ca="1" si="94"/>
        <v>1</v>
      </c>
    </row>
    <row r="1003" spans="1:6" x14ac:dyDescent="0.25">
      <c r="A1003" t="str">
        <f>"136"&amp;LOWER(SUBSTITUTE(ADDRESS(136, ROWS($A$1:A26), 4), "136", ""))</f>
        <v>136z</v>
      </c>
      <c r="B1003" t="s">
        <v>2096</v>
      </c>
      <c r="C1003" t="s">
        <v>145</v>
      </c>
      <c r="D1003" t="s">
        <v>294</v>
      </c>
      <c r="E1003">
        <f ca="1">INDIRECT("'Sheet1'!Z136")</f>
        <v>0</v>
      </c>
      <c r="F1003" t="b">
        <f t="shared" ca="1" si="94"/>
        <v>0</v>
      </c>
    </row>
    <row r="1004" spans="1:6" x14ac:dyDescent="0.25">
      <c r="A1004" t="str">
        <f>"136"&amp;LOWER(SUBSTITUTE(ADDRESS(136, ROWS($A$1:A27), 4), "136", ""))</f>
        <v>136aa</v>
      </c>
      <c r="B1004" t="s">
        <v>1789</v>
      </c>
      <c r="C1004" t="s">
        <v>146</v>
      </c>
      <c r="D1004" s="5" t="s">
        <v>1667</v>
      </c>
      <c r="E1004" s="5">
        <f ca="1">INDIRECT("'Sheet1'!AA136")</f>
        <v>0</v>
      </c>
      <c r="F1004" t="b">
        <f t="shared" ca="1" si="94"/>
        <v>0</v>
      </c>
    </row>
    <row r="1005" spans="1:6" x14ac:dyDescent="0.25">
      <c r="A1005" t="str">
        <f>"136"&amp;LOWER(SUBSTITUTE(ADDRESS(136, ROWS($A$1:A28), 4), "136", ""))</f>
        <v>136ab</v>
      </c>
      <c r="B1005" t="s">
        <v>1790</v>
      </c>
      <c r="C1005" t="s">
        <v>147</v>
      </c>
      <c r="D1005">
        <v>103</v>
      </c>
      <c r="E1005">
        <f ca="1">INDIRECT("'Sheet1'!AB136")</f>
        <v>0</v>
      </c>
      <c r="F1005" t="b">
        <f t="shared" ca="1" si="94"/>
        <v>0</v>
      </c>
    </row>
    <row r="1006" spans="1:6" x14ac:dyDescent="0.25">
      <c r="A1006" t="str">
        <f>"136"&amp;LOWER(SUBSTITUTE(ADDRESS(136, ROWS($A$1:A29), 4), "136", ""))</f>
        <v>136ac</v>
      </c>
      <c r="B1006" t="s">
        <v>2095</v>
      </c>
      <c r="C1006" t="s">
        <v>148</v>
      </c>
      <c r="D1006" t="s">
        <v>294</v>
      </c>
      <c r="E1006">
        <f ca="1">INDIRECT("'Sheet1'!AC136")</f>
        <v>0</v>
      </c>
      <c r="F1006" t="b">
        <f t="shared" ca="1" si="94"/>
        <v>0</v>
      </c>
    </row>
    <row r="1007" spans="1:6" x14ac:dyDescent="0.25">
      <c r="A1007" t="str">
        <f>"136"&amp;LOWER(SUBSTITUTE(ADDRESS(136, ROWS($A$1:A30), 4), "136", ""))</f>
        <v>136ad</v>
      </c>
      <c r="B1007" t="s">
        <v>1791</v>
      </c>
      <c r="C1007" t="s">
        <v>149</v>
      </c>
      <c r="D1007" s="5" t="s">
        <v>1666</v>
      </c>
      <c r="E1007" s="5">
        <f ca="1">INDIRECT("'Sheet1'!AD136")</f>
        <v>0</v>
      </c>
      <c r="F1007" t="b">
        <f t="shared" ca="1" si="94"/>
        <v>0</v>
      </c>
    </row>
    <row r="1008" spans="1:6" x14ac:dyDescent="0.25">
      <c r="A1008" t="str">
        <f>"136"&amp;LOWER(SUBSTITUTE(ADDRESS(136, ROWS($A$1:A31), 4), "136", ""))</f>
        <v>136ae</v>
      </c>
      <c r="B1008" t="s">
        <v>1792</v>
      </c>
      <c r="C1008" t="s">
        <v>150</v>
      </c>
      <c r="E1008">
        <f ca="1">INDIRECT("'Sheet1'!AE136")</f>
        <v>0</v>
      </c>
      <c r="F1008" t="b">
        <f t="shared" ca="1" si="94"/>
        <v>1</v>
      </c>
    </row>
    <row r="1009" spans="1:6" x14ac:dyDescent="0.25">
      <c r="A1009" t="str">
        <f>"136"&amp;LOWER(SUBSTITUTE(ADDRESS(136, ROWS($A$1:A32), 4), "136", ""))</f>
        <v>136af</v>
      </c>
      <c r="B1009" t="s">
        <v>2094</v>
      </c>
      <c r="C1009" t="s">
        <v>151</v>
      </c>
      <c r="D1009" t="s">
        <v>294</v>
      </c>
      <c r="E1009">
        <f ca="1">INDIRECT("'Sheet1'!AF136")</f>
        <v>0</v>
      </c>
      <c r="F1009" t="b">
        <f t="shared" ca="1" si="94"/>
        <v>0</v>
      </c>
    </row>
    <row r="1010" spans="1:6" x14ac:dyDescent="0.25">
      <c r="A1010" t="str">
        <f>"136"&amp;LOWER(SUBSTITUTE(ADDRESS(136, ROWS($A$1:A33), 4), "136", ""))</f>
        <v>136ag</v>
      </c>
      <c r="B1010" t="s">
        <v>1793</v>
      </c>
      <c r="C1010" t="s">
        <v>152</v>
      </c>
      <c r="D1010" s="5" t="s">
        <v>1660</v>
      </c>
      <c r="E1010" s="5">
        <f ca="1">INDIRECT("'Sheet1'!AG136")</f>
        <v>0</v>
      </c>
      <c r="F1010" t="b">
        <f t="shared" ca="1" si="94"/>
        <v>0</v>
      </c>
    </row>
    <row r="1011" spans="1:6" x14ac:dyDescent="0.25">
      <c r="A1011" t="str">
        <f>"136"&amp;LOWER(SUBSTITUTE(ADDRESS(136, ROWS($A$1:A34), 4), "136", ""))</f>
        <v>136ah</v>
      </c>
      <c r="B1011" t="s">
        <v>1794</v>
      </c>
      <c r="C1011" t="s">
        <v>153</v>
      </c>
      <c r="E1011">
        <f ca="1">INDIRECT("'Sheet1'!AH136")</f>
        <v>0</v>
      </c>
      <c r="F1011" t="b">
        <f t="shared" ca="1" si="94"/>
        <v>1</v>
      </c>
    </row>
    <row r="1012" spans="1:6" x14ac:dyDescent="0.25">
      <c r="A1012" t="str">
        <f>"136"&amp;LOWER(SUBSTITUTE(ADDRESS(136, ROWS($A$1:A35), 4), "136", ""))</f>
        <v>136ai</v>
      </c>
      <c r="B1012" t="s">
        <v>2093</v>
      </c>
      <c r="C1012" t="s">
        <v>154</v>
      </c>
      <c r="D1012" t="s">
        <v>294</v>
      </c>
      <c r="E1012">
        <f ca="1">INDIRECT("'Sheet1'!AI136")</f>
        <v>0</v>
      </c>
      <c r="F1012" t="b">
        <f t="shared" ca="1" si="94"/>
        <v>0</v>
      </c>
    </row>
    <row r="1013" spans="1:6" x14ac:dyDescent="0.25">
      <c r="A1013" t="str">
        <f>"136"&amp;LOWER(SUBSTITUTE(ADDRESS(136, ROWS($A$1:A36), 4), "136", ""))</f>
        <v>136aj</v>
      </c>
      <c r="B1013" t="s">
        <v>1795</v>
      </c>
      <c r="C1013" t="s">
        <v>155</v>
      </c>
      <c r="D1013" s="5" t="s">
        <v>1664</v>
      </c>
      <c r="E1013" s="5">
        <f ca="1">INDIRECT("'Sheet1'!AJ136")</f>
        <v>0</v>
      </c>
      <c r="F1013" t="b">
        <f t="shared" ca="1" si="94"/>
        <v>0</v>
      </c>
    </row>
    <row r="1014" spans="1:6" x14ac:dyDescent="0.25">
      <c r="A1014" t="str">
        <f>"136"&amp;LOWER(SUBSTITUTE(ADDRESS(136, ROWS($A$1:A37), 4), "136", ""))</f>
        <v>136ak</v>
      </c>
      <c r="B1014" t="s">
        <v>1797</v>
      </c>
      <c r="C1014" t="s">
        <v>156</v>
      </c>
      <c r="E1014">
        <f ca="1">INDIRECT("'Sheet1'!AK136")</f>
        <v>0</v>
      </c>
      <c r="F1014" t="b">
        <f t="shared" ca="1" si="94"/>
        <v>1</v>
      </c>
    </row>
    <row r="1015" spans="1:6" x14ac:dyDescent="0.25">
      <c r="A1015" t="str">
        <f>"136"&amp;LOWER(SUBSTITUTE(ADDRESS(136, ROWS($A$1:A38), 4), "136", ""))</f>
        <v>136al</v>
      </c>
      <c r="B1015" t="s">
        <v>2092</v>
      </c>
      <c r="C1015" t="s">
        <v>157</v>
      </c>
      <c r="D1015" t="s">
        <v>294</v>
      </c>
      <c r="E1015">
        <f ca="1">INDIRECT("'Sheet1'!AL136")</f>
        <v>0</v>
      </c>
      <c r="F1015" t="b">
        <f t="shared" ca="1" si="94"/>
        <v>0</v>
      </c>
    </row>
    <row r="1016" spans="1:6" x14ac:dyDescent="0.25">
      <c r="A1016" t="str">
        <f>"136"&amp;LOWER(SUBSTITUTE(ADDRESS(136, ROWS($A$1:A39), 4), "136", ""))</f>
        <v>136am</v>
      </c>
      <c r="B1016" t="s">
        <v>1796</v>
      </c>
      <c r="C1016" t="s">
        <v>158</v>
      </c>
      <c r="D1016" s="5" t="s">
        <v>1662</v>
      </c>
      <c r="E1016" s="5">
        <f ca="1">INDIRECT("'Sheet1'!AM136")</f>
        <v>0</v>
      </c>
      <c r="F1016" t="b">
        <f t="shared" ca="1" si="94"/>
        <v>0</v>
      </c>
    </row>
    <row r="1017" spans="1:6" x14ac:dyDescent="0.25">
      <c r="A1017" t="str">
        <f>"136"&amp;LOWER(SUBSTITUTE(ADDRESS(136, ROWS($A$1:A40), 4), "136", ""))</f>
        <v>136an</v>
      </c>
      <c r="B1017" t="s">
        <v>1864</v>
      </c>
      <c r="C1017" t="s">
        <v>159</v>
      </c>
      <c r="D1017">
        <v>20</v>
      </c>
      <c r="E1017">
        <f ca="1">INDIRECT("'Sheet1'!AN136")</f>
        <v>0</v>
      </c>
      <c r="F1017" t="b">
        <f t="shared" ca="1" si="94"/>
        <v>0</v>
      </c>
    </row>
    <row r="1018" spans="1:6" x14ac:dyDescent="0.25">
      <c r="A1018" t="str">
        <f>"136"&amp;LOWER(SUBSTITUTE(ADDRESS(136, ROWS($A$1:A41), 4), "136", ""))</f>
        <v>136ao</v>
      </c>
      <c r="B1018" t="s">
        <v>1891</v>
      </c>
      <c r="C1018" t="s">
        <v>160</v>
      </c>
      <c r="D1018" s="5" t="s">
        <v>1666</v>
      </c>
      <c r="E1018" s="5">
        <f ca="1">INDIRECT("'Sheet1'!AO136")</f>
        <v>0</v>
      </c>
      <c r="F1018" t="b">
        <f t="shared" ca="1" si="94"/>
        <v>0</v>
      </c>
    </row>
    <row r="1019" spans="1:6" x14ac:dyDescent="0.25">
      <c r="A1019" t="str">
        <f>"136"&amp;LOWER(SUBSTITUTE(ADDRESS(136, ROWS($A$1:A42), 4), "136", ""))</f>
        <v>136ap</v>
      </c>
      <c r="B1019" t="s">
        <v>1871</v>
      </c>
      <c r="C1019" t="s">
        <v>161</v>
      </c>
      <c r="E1019">
        <f ca="1">INDIRECT("'Sheet1'!AP136")</f>
        <v>0</v>
      </c>
      <c r="F1019" t="b">
        <f t="shared" ca="1" si="94"/>
        <v>1</v>
      </c>
    </row>
    <row r="1020" spans="1:6" x14ac:dyDescent="0.25">
      <c r="A1020" t="str">
        <f>"136"&amp;LOWER(SUBSTITUTE(ADDRESS(136, ROWS($A$1:A43), 4), "136", ""))</f>
        <v>136aq</v>
      </c>
      <c r="B1020" t="s">
        <v>1892</v>
      </c>
      <c r="C1020" t="s">
        <v>162</v>
      </c>
      <c r="D1020" s="5" t="s">
        <v>1667</v>
      </c>
      <c r="E1020" s="5">
        <f ca="1">INDIRECT("'Sheet1'!AQ136")</f>
        <v>0</v>
      </c>
      <c r="F1020" t="b">
        <f t="shared" ca="1" si="94"/>
        <v>0</v>
      </c>
    </row>
    <row r="1021" spans="1:6" x14ac:dyDescent="0.25">
      <c r="A1021" t="str">
        <f>"136"&amp;LOWER(SUBSTITUTE(ADDRESS(136, ROWS($A$1:A44), 4), "136", ""))</f>
        <v>136ar</v>
      </c>
      <c r="B1021" t="s">
        <v>1872</v>
      </c>
      <c r="C1021" t="s">
        <v>163</v>
      </c>
      <c r="E1021">
        <f ca="1">INDIRECT("'Sheet1'!AR136")</f>
        <v>0</v>
      </c>
      <c r="F1021" t="b">
        <f t="shared" ca="1" si="94"/>
        <v>1</v>
      </c>
    </row>
    <row r="1022" spans="1:6" x14ac:dyDescent="0.25">
      <c r="A1022" t="str">
        <f>"136"&amp;LOWER(SUBSTITUTE(ADDRESS(136, ROWS($A$1:A45), 4), "136", ""))</f>
        <v>136as</v>
      </c>
      <c r="B1022" t="s">
        <v>1893</v>
      </c>
      <c r="C1022" t="s">
        <v>164</v>
      </c>
      <c r="D1022" s="5" t="s">
        <v>1667</v>
      </c>
      <c r="E1022" s="5">
        <f ca="1">INDIRECT("'Sheet1'!AS136")</f>
        <v>0</v>
      </c>
      <c r="F1022" t="b">
        <f t="shared" ca="1" si="94"/>
        <v>0</v>
      </c>
    </row>
    <row r="1023" spans="1:6" x14ac:dyDescent="0.25">
      <c r="A1023" t="str">
        <f>"136"&amp;LOWER(SUBSTITUTE(ADDRESS(136, ROWS($A$1:A46), 4), "136", ""))</f>
        <v>136at</v>
      </c>
      <c r="B1023" t="s">
        <v>1865</v>
      </c>
      <c r="C1023" t="s">
        <v>165</v>
      </c>
      <c r="D1023">
        <v>23</v>
      </c>
      <c r="E1023">
        <f ca="1">INDIRECT("'Sheet1'!AT136")</f>
        <v>0</v>
      </c>
      <c r="F1023" t="b">
        <f t="shared" ca="1" si="94"/>
        <v>0</v>
      </c>
    </row>
    <row r="1024" spans="1:6" x14ac:dyDescent="0.25">
      <c r="A1024" t="str">
        <f>"136"&amp;LOWER(SUBSTITUTE(ADDRESS(136, ROWS($A$1:A47), 4), "136", ""))</f>
        <v>136au</v>
      </c>
      <c r="B1024" t="s">
        <v>1895</v>
      </c>
      <c r="C1024" t="s">
        <v>166</v>
      </c>
      <c r="D1024" s="5" t="s">
        <v>1666</v>
      </c>
      <c r="E1024" s="5">
        <f ca="1">INDIRECT("'Sheet1'!AU136")</f>
        <v>0</v>
      </c>
      <c r="F1024" t="b">
        <f t="shared" ca="1" si="94"/>
        <v>0</v>
      </c>
    </row>
    <row r="1025" spans="1:6" x14ac:dyDescent="0.25">
      <c r="A1025" t="str">
        <f>"136"&amp;LOWER(SUBSTITUTE(ADDRESS(136, ROWS($A$1:A48), 4), "136", ""))</f>
        <v>136av</v>
      </c>
      <c r="B1025" t="s">
        <v>1873</v>
      </c>
      <c r="C1025" t="s">
        <v>167</v>
      </c>
      <c r="E1025">
        <f ca="1">INDIRECT("'Sheet1'!AV136")</f>
        <v>0</v>
      </c>
      <c r="F1025" t="b">
        <f t="shared" ca="1" si="94"/>
        <v>1</v>
      </c>
    </row>
    <row r="1026" spans="1:6" x14ac:dyDescent="0.25">
      <c r="A1026" t="str">
        <f>"136"&amp;LOWER(SUBSTITUTE(ADDRESS(136, ROWS($A$1:A49), 4), "136", ""))</f>
        <v>136aw</v>
      </c>
      <c r="B1026" t="s">
        <v>1894</v>
      </c>
      <c r="C1026" t="s">
        <v>168</v>
      </c>
      <c r="D1026" s="5" t="s">
        <v>1660</v>
      </c>
      <c r="E1026" s="5">
        <f ca="1">INDIRECT("'Sheet1'!AW136")</f>
        <v>0</v>
      </c>
      <c r="F1026" t="b">
        <f t="shared" ca="1" si="94"/>
        <v>0</v>
      </c>
    </row>
    <row r="1027" spans="1:6" x14ac:dyDescent="0.25">
      <c r="A1027" t="str">
        <f>"136"&amp;LOWER(SUBSTITUTE(ADDRESS(136, ROWS($A$1:A50), 4), "136", ""))</f>
        <v>136ax</v>
      </c>
      <c r="B1027" t="s">
        <v>1874</v>
      </c>
      <c r="C1027" t="s">
        <v>169</v>
      </c>
      <c r="E1027">
        <f ca="1">INDIRECT("'Sheet1'!AX136")</f>
        <v>0</v>
      </c>
      <c r="F1027" t="b">
        <f t="shared" ca="1" si="94"/>
        <v>1</v>
      </c>
    </row>
    <row r="1028" spans="1:6" x14ac:dyDescent="0.25">
      <c r="A1028" t="str">
        <f>"136"&amp;LOWER(SUBSTITUTE(ADDRESS(136, ROWS($A$1:A51), 4), "136", ""))</f>
        <v>136ay</v>
      </c>
      <c r="B1028" t="s">
        <v>1896</v>
      </c>
      <c r="C1028" t="s">
        <v>170</v>
      </c>
      <c r="D1028" s="5" t="s">
        <v>1664</v>
      </c>
      <c r="E1028" s="5">
        <f ca="1">INDIRECT("'Sheet1'!AY136")</f>
        <v>0</v>
      </c>
      <c r="F1028" t="b">
        <f t="shared" ca="1" si="94"/>
        <v>0</v>
      </c>
    </row>
    <row r="1029" spans="1:6" x14ac:dyDescent="0.25">
      <c r="A1029" t="str">
        <f>"136"&amp;LOWER(SUBSTITUTE(ADDRESS(136, ROWS($A$1:A52), 4), "136", ""))</f>
        <v>136az</v>
      </c>
      <c r="B1029" t="s">
        <v>1875</v>
      </c>
      <c r="C1029" t="s">
        <v>171</v>
      </c>
      <c r="E1029">
        <f ca="1">INDIRECT("'Sheet1'!AZ136")</f>
        <v>0</v>
      </c>
      <c r="F1029" t="b">
        <f t="shared" ca="1" si="94"/>
        <v>1</v>
      </c>
    </row>
    <row r="1030" spans="1:6" x14ac:dyDescent="0.25">
      <c r="A1030" t="str">
        <f>"136"&amp;LOWER(SUBSTITUTE(ADDRESS(136, ROWS($A$1:A53), 4), "136", ""))</f>
        <v>136ba</v>
      </c>
      <c r="B1030" t="s">
        <v>1897</v>
      </c>
      <c r="C1030" t="s">
        <v>172</v>
      </c>
      <c r="D1030" s="5" t="s">
        <v>1662</v>
      </c>
      <c r="E1030" s="5">
        <f ca="1">INDIRECT("'Sheet1'!BA136")</f>
        <v>0</v>
      </c>
      <c r="F1030" t="b">
        <f t="shared" ca="1" si="94"/>
        <v>0</v>
      </c>
    </row>
    <row r="1031" spans="1:6" x14ac:dyDescent="0.25">
      <c r="A1031" t="str">
        <f>"136"&amp;LOWER(SUBSTITUTE(ADDRESS(136, ROWS($A$1:A54), 4), "136", ""))</f>
        <v>136bb</v>
      </c>
      <c r="B1031" t="s">
        <v>1923</v>
      </c>
      <c r="C1031" t="s">
        <v>173</v>
      </c>
      <c r="D1031">
        <v>1.7</v>
      </c>
      <c r="E1031">
        <f ca="1">INDIRECT("'Sheet1'!BB136")</f>
        <v>0</v>
      </c>
      <c r="F1031" t="b">
        <f t="shared" ca="1" si="94"/>
        <v>0</v>
      </c>
    </row>
    <row r="1032" spans="1:6" x14ac:dyDescent="0.25">
      <c r="A1032" t="str">
        <f>"136"&amp;LOWER(SUBSTITUTE(ADDRESS(136, ROWS($A$1:A55), 4), "136", ""))</f>
        <v>136bc</v>
      </c>
      <c r="B1032" t="s">
        <v>2091</v>
      </c>
      <c r="C1032" t="s">
        <v>174</v>
      </c>
      <c r="D1032" t="s">
        <v>293</v>
      </c>
      <c r="E1032">
        <f ca="1">INDIRECT("'Sheet1'!BC136")</f>
        <v>0</v>
      </c>
      <c r="F1032" t="b">
        <f t="shared" ca="1" si="94"/>
        <v>0</v>
      </c>
    </row>
    <row r="1033" spans="1:6" x14ac:dyDescent="0.25">
      <c r="A1033" t="str">
        <f>"136"&amp;LOWER(SUBSTITUTE(ADDRESS(136, ROWS($A$1:A56), 4), "136", ""))</f>
        <v>136bd</v>
      </c>
      <c r="B1033" t="s">
        <v>1934</v>
      </c>
      <c r="C1033" t="s">
        <v>175</v>
      </c>
      <c r="D1033" s="5" t="s">
        <v>1666</v>
      </c>
      <c r="E1033" s="5">
        <f ca="1">INDIRECT("'Sheet1'!BD136")</f>
        <v>0</v>
      </c>
      <c r="F1033" t="b">
        <f t="shared" ca="1" si="94"/>
        <v>0</v>
      </c>
    </row>
    <row r="1034" spans="1:6" x14ac:dyDescent="0.25">
      <c r="A1034" t="str">
        <f>"136"&amp;LOWER(SUBSTITUTE(ADDRESS(136, ROWS($A$1:A57), 4), "136", ""))</f>
        <v>136be</v>
      </c>
      <c r="B1034" t="s">
        <v>1981</v>
      </c>
      <c r="C1034" t="s">
        <v>176</v>
      </c>
      <c r="E1034">
        <f ca="1">INDIRECT("'Sheet1'!BE136")</f>
        <v>0</v>
      </c>
      <c r="F1034" t="b">
        <f t="shared" ca="1" si="94"/>
        <v>1</v>
      </c>
    </row>
    <row r="1035" spans="1:6" x14ac:dyDescent="0.25">
      <c r="A1035" t="str">
        <f>"136"&amp;LOWER(SUBSTITUTE(ADDRESS(136, ROWS($A$1:A58), 4), "136", ""))</f>
        <v>136bf</v>
      </c>
      <c r="B1035" t="s">
        <v>2090</v>
      </c>
      <c r="C1035" t="s">
        <v>177</v>
      </c>
      <c r="D1035" t="s">
        <v>293</v>
      </c>
      <c r="E1035">
        <f ca="1">INDIRECT("'Sheet1'!BF136")</f>
        <v>0</v>
      </c>
      <c r="F1035" t="b">
        <f t="shared" ca="1" si="94"/>
        <v>0</v>
      </c>
    </row>
    <row r="1036" spans="1:6" x14ac:dyDescent="0.25">
      <c r="A1036" t="str">
        <f>"136"&amp;LOWER(SUBSTITUTE(ADDRESS(136, ROWS($A$1:A59), 4), "136", ""))</f>
        <v>136bg</v>
      </c>
      <c r="B1036" t="s">
        <v>1937</v>
      </c>
      <c r="C1036" t="s">
        <v>178</v>
      </c>
      <c r="D1036" s="5" t="s">
        <v>1667</v>
      </c>
      <c r="E1036" s="5">
        <f ca="1">INDIRECT("'Sheet1'!BG136")</f>
        <v>0</v>
      </c>
      <c r="F1036" t="b">
        <f t="shared" ca="1" si="94"/>
        <v>0</v>
      </c>
    </row>
    <row r="1037" spans="1:6" x14ac:dyDescent="0.25">
      <c r="A1037" t="str">
        <f>"136"&amp;LOWER(SUBSTITUTE(ADDRESS(136, ROWS($A$1:A60), 4), "136", ""))</f>
        <v>136bh</v>
      </c>
      <c r="B1037" t="s">
        <v>1929</v>
      </c>
      <c r="C1037" t="s">
        <v>179</v>
      </c>
      <c r="E1037">
        <f ca="1">INDIRECT("'Sheet1'!BH136")</f>
        <v>0</v>
      </c>
      <c r="F1037" t="b">
        <f t="shared" ca="1" si="94"/>
        <v>1</v>
      </c>
    </row>
    <row r="1038" spans="1:6" x14ac:dyDescent="0.25">
      <c r="A1038" t="str">
        <f>"136"&amp;LOWER(SUBSTITUTE(ADDRESS(136, ROWS($A$1:A61), 4), "136", ""))</f>
        <v>136bi</v>
      </c>
      <c r="B1038" t="s">
        <v>2089</v>
      </c>
      <c r="C1038" t="s">
        <v>180</v>
      </c>
      <c r="D1038" t="s">
        <v>293</v>
      </c>
      <c r="E1038">
        <f ca="1">INDIRECT("'Sheet1'!BI136")</f>
        <v>0</v>
      </c>
      <c r="F1038" t="b">
        <f t="shared" ca="1" si="94"/>
        <v>0</v>
      </c>
    </row>
    <row r="1039" spans="1:6" x14ac:dyDescent="0.25">
      <c r="A1039" t="str">
        <f>"136"&amp;LOWER(SUBSTITUTE(ADDRESS(136, ROWS($A$1:A62), 4), "136", ""))</f>
        <v>136bj</v>
      </c>
      <c r="B1039" t="s">
        <v>1938</v>
      </c>
      <c r="C1039" t="s">
        <v>181</v>
      </c>
      <c r="D1039" s="5" t="s">
        <v>1667</v>
      </c>
      <c r="E1039" s="5">
        <f ca="1">INDIRECT("'Sheet1'!BJ136")</f>
        <v>0</v>
      </c>
      <c r="F1039" t="b">
        <f t="shared" ca="1" si="94"/>
        <v>0</v>
      </c>
    </row>
    <row r="1040" spans="1:6" x14ac:dyDescent="0.25">
      <c r="A1040" t="str">
        <f>"136"&amp;LOWER(SUBSTITUTE(ADDRESS(136, ROWS($A$1:A63), 4), "136", ""))</f>
        <v>136bk</v>
      </c>
      <c r="B1040" t="s">
        <v>1924</v>
      </c>
      <c r="C1040" t="s">
        <v>182</v>
      </c>
      <c r="D1040">
        <v>1.73</v>
      </c>
      <c r="E1040">
        <f ca="1">INDIRECT("'Sheet1'!BK136")</f>
        <v>0</v>
      </c>
      <c r="F1040" t="b">
        <f t="shared" ca="1" si="94"/>
        <v>0</v>
      </c>
    </row>
    <row r="1041" spans="1:6" x14ac:dyDescent="0.25">
      <c r="A1041" t="str">
        <f>"136"&amp;LOWER(SUBSTITUTE(ADDRESS(136, ROWS($A$1:A64), 4), "136", ""))</f>
        <v>136bl</v>
      </c>
      <c r="B1041" t="s">
        <v>2088</v>
      </c>
      <c r="C1041" t="s">
        <v>183</v>
      </c>
      <c r="D1041" t="s">
        <v>293</v>
      </c>
      <c r="E1041">
        <f ca="1">INDIRECT("'Sheet1'!BL136")</f>
        <v>0</v>
      </c>
      <c r="F1041" t="b">
        <f t="shared" ca="1" si="94"/>
        <v>0</v>
      </c>
    </row>
    <row r="1042" spans="1:6" x14ac:dyDescent="0.25">
      <c r="A1042" t="str">
        <f>"136"&amp;LOWER(SUBSTITUTE(ADDRESS(136, ROWS($A$1:A65), 4), "136", ""))</f>
        <v>136bm</v>
      </c>
      <c r="B1042" t="s">
        <v>1935</v>
      </c>
      <c r="C1042" t="s">
        <v>184</v>
      </c>
      <c r="D1042" s="5" t="s">
        <v>1666</v>
      </c>
      <c r="E1042" s="5">
        <f ca="1">INDIRECT("'Sheet1'!BM136")</f>
        <v>0</v>
      </c>
      <c r="F1042" t="b">
        <f t="shared" ref="F1042:F1059" ca="1" si="95">E1042=D1042</f>
        <v>0</v>
      </c>
    </row>
    <row r="1043" spans="1:6" x14ac:dyDescent="0.25">
      <c r="A1043" t="str">
        <f>"136"&amp;LOWER(SUBSTITUTE(ADDRESS(136, ROWS($A$1:A66), 4), "136", ""))</f>
        <v>136bn</v>
      </c>
      <c r="B1043" t="s">
        <v>1930</v>
      </c>
      <c r="C1043" t="s">
        <v>185</v>
      </c>
      <c r="E1043">
        <f ca="1">INDIRECT("'Sheet1'!BN136")</f>
        <v>0</v>
      </c>
      <c r="F1043" t="b">
        <f t="shared" ca="1" si="95"/>
        <v>1</v>
      </c>
    </row>
    <row r="1044" spans="1:6" x14ac:dyDescent="0.25">
      <c r="A1044" t="str">
        <f>"136"&amp;LOWER(SUBSTITUTE(ADDRESS(136, ROWS($A$1:A67), 4), "136", ""))</f>
        <v>136bo</v>
      </c>
      <c r="B1044" t="s">
        <v>2087</v>
      </c>
      <c r="C1044" t="s">
        <v>186</v>
      </c>
      <c r="D1044" t="s">
        <v>293</v>
      </c>
      <c r="E1044">
        <f ca="1">INDIRECT("'Sheet1'!BO136")</f>
        <v>0</v>
      </c>
      <c r="F1044" t="b">
        <f t="shared" ca="1" si="95"/>
        <v>0</v>
      </c>
    </row>
    <row r="1045" spans="1:6" x14ac:dyDescent="0.25">
      <c r="A1045" t="str">
        <f>"136"&amp;LOWER(SUBSTITUTE(ADDRESS(136, ROWS($A$1:A68), 4), "136", ""))</f>
        <v>136bp</v>
      </c>
      <c r="B1045" t="s">
        <v>1941</v>
      </c>
      <c r="C1045" t="s">
        <v>187</v>
      </c>
      <c r="D1045" s="5" t="s">
        <v>1660</v>
      </c>
      <c r="E1045" s="5">
        <f ca="1">INDIRECT("'Sheet1'!BP136")</f>
        <v>0</v>
      </c>
      <c r="F1045" t="b">
        <f t="shared" ca="1" si="95"/>
        <v>0</v>
      </c>
    </row>
    <row r="1046" spans="1:6" x14ac:dyDescent="0.25">
      <c r="A1046" t="str">
        <f>"136"&amp;LOWER(SUBSTITUTE(ADDRESS(136, ROWS($A$1:A69), 4), "136", ""))</f>
        <v>136bq</v>
      </c>
      <c r="B1046" t="s">
        <v>1931</v>
      </c>
      <c r="C1046" t="s">
        <v>188</v>
      </c>
      <c r="E1046">
        <f ca="1">INDIRECT("'Sheet1'!BQ136")</f>
        <v>0</v>
      </c>
      <c r="F1046" t="b">
        <f t="shared" ca="1" si="95"/>
        <v>1</v>
      </c>
    </row>
    <row r="1047" spans="1:6" x14ac:dyDescent="0.25">
      <c r="A1047" t="str">
        <f>"136"&amp;LOWER(SUBSTITUTE(ADDRESS(136, ROWS($A$1:A70), 4), "136", ""))</f>
        <v>136br</v>
      </c>
      <c r="B1047" t="s">
        <v>2086</v>
      </c>
      <c r="C1047" t="s">
        <v>189</v>
      </c>
      <c r="D1047" t="s">
        <v>293</v>
      </c>
      <c r="E1047">
        <f ca="1">INDIRECT("'Sheet1'!BR136")</f>
        <v>0</v>
      </c>
      <c r="F1047" t="b">
        <f t="shared" ca="1" si="95"/>
        <v>0</v>
      </c>
    </row>
    <row r="1048" spans="1:6" x14ac:dyDescent="0.25">
      <c r="A1048" t="str">
        <f>"136"&amp;LOWER(SUBSTITUTE(ADDRESS(136, ROWS($A$1:A71), 4), "136", ""))</f>
        <v>136bs</v>
      </c>
      <c r="B1048" t="s">
        <v>1940</v>
      </c>
      <c r="C1048" t="s">
        <v>190</v>
      </c>
      <c r="D1048" s="5" t="s">
        <v>1664</v>
      </c>
      <c r="E1048" s="5">
        <f ca="1">INDIRECT("'Sheet1'!BS136")</f>
        <v>0</v>
      </c>
      <c r="F1048" t="b">
        <f t="shared" ca="1" si="95"/>
        <v>0</v>
      </c>
    </row>
    <row r="1049" spans="1:6" x14ac:dyDescent="0.25">
      <c r="A1049" t="str">
        <f>"136"&amp;LOWER(SUBSTITUTE(ADDRESS(136, ROWS($A$1:A72), 4), "136", ""))</f>
        <v>136bt</v>
      </c>
      <c r="B1049" t="s">
        <v>1932</v>
      </c>
      <c r="C1049" t="s">
        <v>191</v>
      </c>
      <c r="E1049">
        <f ca="1">INDIRECT("'Sheet1'!BT136")</f>
        <v>0</v>
      </c>
      <c r="F1049" t="b">
        <f t="shared" ca="1" si="95"/>
        <v>1</v>
      </c>
    </row>
    <row r="1050" spans="1:6" x14ac:dyDescent="0.25">
      <c r="A1050" t="str">
        <f>"136"&amp;LOWER(SUBSTITUTE(ADDRESS(136, ROWS($A$1:A73), 4), "136", ""))</f>
        <v>136bu</v>
      </c>
      <c r="B1050" t="s">
        <v>2085</v>
      </c>
      <c r="C1050" t="s">
        <v>192</v>
      </c>
      <c r="D1050" t="s">
        <v>293</v>
      </c>
      <c r="E1050">
        <f ca="1">INDIRECT("'Sheet1'!BU136")</f>
        <v>0</v>
      </c>
      <c r="F1050" t="b">
        <f t="shared" ca="1" si="95"/>
        <v>0</v>
      </c>
    </row>
    <row r="1051" spans="1:6" x14ac:dyDescent="0.25">
      <c r="A1051" t="str">
        <f>"136"&amp;LOWER(SUBSTITUTE(ADDRESS(136, ROWS($A$1:A74), 4), "136", ""))</f>
        <v>136bv</v>
      </c>
      <c r="B1051" t="s">
        <v>1949</v>
      </c>
      <c r="C1051" t="s">
        <v>193</v>
      </c>
      <c r="D1051" s="5" t="s">
        <v>1662</v>
      </c>
      <c r="E1051" s="5">
        <f ca="1">INDIRECT("'Sheet1'!BV136")</f>
        <v>0</v>
      </c>
      <c r="F1051" t="b">
        <f t="shared" ca="1" si="95"/>
        <v>0</v>
      </c>
    </row>
    <row r="1052" spans="1:6" x14ac:dyDescent="0.25">
      <c r="A1052" t="str">
        <f>"136"&amp;LOWER(SUBSTITUTE(ADDRESS(136, ROWS($A$1:A75), 4), "136", ""))</f>
        <v>136bw</v>
      </c>
      <c r="B1052" t="s">
        <v>2099</v>
      </c>
      <c r="C1052" t="s">
        <v>194</v>
      </c>
      <c r="D1052" s="5" t="s">
        <v>1671</v>
      </c>
      <c r="E1052" s="5">
        <f ca="1">INDIRECT("'Sheet1'!BW136")</f>
        <v>0</v>
      </c>
      <c r="F1052" t="b">
        <f t="shared" ca="1" si="95"/>
        <v>0</v>
      </c>
    </row>
    <row r="1053" spans="1:6" x14ac:dyDescent="0.25">
      <c r="A1053" t="str">
        <f>"136"&amp;LOWER(SUBSTITUTE(ADDRESS(136, ROWS($A$1:A76), 4), "136", ""))</f>
        <v>136bx</v>
      </c>
      <c r="B1053" t="s">
        <v>2058</v>
      </c>
      <c r="C1053" t="s">
        <v>195</v>
      </c>
      <c r="D1053" t="s">
        <v>1670</v>
      </c>
      <c r="E1053">
        <f ca="1">INDIRECT("'Sheet1'!BX136")</f>
        <v>0</v>
      </c>
      <c r="F1053" t="b">
        <f t="shared" ca="1" si="95"/>
        <v>0</v>
      </c>
    </row>
    <row r="1054" spans="1:6" x14ac:dyDescent="0.25">
      <c r="A1054" t="str">
        <f>"136"&amp;LOWER(SUBSTITUTE(ADDRESS(136, ROWS($A$1:A77), 4), "136", ""))</f>
        <v>136by</v>
      </c>
      <c r="B1054" t="s">
        <v>2082</v>
      </c>
      <c r="C1054" t="s">
        <v>196</v>
      </c>
      <c r="D1054">
        <v>1.0900000000000001</v>
      </c>
      <c r="E1054">
        <f ca="1">INDIRECT("'Sheet1'!BY136")</f>
        <v>0</v>
      </c>
      <c r="F1054" t="b">
        <f t="shared" ca="1" si="95"/>
        <v>0</v>
      </c>
    </row>
    <row r="1055" spans="1:6" x14ac:dyDescent="0.25">
      <c r="A1055" t="str">
        <f>"136"&amp;LOWER(SUBSTITUTE(ADDRESS(136, ROWS($A$1:A78), 4), "136", ""))</f>
        <v>136bz</v>
      </c>
      <c r="B1055" t="s">
        <v>2037</v>
      </c>
      <c r="C1055" t="s">
        <v>197</v>
      </c>
      <c r="D1055" t="s">
        <v>1513</v>
      </c>
      <c r="E1055">
        <f ca="1">INDIRECT("'Sheet1'!BZ136")</f>
        <v>0</v>
      </c>
      <c r="F1055" t="b">
        <f t="shared" ca="1" si="95"/>
        <v>0</v>
      </c>
    </row>
    <row r="1056" spans="1:6" x14ac:dyDescent="0.25">
      <c r="A1056" t="str">
        <f>"136"&amp;LOWER(SUBSTITUTE(ADDRESS(136, ROWS($A$1:A79), 4), "136", ""))</f>
        <v>136ca</v>
      </c>
      <c r="B1056" t="s">
        <v>2038</v>
      </c>
      <c r="C1056" t="s">
        <v>198</v>
      </c>
      <c r="D1056" s="5" t="s">
        <v>1668</v>
      </c>
      <c r="E1056" s="5">
        <f ca="1">INDIRECT("'Sheet1'!CA136")</f>
        <v>0</v>
      </c>
      <c r="F1056" t="b">
        <f t="shared" ca="1" si="95"/>
        <v>0</v>
      </c>
    </row>
    <row r="1057" spans="1:6" x14ac:dyDescent="0.25">
      <c r="A1057" t="str">
        <f>"136"&amp;LOWER(SUBSTITUTE(ADDRESS(136, ROWS($A$1:A80), 4), "136", ""))</f>
        <v>136cb</v>
      </c>
      <c r="B1057" t="s">
        <v>2083</v>
      </c>
      <c r="C1057" t="s">
        <v>199</v>
      </c>
      <c r="D1057">
        <v>100.09</v>
      </c>
      <c r="E1057">
        <f ca="1">INDIRECT("'Sheet1'!CB136")</f>
        <v>0</v>
      </c>
      <c r="F1057" t="b">
        <f t="shared" ca="1" si="95"/>
        <v>0</v>
      </c>
    </row>
    <row r="1058" spans="1:6" x14ac:dyDescent="0.25">
      <c r="A1058" t="str">
        <f>"136"&amp;LOWER(SUBSTITUTE(ADDRESS(136, ROWS($A$1:A81), 4), "136", ""))</f>
        <v>136cc</v>
      </c>
      <c r="B1058" t="s">
        <v>2040</v>
      </c>
      <c r="C1058" t="s">
        <v>200</v>
      </c>
      <c r="D1058" t="s">
        <v>1514</v>
      </c>
      <c r="E1058">
        <f ca="1">INDIRECT("'Sheet1'!CC136")</f>
        <v>0</v>
      </c>
      <c r="F1058" t="b">
        <f t="shared" ca="1" si="95"/>
        <v>0</v>
      </c>
    </row>
    <row r="1059" spans="1:6" x14ac:dyDescent="0.25">
      <c r="A1059" t="str">
        <f>"136"&amp;LOWER(SUBSTITUTE(ADDRESS(136, ROWS($A$1:A82), 4), "136", ""))</f>
        <v>136cd</v>
      </c>
      <c r="B1059" t="s">
        <v>2041</v>
      </c>
      <c r="C1059" t="s">
        <v>201</v>
      </c>
      <c r="D1059" s="5" t="s">
        <v>1668</v>
      </c>
      <c r="E1059" s="5">
        <f ca="1">INDIRECT("'Sheet1'!CD136")</f>
        <v>0</v>
      </c>
      <c r="F1059" t="b">
        <f t="shared" ca="1" si="95"/>
        <v>0</v>
      </c>
    </row>
  </sheetData>
  <conditionalFormatting sqref="F1:F1048576">
    <cfRule type="cellIs" dxfId="3" priority="2" operator="equal">
      <formula>TRUE</formula>
    </cfRule>
  </conditionalFormatting>
  <conditionalFormatting sqref="G2:G1059">
    <cfRule type="expression" dxfId="2" priority="106">
      <formula>COUNTIF($F$2:$F$4966,FALSE)=0</formula>
    </cfRule>
    <cfRule type="expression" dxfId="1" priority="107">
      <formula>COUNTIF($F$2:$F$4966,FALSE)&gt;0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AF3C3515-4482-4BB5-93BF-C0AA94B2B844}">
            <xm:f>NOT(ISERROR(SEARCH(FALSE,F1)))</xm:f>
            <xm:f>FALSE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F1:F1048576</xm:sqref>
        </x14:conditionalFormatting>
      </x14:conditionalFormattings>
    </ext>
  </extLst>
</worksheet>
</file>

<file path=docMetadata/LabelInfo.xml><?xml version="1.0" encoding="utf-8"?>
<clbl:labelList xmlns:clbl="http://schemas.microsoft.com/office/2020/mipLabelMetadata">
  <clbl:label id="{6b902693-1074-40aa-9e21-d89446a2ebb5}" enabled="0" method="" siteId="{6b902693-1074-40aa-9e21-d89446a2ebb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TPPdata to copy paste to Sheet1</vt:lpstr>
      <vt:lpstr>TPP to EMIS Test Results</vt:lpstr>
      <vt:lpstr>EMIS test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Claridge, Hugh (PG/R - Sch of Health Sci)</dc:creator>
  <cp:lastModifiedBy>Claridge, Hugh (PG/R - Sch Health Sciences)</cp:lastModifiedBy>
  <dcterms:created xsi:type="dcterms:W3CDTF">2025-06-16T11:09:36Z</dcterms:created>
  <dcterms:modified xsi:type="dcterms:W3CDTF">2026-10-30T18:42:13Z</dcterms:modified>
</cp:coreProperties>
</file>